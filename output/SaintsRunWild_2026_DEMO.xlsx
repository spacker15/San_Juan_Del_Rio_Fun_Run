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Teacher" sheetId="1" state="visible" r:id="rId1"/>
    <sheet xmlns:r="http://schemas.openxmlformats.org/officeDocument/2006/relationships" name="By Day" sheetId="2" state="visible" r:id="rId2"/>
    <sheet xmlns:r="http://schemas.openxmlformats.org/officeDocument/2006/relationships" name="Daily Challenges" sheetId="3" state="visible" r:id="rId3"/>
    <sheet xmlns:r="http://schemas.openxmlformats.org/officeDocument/2006/relationships" name="Donations" sheetId="4" state="visible" r:id="rId4"/>
    <sheet xmlns:r="http://schemas.openxmlformats.org/officeDocument/2006/relationships" name="Students" sheetId="5" state="visible" r:id="rId5"/>
  </sheets>
  <definedNames>
    <definedName name="Goal">'By Teacher'!$B$4</definedName>
    <definedName name="_xlnm._FilterDatabase" localSheetId="3" hidden="1">'Donations'!$A$1:$I$3001</definedName>
    <definedName name="_xlnm._FilterDatabase" localSheetId="4" hidden="1">'Students'!$A$1:$J$601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&quot;$&quot;#,##0"/>
    <numFmt numFmtId="165" formatCode="yyyy-mm-dd"/>
    <numFmt numFmtId="166" formatCode="ddd m/d/yyyy"/>
    <numFmt numFmtId="167" formatCode="ddd m/d"/>
    <numFmt numFmtId="168" formatCode="m/d"/>
    <numFmt numFmtId="169" formatCode="m/d/yyyy h:mm AM/PM"/>
    <numFmt numFmtId="170" formatCode="&quot;$&quot;#,##0.00"/>
    <numFmt numFmtId="171" formatCode="&quot;$&quot;#,##0;-&quot;$&quot;#,##0;&quot;&quot;"/>
  </numFmts>
  <fonts count="12">
    <font>
      <name val="Calibri"/>
      <family val="2"/>
      <color theme="1"/>
      <sz val="11"/>
      <scheme val="minor"/>
    </font>
    <font>
      <name val="Arial Black"/>
      <color rgb="00FFFFFF"/>
      <sz val="18"/>
    </font>
    <font>
      <name val="Calibri"/>
      <b val="1"/>
      <color rgb="00FFFFFF"/>
      <sz val="11"/>
    </font>
    <font>
      <name val="Arial Black"/>
      <color rgb="00D7262B"/>
      <sz val="18"/>
    </font>
    <font>
      <name val="Arial Black"/>
      <color rgb="001F2F6B"/>
      <sz val="18"/>
    </font>
    <font>
      <name val="Calibri"/>
      <b val="1"/>
      <color rgb="002E7D32"/>
      <sz val="11"/>
    </font>
    <font>
      <name val="Calibri"/>
      <b val="1"/>
      <color rgb="00222222"/>
      <sz val="11"/>
    </font>
    <font>
      <name val="Calibri"/>
      <color rgb="00999999"/>
      <sz val="9"/>
    </font>
    <font>
      <name val="Calibri"/>
      <i val="1"/>
      <color rgb="00777777"/>
      <sz val="9"/>
    </font>
    <font>
      <name val="Calibri"/>
      <i val="1"/>
      <color rgb="00555555"/>
      <sz val="10"/>
    </font>
    <font>
      <name val="Arial Black"/>
      <color rgb="00D7262B"/>
      <sz val="13"/>
    </font>
    <font>
      <name val="Calibri"/>
      <b val="1"/>
      <color rgb="001F2F6B"/>
      <sz val="11"/>
    </font>
  </fonts>
  <fills count="8">
    <fill>
      <patternFill/>
    </fill>
    <fill>
      <patternFill patternType="gray125"/>
    </fill>
    <fill>
      <patternFill patternType="solid">
        <fgColor rgb="00D7262B"/>
        <bgColor rgb="00D7262B"/>
      </patternFill>
    </fill>
    <fill>
      <patternFill patternType="solid">
        <fgColor rgb="001F2F6B"/>
        <bgColor rgb="001F2F6B"/>
      </patternFill>
    </fill>
    <fill>
      <patternFill patternType="solid">
        <fgColor rgb="00FFFFFF"/>
        <bgColor rgb="00FFFFFF"/>
      </patternFill>
    </fill>
    <fill>
      <patternFill patternType="solid">
        <fgColor rgb="00FFF4D6"/>
        <bgColor rgb="00FFF4D6"/>
      </patternFill>
    </fill>
    <fill>
      <patternFill patternType="solid">
        <fgColor rgb="005B6B9A"/>
        <bgColor rgb="005B6B9A"/>
      </patternFill>
    </fill>
    <fill>
      <patternFill patternType="solid">
        <fgColor rgb="00EEF1F6"/>
        <bgColor rgb="00EEF1F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9" fontId="3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0" borderId="1" applyAlignment="1" pivotButton="0" quotePrefix="0" xfId="0">
      <alignment horizontal="center" vertical="center" wrapText="1"/>
    </xf>
    <xf numFmtId="9" fontId="0" fillId="0" borderId="1" pivotButton="0" quotePrefix="0" xfId="0"/>
    <xf numFmtId="164" fontId="0" fillId="0" borderId="1" pivotButton="0" quotePrefix="0" xfId="0"/>
    <xf numFmtId="0" fontId="6" fillId="0" borderId="1" pivotButton="0" quotePrefix="0" xfId="0"/>
    <xf numFmtId="49" fontId="7" fillId="0" borderId="1" pivotButton="0" quotePrefix="0" xfId="0"/>
    <xf numFmtId="0" fontId="6" fillId="0" borderId="0" pivotButton="0" quotePrefix="0" xfId="0"/>
    <xf numFmtId="166" fontId="0" fillId="5" borderId="1" pivotButton="0" quotePrefix="0" xfId="0"/>
    <xf numFmtId="167" fontId="0" fillId="0" borderId="1" pivotButton="0" quotePrefix="0" xfId="0"/>
    <xf numFmtId="164" fontId="6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0" fillId="0" borderId="1" pivotButton="0" quotePrefix="0" xfId="0"/>
    <xf numFmtId="168" fontId="0" fillId="5" borderId="1" pivotButton="0" quotePrefix="0" xfId="0"/>
    <xf numFmtId="0" fontId="11" fillId="0" borderId="1" pivotButton="0" quotePrefix="0" xfId="0"/>
    <xf numFmtId="164" fontId="0" fillId="4" borderId="1" pivotButton="0" quotePrefix="0" xfId="0"/>
    <xf numFmtId="164" fontId="0" fillId="5" borderId="1" pivotButton="0" quotePrefix="0" xfId="0"/>
    <xf numFmtId="9" fontId="0" fillId="5" borderId="1" pivotButton="0" quotePrefix="0" xfId="0"/>
    <xf numFmtId="0" fontId="10" fillId="0" borderId="0" pivotButton="0" quotePrefix="0" xfId="0"/>
    <xf numFmtId="9" fontId="0" fillId="0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169" fontId="0" fillId="5" borderId="0" pivotButton="0" quotePrefix="0" xfId="0"/>
    <xf numFmtId="0" fontId="0" fillId="5" borderId="0" pivotButton="0" quotePrefix="0" xfId="0"/>
    <xf numFmtId="170" fontId="0" fillId="5" borderId="0" pivotButton="0" quotePrefix="0" xfId="0"/>
    <xf numFmtId="167" fontId="0" fillId="7" borderId="0" pivotButton="0" quotePrefix="0" xfId="0"/>
    <xf numFmtId="0" fontId="0" fillId="7" borderId="0" pivotButton="0" quotePrefix="0" xfId="0"/>
    <xf numFmtId="49" fontId="0" fillId="5" borderId="0" pivotButton="0" quotePrefix="0" xfId="0"/>
    <xf numFmtId="170" fontId="0" fillId="7" borderId="0" pivotButton="0" quotePrefix="0" xfId="0"/>
    <xf numFmtId="171" fontId="0" fillId="7" borderId="0" pivotButton="0" quotePrefix="0" xfId="0"/>
  </cellXfs>
  <cellStyles count="1">
    <cellStyle name="Normal" xfId="0" builtinId="0" hidden="0"/>
  </cellStyles>
  <dxfs count="4">
    <dxf>
      <font>
        <name val="Calibri"/>
        <b val="1"/>
        <color rgb="00D7262B"/>
        <sz val="11"/>
      </font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D4EDDA"/>
          <bgColor rgb="00D4EDDA"/>
        </patternFill>
      </fill>
    </dxf>
    <dxf>
      <font>
        <name val="Calibri"/>
        <b val="1"/>
        <color rgb="00D7262B"/>
        <sz val="11"/>
      </font>
      <fill>
        <patternFill patternType="solid">
          <fgColor rgb="00F8D7DA"/>
          <b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Raised by teacher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D7262B"/>
            </a:solidFill>
            <a:ln xmlns:a="http://schemas.openxmlformats.org/drawingml/2006/main">
              <a:prstDash val="solid"/>
            </a:ln>
          </spPr>
          <cat>
            <numRef>
              <f>'By Teacher'!$A$8:$A$29</f>
            </numRef>
          </cat>
          <val>
            <numRef>
              <f>'By Teacher'!$F$8:$F$29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&quot;$&quot;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$ raised per day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1F2F6B"/>
            </a:solidFill>
            <a:ln xmlns:a="http://schemas.openxmlformats.org/drawingml/2006/main">
              <a:prstDash val="solid"/>
            </a:ln>
          </spPr>
          <cat>
            <numRef>
              <f>'By Day'!$A$6:$A$20</f>
            </numRef>
          </cat>
          <val>
            <numRef>
              <f>'By Day'!$B$6:$B$20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&quot;$&quot;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total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32000">
              <a:solidFill>
                <a:srgbClr val="D7262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'By Day'!$A$6:$A$20</f>
            </numRef>
          </cat>
          <val>
            <numRef>
              <f>'By Day'!$D$6:$D$20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&quot;$&quot;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5760000" cy="435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2</row>
      <rowOff>0</rowOff>
    </from>
    <ext cx="64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18</row>
      <rowOff>0</rowOff>
    </from>
    <ext cx="648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D7262B"/>
    <outlinePr summaryBelow="1" summaryRight="1"/>
    <pageSetUpPr fitToPage="1"/>
  </sheetPr>
  <dimension ref="A1:H5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  <col width="9" customWidth="1" min="7" max="7"/>
    <col width="3" customWidth="1" min="8" max="8"/>
  </cols>
  <sheetData>
    <row r="1" ht="34" customHeight="1">
      <c r="A1" s="1" t="inlineStr">
        <is>
          <t>SAINTS RUN WILD  •  BY TEACHER</t>
        </is>
      </c>
    </row>
    <row r="3">
      <c r="A3" s="2" t="inlineStr">
        <is>
          <t>Raised</t>
        </is>
      </c>
      <c r="B3" s="2" t="inlineStr">
        <is>
          <t>Goal</t>
        </is>
      </c>
      <c r="C3" s="2" t="inlineStr">
        <is>
          <t>% of goal</t>
        </is>
      </c>
      <c r="D3" s="2" t="inlineStr">
        <is>
          <t>To go</t>
        </is>
      </c>
      <c r="E3" s="2" t="inlineStr">
        <is>
          <t>Students donated</t>
        </is>
      </c>
    </row>
    <row r="4" ht="34" customHeight="1">
      <c r="A4" s="3">
        <f>SUM(Donations!$D:$D)</f>
        <v/>
      </c>
      <c r="B4" s="4" t="n">
        <v>65000</v>
      </c>
      <c r="C4" s="5">
        <f>IF(B4&gt;0,A4/B4,0)</f>
        <v/>
      </c>
      <c r="D4" s="3">
        <f>MAX(0,B4-A4)</f>
        <v/>
      </c>
      <c r="E4" s="5">
        <f>IFERROR(COUNTIF(Students!$E:$E,"Yes")/(COUNTA(Students!$A:$A)-1),0)</f>
        <v/>
      </c>
    </row>
    <row r="5">
      <c r="A5" s="6">
        <f>IF(COUNTIF(Donations!$G:$G,"NOT ON LIST")=0,"✔ Every donation matches a student","⚠ "&amp;COUNTIF(Donations!$G:$G,"NOT ON LIST")&amp;" donation(s) ("&amp;TEXT(SUMIFS(Donations!$D:$D,Donations!$G:$G,"NOT ON LIST"),"$#,##0")&amp;") have a student not on the Students list (red rows on Donations)")</f>
        <v/>
      </c>
    </row>
    <row r="7" ht="32" customHeight="1">
      <c r="A7" s="7" t="inlineStr">
        <is>
          <t>Teacher (type once)</t>
        </is>
      </c>
      <c r="B7" s="7" t="inlineStr">
        <is>
          <t>Grade</t>
        </is>
      </c>
      <c r="C7" s="7" t="inlineStr">
        <is>
          <t>Students</t>
        </is>
      </c>
      <c r="D7" s="7" t="inlineStr">
        <is>
          <t>Donated</t>
        </is>
      </c>
      <c r="E7" s="7" t="inlineStr">
        <is>
          <t>Participation</t>
        </is>
      </c>
      <c r="F7" s="7" t="inlineStr">
        <is>
          <t>Total $</t>
        </is>
      </c>
      <c r="G7" s="7" t="inlineStr">
        <is>
          <t>Rank</t>
        </is>
      </c>
    </row>
    <row r="8">
      <c r="A8" s="8" t="inlineStr">
        <is>
          <t>Ms. Alvarez</t>
        </is>
      </c>
      <c r="B8" s="9">
        <f>IF(A8="","",IFERROR(INDEX(Students!$C:$C,MATCH(A8,Students!$B:$B,0))&amp;"",""))</f>
        <v/>
      </c>
      <c r="C8" s="9">
        <f>IF(A8="","",COUNTIF(Students!$B:$B,A8))</f>
        <v/>
      </c>
      <c r="D8" s="9">
        <f>IF(A8="","",COUNTIFS(Students!$B:$B,A8,Students!$D:$D,"&gt;0"))</f>
        <v/>
      </c>
      <c r="E8" s="10">
        <f>IF(OR(A8="",N(C8)=0),"",D8/C8)</f>
        <v/>
      </c>
      <c r="F8" s="11">
        <f>IF(A8="","",SUMIFS(Donations!$D:$D,Donations!$H:$H,A8))</f>
        <v/>
      </c>
      <c r="G8" s="9">
        <f>IF(A8="","",COUNTIF($F$8:$F$37,"&gt;"&amp;F8)+1)</f>
        <v/>
      </c>
    </row>
    <row r="9">
      <c r="A9" s="8" t="inlineStr">
        <is>
          <t>Mrs. Bennett</t>
        </is>
      </c>
      <c r="B9" s="9">
        <f>IF(A9="","",IFERROR(INDEX(Students!$C:$C,MATCH(A9,Students!$B:$B,0))&amp;"",""))</f>
        <v/>
      </c>
      <c r="C9" s="9">
        <f>IF(A9="","",COUNTIF(Students!$B:$B,A9))</f>
        <v/>
      </c>
      <c r="D9" s="9">
        <f>IF(A9="","",COUNTIFS(Students!$B:$B,A9,Students!$D:$D,"&gt;0"))</f>
        <v/>
      </c>
      <c r="E9" s="10">
        <f>IF(OR(A9="",N(C9)=0),"",D9/C9)</f>
        <v/>
      </c>
      <c r="F9" s="11">
        <f>IF(A9="","",SUMIFS(Donations!$D:$D,Donations!$H:$H,A9))</f>
        <v/>
      </c>
      <c r="G9" s="9">
        <f>IF(A9="","",COUNTIF($F$8:$F$37,"&gt;"&amp;F9)+1)</f>
        <v/>
      </c>
    </row>
    <row r="10">
      <c r="A10" s="8" t="inlineStr">
        <is>
          <t>Mr. Carter</t>
        </is>
      </c>
      <c r="B10" s="9">
        <f>IF(A10="","",IFERROR(INDEX(Students!$C:$C,MATCH(A10,Students!$B:$B,0))&amp;"",""))</f>
        <v/>
      </c>
      <c r="C10" s="9">
        <f>IF(A10="","",COUNTIF(Students!$B:$B,A10))</f>
        <v/>
      </c>
      <c r="D10" s="9">
        <f>IF(A10="","",COUNTIFS(Students!$B:$B,A10,Students!$D:$D,"&gt;0"))</f>
        <v/>
      </c>
      <c r="E10" s="10">
        <f>IF(OR(A10="",N(C10)=0),"",D10/C10)</f>
        <v/>
      </c>
      <c r="F10" s="11">
        <f>IF(A10="","",SUMIFS(Donations!$D:$D,Donations!$H:$H,A10))</f>
        <v/>
      </c>
      <c r="G10" s="9">
        <f>IF(A10="","",COUNTIF($F$8:$F$37,"&gt;"&amp;F10)+1)</f>
        <v/>
      </c>
    </row>
    <row r="11">
      <c r="A11" s="8" t="inlineStr">
        <is>
          <t>Mrs. Dominguez</t>
        </is>
      </c>
      <c r="B11" s="9">
        <f>IF(A11="","",IFERROR(INDEX(Students!$C:$C,MATCH(A11,Students!$B:$B,0))&amp;"",""))</f>
        <v/>
      </c>
      <c r="C11" s="9">
        <f>IF(A11="","",COUNTIF(Students!$B:$B,A11))</f>
        <v/>
      </c>
      <c r="D11" s="9">
        <f>IF(A11="","",COUNTIFS(Students!$B:$B,A11,Students!$D:$D,"&gt;0"))</f>
        <v/>
      </c>
      <c r="E11" s="10">
        <f>IF(OR(A11="",N(C11)=0),"",D11/C11)</f>
        <v/>
      </c>
      <c r="F11" s="11">
        <f>IF(A11="","",SUMIFS(Donations!$D:$D,Donations!$H:$H,A11))</f>
        <v/>
      </c>
      <c r="G11" s="9">
        <f>IF(A11="","",COUNTIF($F$8:$F$37,"&gt;"&amp;F11)+1)</f>
        <v/>
      </c>
    </row>
    <row r="12">
      <c r="A12" s="8" t="inlineStr">
        <is>
          <t>Ms. Ellison</t>
        </is>
      </c>
      <c r="B12" s="9">
        <f>IF(A12="","",IFERROR(INDEX(Students!$C:$C,MATCH(A12,Students!$B:$B,0))&amp;"",""))</f>
        <v/>
      </c>
      <c r="C12" s="9">
        <f>IF(A12="","",COUNTIF(Students!$B:$B,A12))</f>
        <v/>
      </c>
      <c r="D12" s="9">
        <f>IF(A12="","",COUNTIFS(Students!$B:$B,A12,Students!$D:$D,"&gt;0"))</f>
        <v/>
      </c>
      <c r="E12" s="10">
        <f>IF(OR(A12="",N(C12)=0),"",D12/C12)</f>
        <v/>
      </c>
      <c r="F12" s="11">
        <f>IF(A12="","",SUMIFS(Donations!$D:$D,Donations!$H:$H,A12))</f>
        <v/>
      </c>
      <c r="G12" s="9">
        <f>IF(A12="","",COUNTIF($F$8:$F$37,"&gt;"&amp;F12)+1)</f>
        <v/>
      </c>
    </row>
    <row r="13">
      <c r="A13" s="8" t="inlineStr">
        <is>
          <t>Mrs. Fischer</t>
        </is>
      </c>
      <c r="B13" s="9">
        <f>IF(A13="","",IFERROR(INDEX(Students!$C:$C,MATCH(A13,Students!$B:$B,0))&amp;"",""))</f>
        <v/>
      </c>
      <c r="C13" s="9">
        <f>IF(A13="","",COUNTIF(Students!$B:$B,A13))</f>
        <v/>
      </c>
      <c r="D13" s="9">
        <f>IF(A13="","",COUNTIFS(Students!$B:$B,A13,Students!$D:$D,"&gt;0"))</f>
        <v/>
      </c>
      <c r="E13" s="10">
        <f>IF(OR(A13="",N(C13)=0),"",D13/C13)</f>
        <v/>
      </c>
      <c r="F13" s="11">
        <f>IF(A13="","",SUMIFS(Donations!$D:$D,Donations!$H:$H,A13))</f>
        <v/>
      </c>
      <c r="G13" s="9">
        <f>IF(A13="","",COUNTIF($F$8:$F$37,"&gt;"&amp;F13)+1)</f>
        <v/>
      </c>
    </row>
    <row r="14">
      <c r="A14" s="8" t="inlineStr">
        <is>
          <t>Mr. Galloway</t>
        </is>
      </c>
      <c r="B14" s="9">
        <f>IF(A14="","",IFERROR(INDEX(Students!$C:$C,MATCH(A14,Students!$B:$B,0))&amp;"",""))</f>
        <v/>
      </c>
      <c r="C14" s="9">
        <f>IF(A14="","",COUNTIF(Students!$B:$B,A14))</f>
        <v/>
      </c>
      <c r="D14" s="9">
        <f>IF(A14="","",COUNTIFS(Students!$B:$B,A14,Students!$D:$D,"&gt;0"))</f>
        <v/>
      </c>
      <c r="E14" s="10">
        <f>IF(OR(A14="",N(C14)=0),"",D14/C14)</f>
        <v/>
      </c>
      <c r="F14" s="11">
        <f>IF(A14="","",SUMIFS(Donations!$D:$D,Donations!$H:$H,A14))</f>
        <v/>
      </c>
      <c r="G14" s="9">
        <f>IF(A14="","",COUNTIF($F$8:$F$37,"&gt;"&amp;F14)+1)</f>
        <v/>
      </c>
    </row>
    <row r="15">
      <c r="A15" s="8" t="inlineStr">
        <is>
          <t>Mrs. Hayes</t>
        </is>
      </c>
      <c r="B15" s="9">
        <f>IF(A15="","",IFERROR(INDEX(Students!$C:$C,MATCH(A15,Students!$B:$B,0))&amp;"",""))</f>
        <v/>
      </c>
      <c r="C15" s="9">
        <f>IF(A15="","",COUNTIF(Students!$B:$B,A15))</f>
        <v/>
      </c>
      <c r="D15" s="9">
        <f>IF(A15="","",COUNTIFS(Students!$B:$B,A15,Students!$D:$D,"&gt;0"))</f>
        <v/>
      </c>
      <c r="E15" s="10">
        <f>IF(OR(A15="",N(C15)=0),"",D15/C15)</f>
        <v/>
      </c>
      <c r="F15" s="11">
        <f>IF(A15="","",SUMIFS(Donations!$D:$D,Donations!$H:$H,A15))</f>
        <v/>
      </c>
      <c r="G15" s="9">
        <f>IF(A15="","",COUNTIF($F$8:$F$37,"&gt;"&amp;F15)+1)</f>
        <v/>
      </c>
    </row>
    <row r="16">
      <c r="A16" s="8" t="inlineStr">
        <is>
          <t>Ms. Ingram</t>
        </is>
      </c>
      <c r="B16" s="9">
        <f>IF(A16="","",IFERROR(INDEX(Students!$C:$C,MATCH(A16,Students!$B:$B,0))&amp;"",""))</f>
        <v/>
      </c>
      <c r="C16" s="9">
        <f>IF(A16="","",COUNTIF(Students!$B:$B,A16))</f>
        <v/>
      </c>
      <c r="D16" s="9">
        <f>IF(A16="","",COUNTIFS(Students!$B:$B,A16,Students!$D:$D,"&gt;0"))</f>
        <v/>
      </c>
      <c r="E16" s="10">
        <f>IF(OR(A16="",N(C16)=0),"",D16/C16)</f>
        <v/>
      </c>
      <c r="F16" s="11">
        <f>IF(A16="","",SUMIFS(Donations!$D:$D,Donations!$H:$H,A16))</f>
        <v/>
      </c>
      <c r="G16" s="9">
        <f>IF(A16="","",COUNTIF($F$8:$F$37,"&gt;"&amp;F16)+1)</f>
        <v/>
      </c>
    </row>
    <row r="17">
      <c r="A17" s="8" t="inlineStr">
        <is>
          <t>Mrs. Jensen</t>
        </is>
      </c>
      <c r="B17" s="9">
        <f>IF(A17="","",IFERROR(INDEX(Students!$C:$C,MATCH(A17,Students!$B:$B,0))&amp;"",""))</f>
        <v/>
      </c>
      <c r="C17" s="9">
        <f>IF(A17="","",COUNTIF(Students!$B:$B,A17))</f>
        <v/>
      </c>
      <c r="D17" s="9">
        <f>IF(A17="","",COUNTIFS(Students!$B:$B,A17,Students!$D:$D,"&gt;0"))</f>
        <v/>
      </c>
      <c r="E17" s="10">
        <f>IF(OR(A17="",N(C17)=0),"",D17/C17)</f>
        <v/>
      </c>
      <c r="F17" s="11">
        <f>IF(A17="","",SUMIFS(Donations!$D:$D,Donations!$H:$H,A17))</f>
        <v/>
      </c>
      <c r="G17" s="9">
        <f>IF(A17="","",COUNTIF($F$8:$F$37,"&gt;"&amp;F17)+1)</f>
        <v/>
      </c>
    </row>
    <row r="18">
      <c r="A18" s="8" t="inlineStr">
        <is>
          <t>Mr. Kowalski</t>
        </is>
      </c>
      <c r="B18" s="9">
        <f>IF(A18="","",IFERROR(INDEX(Students!$C:$C,MATCH(A18,Students!$B:$B,0))&amp;"",""))</f>
        <v/>
      </c>
      <c r="C18" s="9">
        <f>IF(A18="","",COUNTIF(Students!$B:$B,A18))</f>
        <v/>
      </c>
      <c r="D18" s="9">
        <f>IF(A18="","",COUNTIFS(Students!$B:$B,A18,Students!$D:$D,"&gt;0"))</f>
        <v/>
      </c>
      <c r="E18" s="10">
        <f>IF(OR(A18="",N(C18)=0),"",D18/C18)</f>
        <v/>
      </c>
      <c r="F18" s="11">
        <f>IF(A18="","",SUMIFS(Donations!$D:$D,Donations!$H:$H,A18))</f>
        <v/>
      </c>
      <c r="G18" s="9">
        <f>IF(A18="","",COUNTIF($F$8:$F$37,"&gt;"&amp;F18)+1)</f>
        <v/>
      </c>
    </row>
    <row r="19">
      <c r="A19" s="8" t="inlineStr">
        <is>
          <t>Mrs. Lindqvist</t>
        </is>
      </c>
      <c r="B19" s="9">
        <f>IF(A19="","",IFERROR(INDEX(Students!$C:$C,MATCH(A19,Students!$B:$B,0))&amp;"",""))</f>
        <v/>
      </c>
      <c r="C19" s="9">
        <f>IF(A19="","",COUNTIF(Students!$B:$B,A19))</f>
        <v/>
      </c>
      <c r="D19" s="9">
        <f>IF(A19="","",COUNTIFS(Students!$B:$B,A19,Students!$D:$D,"&gt;0"))</f>
        <v/>
      </c>
      <c r="E19" s="10">
        <f>IF(OR(A19="",N(C19)=0),"",D19/C19)</f>
        <v/>
      </c>
      <c r="F19" s="11">
        <f>IF(A19="","",SUMIFS(Donations!$D:$D,Donations!$H:$H,A19))</f>
        <v/>
      </c>
      <c r="G19" s="9">
        <f>IF(A19="","",COUNTIF($F$8:$F$37,"&gt;"&amp;F19)+1)</f>
        <v/>
      </c>
    </row>
    <row r="20">
      <c r="A20" s="8" t="inlineStr">
        <is>
          <t>Ms. Moreau</t>
        </is>
      </c>
      <c r="B20" s="9">
        <f>IF(A20="","",IFERROR(INDEX(Students!$C:$C,MATCH(A20,Students!$B:$B,0))&amp;"",""))</f>
        <v/>
      </c>
      <c r="C20" s="9">
        <f>IF(A20="","",COUNTIF(Students!$B:$B,A20))</f>
        <v/>
      </c>
      <c r="D20" s="9">
        <f>IF(A20="","",COUNTIFS(Students!$B:$B,A20,Students!$D:$D,"&gt;0"))</f>
        <v/>
      </c>
      <c r="E20" s="10">
        <f>IF(OR(A20="",N(C20)=0),"",D20/C20)</f>
        <v/>
      </c>
      <c r="F20" s="11">
        <f>IF(A20="","",SUMIFS(Donations!$D:$D,Donations!$H:$H,A20))</f>
        <v/>
      </c>
      <c r="G20" s="9">
        <f>IF(A20="","",COUNTIF($F$8:$F$37,"&gt;"&amp;F20)+1)</f>
        <v/>
      </c>
    </row>
    <row r="21">
      <c r="A21" s="8" t="inlineStr">
        <is>
          <t>Mrs. Novak</t>
        </is>
      </c>
      <c r="B21" s="9">
        <f>IF(A21="","",IFERROR(INDEX(Students!$C:$C,MATCH(A21,Students!$B:$B,0))&amp;"",""))</f>
        <v/>
      </c>
      <c r="C21" s="9">
        <f>IF(A21="","",COUNTIF(Students!$B:$B,A21))</f>
        <v/>
      </c>
      <c r="D21" s="9">
        <f>IF(A21="","",COUNTIFS(Students!$B:$B,A21,Students!$D:$D,"&gt;0"))</f>
        <v/>
      </c>
      <c r="E21" s="10">
        <f>IF(OR(A21="",N(C21)=0),"",D21/C21)</f>
        <v/>
      </c>
      <c r="F21" s="11">
        <f>IF(A21="","",SUMIFS(Donations!$D:$D,Donations!$H:$H,A21))</f>
        <v/>
      </c>
      <c r="G21" s="9">
        <f>IF(A21="","",COUNTIF($F$8:$F$37,"&gt;"&amp;F21)+1)</f>
        <v/>
      </c>
    </row>
    <row r="22">
      <c r="A22" s="8" t="inlineStr">
        <is>
          <t>Mr. Okafor</t>
        </is>
      </c>
      <c r="B22" s="9">
        <f>IF(A22="","",IFERROR(INDEX(Students!$C:$C,MATCH(A22,Students!$B:$B,0))&amp;"",""))</f>
        <v/>
      </c>
      <c r="C22" s="9">
        <f>IF(A22="","",COUNTIF(Students!$B:$B,A22))</f>
        <v/>
      </c>
      <c r="D22" s="9">
        <f>IF(A22="","",COUNTIFS(Students!$B:$B,A22,Students!$D:$D,"&gt;0"))</f>
        <v/>
      </c>
      <c r="E22" s="10">
        <f>IF(OR(A22="",N(C22)=0),"",D22/C22)</f>
        <v/>
      </c>
      <c r="F22" s="11">
        <f>IF(A22="","",SUMIFS(Donations!$D:$D,Donations!$H:$H,A22))</f>
        <v/>
      </c>
      <c r="G22" s="9">
        <f>IF(A22="","",COUNTIF($F$8:$F$37,"&gt;"&amp;F22)+1)</f>
        <v/>
      </c>
    </row>
    <row r="23">
      <c r="A23" s="8" t="inlineStr">
        <is>
          <t>Mrs. Pruitt</t>
        </is>
      </c>
      <c r="B23" s="9">
        <f>IF(A23="","",IFERROR(INDEX(Students!$C:$C,MATCH(A23,Students!$B:$B,0))&amp;"",""))</f>
        <v/>
      </c>
      <c r="C23" s="9">
        <f>IF(A23="","",COUNTIF(Students!$B:$B,A23))</f>
        <v/>
      </c>
      <c r="D23" s="9">
        <f>IF(A23="","",COUNTIFS(Students!$B:$B,A23,Students!$D:$D,"&gt;0"))</f>
        <v/>
      </c>
      <c r="E23" s="10">
        <f>IF(OR(A23="",N(C23)=0),"",D23/C23)</f>
        <v/>
      </c>
      <c r="F23" s="11">
        <f>IF(A23="","",SUMIFS(Donations!$D:$D,Donations!$H:$H,A23))</f>
        <v/>
      </c>
      <c r="G23" s="9">
        <f>IF(A23="","",COUNTIF($F$8:$F$37,"&gt;"&amp;F23)+1)</f>
        <v/>
      </c>
    </row>
    <row r="24">
      <c r="A24" s="8" t="inlineStr">
        <is>
          <t>Ms. Quinlan</t>
        </is>
      </c>
      <c r="B24" s="9">
        <f>IF(A24="","",IFERROR(INDEX(Students!$C:$C,MATCH(A24,Students!$B:$B,0))&amp;"",""))</f>
        <v/>
      </c>
      <c r="C24" s="9">
        <f>IF(A24="","",COUNTIF(Students!$B:$B,A24))</f>
        <v/>
      </c>
      <c r="D24" s="9">
        <f>IF(A24="","",COUNTIFS(Students!$B:$B,A24,Students!$D:$D,"&gt;0"))</f>
        <v/>
      </c>
      <c r="E24" s="10">
        <f>IF(OR(A24="",N(C24)=0),"",D24/C24)</f>
        <v/>
      </c>
      <c r="F24" s="11">
        <f>IF(A24="","",SUMIFS(Donations!$D:$D,Donations!$H:$H,A24))</f>
        <v/>
      </c>
      <c r="G24" s="9">
        <f>IF(A24="","",COUNTIF($F$8:$F$37,"&gt;"&amp;F24)+1)</f>
        <v/>
      </c>
    </row>
    <row r="25">
      <c r="A25" s="8" t="inlineStr">
        <is>
          <t>Mrs. Ravel</t>
        </is>
      </c>
      <c r="B25" s="9">
        <f>IF(A25="","",IFERROR(INDEX(Students!$C:$C,MATCH(A25,Students!$B:$B,0))&amp;"",""))</f>
        <v/>
      </c>
      <c r="C25" s="9">
        <f>IF(A25="","",COUNTIF(Students!$B:$B,A25))</f>
        <v/>
      </c>
      <c r="D25" s="9">
        <f>IF(A25="","",COUNTIFS(Students!$B:$B,A25,Students!$D:$D,"&gt;0"))</f>
        <v/>
      </c>
      <c r="E25" s="10">
        <f>IF(OR(A25="",N(C25)=0),"",D25/C25)</f>
        <v/>
      </c>
      <c r="F25" s="11">
        <f>IF(A25="","",SUMIFS(Donations!$D:$D,Donations!$H:$H,A25))</f>
        <v/>
      </c>
      <c r="G25" s="9">
        <f>IF(A25="","",COUNTIF($F$8:$F$37,"&gt;"&amp;F25)+1)</f>
        <v/>
      </c>
    </row>
    <row r="26">
      <c r="A26" s="8" t="inlineStr">
        <is>
          <t>Mr. Stanton</t>
        </is>
      </c>
      <c r="B26" s="9">
        <f>IF(A26="","",IFERROR(INDEX(Students!$C:$C,MATCH(A26,Students!$B:$B,0))&amp;"",""))</f>
        <v/>
      </c>
      <c r="C26" s="9">
        <f>IF(A26="","",COUNTIF(Students!$B:$B,A26))</f>
        <v/>
      </c>
      <c r="D26" s="9">
        <f>IF(A26="","",COUNTIFS(Students!$B:$B,A26,Students!$D:$D,"&gt;0"))</f>
        <v/>
      </c>
      <c r="E26" s="10">
        <f>IF(OR(A26="",N(C26)=0),"",D26/C26)</f>
        <v/>
      </c>
      <c r="F26" s="11">
        <f>IF(A26="","",SUMIFS(Donations!$D:$D,Donations!$H:$H,A26))</f>
        <v/>
      </c>
      <c r="G26" s="9">
        <f>IF(A26="","",COUNTIF($F$8:$F$37,"&gt;"&amp;F26)+1)</f>
        <v/>
      </c>
    </row>
    <row r="27">
      <c r="A27" s="8" t="inlineStr">
        <is>
          <t>Mrs. Thorne</t>
        </is>
      </c>
      <c r="B27" s="9">
        <f>IF(A27="","",IFERROR(INDEX(Students!$C:$C,MATCH(A27,Students!$B:$B,0))&amp;"",""))</f>
        <v/>
      </c>
      <c r="C27" s="9">
        <f>IF(A27="","",COUNTIF(Students!$B:$B,A27))</f>
        <v/>
      </c>
      <c r="D27" s="9">
        <f>IF(A27="","",COUNTIFS(Students!$B:$B,A27,Students!$D:$D,"&gt;0"))</f>
        <v/>
      </c>
      <c r="E27" s="10">
        <f>IF(OR(A27="",N(C27)=0),"",D27/C27)</f>
        <v/>
      </c>
      <c r="F27" s="11">
        <f>IF(A27="","",SUMIFS(Donations!$D:$D,Donations!$H:$H,A27))</f>
        <v/>
      </c>
      <c r="G27" s="9">
        <f>IF(A27="","",COUNTIF($F$8:$F$37,"&gt;"&amp;F27)+1)</f>
        <v/>
      </c>
    </row>
    <row r="28">
      <c r="A28" s="8" t="inlineStr">
        <is>
          <t>Ms. Underwood</t>
        </is>
      </c>
      <c r="B28" s="9">
        <f>IF(A28="","",IFERROR(INDEX(Students!$C:$C,MATCH(A28,Students!$B:$B,0))&amp;"",""))</f>
        <v/>
      </c>
      <c r="C28" s="9">
        <f>IF(A28="","",COUNTIF(Students!$B:$B,A28))</f>
        <v/>
      </c>
      <c r="D28" s="9">
        <f>IF(A28="","",COUNTIFS(Students!$B:$B,A28,Students!$D:$D,"&gt;0"))</f>
        <v/>
      </c>
      <c r="E28" s="10">
        <f>IF(OR(A28="",N(C28)=0),"",D28/C28)</f>
        <v/>
      </c>
      <c r="F28" s="11">
        <f>IF(A28="","",SUMIFS(Donations!$D:$D,Donations!$H:$H,A28))</f>
        <v/>
      </c>
      <c r="G28" s="9">
        <f>IF(A28="","",COUNTIF($F$8:$F$37,"&gt;"&amp;F28)+1)</f>
        <v/>
      </c>
    </row>
    <row r="29">
      <c r="A29" s="8" t="inlineStr">
        <is>
          <t>Mrs. Valdez</t>
        </is>
      </c>
      <c r="B29" s="9">
        <f>IF(A29="","",IFERROR(INDEX(Students!$C:$C,MATCH(A29,Students!$B:$B,0))&amp;"",""))</f>
        <v/>
      </c>
      <c r="C29" s="9">
        <f>IF(A29="","",COUNTIF(Students!$B:$B,A29))</f>
        <v/>
      </c>
      <c r="D29" s="9">
        <f>IF(A29="","",COUNTIFS(Students!$B:$B,A29,Students!$D:$D,"&gt;0"))</f>
        <v/>
      </c>
      <c r="E29" s="10">
        <f>IF(OR(A29="",N(C29)=0),"",D29/C29)</f>
        <v/>
      </c>
      <c r="F29" s="11">
        <f>IF(A29="","",SUMIFS(Donations!$D:$D,Donations!$H:$H,A29))</f>
        <v/>
      </c>
      <c r="G29" s="9">
        <f>IF(A29="","",COUNTIF($F$8:$F$37,"&gt;"&amp;F29)+1)</f>
        <v/>
      </c>
    </row>
    <row r="30">
      <c r="A30" s="8" t="n"/>
      <c r="B30" s="9">
        <f>IF(A30="","",IFERROR(INDEX(Students!$C:$C,MATCH(A30,Students!$B:$B,0))&amp;"",""))</f>
        <v/>
      </c>
      <c r="C30" s="9">
        <f>IF(A30="","",COUNTIF(Students!$B:$B,A30))</f>
        <v/>
      </c>
      <c r="D30" s="9">
        <f>IF(A30="","",COUNTIFS(Students!$B:$B,A30,Students!$D:$D,"&gt;0"))</f>
        <v/>
      </c>
      <c r="E30" s="10">
        <f>IF(OR(A30="",N(C30)=0),"",D30/C30)</f>
        <v/>
      </c>
      <c r="F30" s="11">
        <f>IF(A30="","",SUMIFS(Donations!$D:$D,Donations!$H:$H,A30))</f>
        <v/>
      </c>
      <c r="G30" s="9">
        <f>IF(A30="","",COUNTIF($F$8:$F$37,"&gt;"&amp;F30)+1)</f>
        <v/>
      </c>
    </row>
    <row r="31">
      <c r="A31" s="8" t="n"/>
      <c r="B31" s="9">
        <f>IF(A31="","",IFERROR(INDEX(Students!$C:$C,MATCH(A31,Students!$B:$B,0))&amp;"",""))</f>
        <v/>
      </c>
      <c r="C31" s="9">
        <f>IF(A31="","",COUNTIF(Students!$B:$B,A31))</f>
        <v/>
      </c>
      <c r="D31" s="9">
        <f>IF(A31="","",COUNTIFS(Students!$B:$B,A31,Students!$D:$D,"&gt;0"))</f>
        <v/>
      </c>
      <c r="E31" s="10">
        <f>IF(OR(A31="",N(C31)=0),"",D31/C31)</f>
        <v/>
      </c>
      <c r="F31" s="11">
        <f>IF(A31="","",SUMIFS(Donations!$D:$D,Donations!$H:$H,A31))</f>
        <v/>
      </c>
      <c r="G31" s="9">
        <f>IF(A31="","",COUNTIF($F$8:$F$37,"&gt;"&amp;F31)+1)</f>
        <v/>
      </c>
    </row>
    <row r="32">
      <c r="A32" s="8" t="n"/>
      <c r="B32" s="9">
        <f>IF(A32="","",IFERROR(INDEX(Students!$C:$C,MATCH(A32,Students!$B:$B,0))&amp;"",""))</f>
        <v/>
      </c>
      <c r="C32" s="9">
        <f>IF(A32="","",COUNTIF(Students!$B:$B,A32))</f>
        <v/>
      </c>
      <c r="D32" s="9">
        <f>IF(A32="","",COUNTIFS(Students!$B:$B,A32,Students!$D:$D,"&gt;0"))</f>
        <v/>
      </c>
      <c r="E32" s="10">
        <f>IF(OR(A32="",N(C32)=0),"",D32/C32)</f>
        <v/>
      </c>
      <c r="F32" s="11">
        <f>IF(A32="","",SUMIFS(Donations!$D:$D,Donations!$H:$H,A32))</f>
        <v/>
      </c>
      <c r="G32" s="9">
        <f>IF(A32="","",COUNTIF($F$8:$F$37,"&gt;"&amp;F32)+1)</f>
        <v/>
      </c>
    </row>
    <row r="33">
      <c r="A33" s="8" t="n"/>
      <c r="B33" s="9">
        <f>IF(A33="","",IFERROR(INDEX(Students!$C:$C,MATCH(A33,Students!$B:$B,0))&amp;"",""))</f>
        <v/>
      </c>
      <c r="C33" s="9">
        <f>IF(A33="","",COUNTIF(Students!$B:$B,A33))</f>
        <v/>
      </c>
      <c r="D33" s="9">
        <f>IF(A33="","",COUNTIFS(Students!$B:$B,A33,Students!$D:$D,"&gt;0"))</f>
        <v/>
      </c>
      <c r="E33" s="10">
        <f>IF(OR(A33="",N(C33)=0),"",D33/C33)</f>
        <v/>
      </c>
      <c r="F33" s="11">
        <f>IF(A33="","",SUMIFS(Donations!$D:$D,Donations!$H:$H,A33))</f>
        <v/>
      </c>
      <c r="G33" s="9">
        <f>IF(A33="","",COUNTIF($F$8:$F$37,"&gt;"&amp;F33)+1)</f>
        <v/>
      </c>
    </row>
    <row r="34">
      <c r="A34" s="8" t="n"/>
      <c r="B34" s="9">
        <f>IF(A34="","",IFERROR(INDEX(Students!$C:$C,MATCH(A34,Students!$B:$B,0))&amp;"",""))</f>
        <v/>
      </c>
      <c r="C34" s="9">
        <f>IF(A34="","",COUNTIF(Students!$B:$B,A34))</f>
        <v/>
      </c>
      <c r="D34" s="9">
        <f>IF(A34="","",COUNTIFS(Students!$B:$B,A34,Students!$D:$D,"&gt;0"))</f>
        <v/>
      </c>
      <c r="E34" s="10">
        <f>IF(OR(A34="",N(C34)=0),"",D34/C34)</f>
        <v/>
      </c>
      <c r="F34" s="11">
        <f>IF(A34="","",SUMIFS(Donations!$D:$D,Donations!$H:$H,A34))</f>
        <v/>
      </c>
      <c r="G34" s="9">
        <f>IF(A34="","",COUNTIF($F$8:$F$37,"&gt;"&amp;F34)+1)</f>
        <v/>
      </c>
    </row>
    <row r="35">
      <c r="A35" s="8" t="n"/>
      <c r="B35" s="9">
        <f>IF(A35="","",IFERROR(INDEX(Students!$C:$C,MATCH(A35,Students!$B:$B,0))&amp;"",""))</f>
        <v/>
      </c>
      <c r="C35" s="9">
        <f>IF(A35="","",COUNTIF(Students!$B:$B,A35))</f>
        <v/>
      </c>
      <c r="D35" s="9">
        <f>IF(A35="","",COUNTIFS(Students!$B:$B,A35,Students!$D:$D,"&gt;0"))</f>
        <v/>
      </c>
      <c r="E35" s="10">
        <f>IF(OR(A35="",N(C35)=0),"",D35/C35)</f>
        <v/>
      </c>
      <c r="F35" s="11">
        <f>IF(A35="","",SUMIFS(Donations!$D:$D,Donations!$H:$H,A35))</f>
        <v/>
      </c>
      <c r="G35" s="9">
        <f>IF(A35="","",COUNTIF($F$8:$F$37,"&gt;"&amp;F35)+1)</f>
        <v/>
      </c>
    </row>
    <row r="36">
      <c r="A36" s="8" t="n"/>
      <c r="B36" s="9">
        <f>IF(A36="","",IFERROR(INDEX(Students!$C:$C,MATCH(A36,Students!$B:$B,0))&amp;"",""))</f>
        <v/>
      </c>
      <c r="C36" s="9">
        <f>IF(A36="","",COUNTIF(Students!$B:$B,A36))</f>
        <v/>
      </c>
      <c r="D36" s="9">
        <f>IF(A36="","",COUNTIFS(Students!$B:$B,A36,Students!$D:$D,"&gt;0"))</f>
        <v/>
      </c>
      <c r="E36" s="10">
        <f>IF(OR(A36="",N(C36)=0),"",D36/C36)</f>
        <v/>
      </c>
      <c r="F36" s="11">
        <f>IF(A36="","",SUMIFS(Donations!$D:$D,Donations!$H:$H,A36))</f>
        <v/>
      </c>
      <c r="G36" s="9">
        <f>IF(A36="","",COUNTIF($F$8:$F$37,"&gt;"&amp;F36)+1)</f>
        <v/>
      </c>
    </row>
    <row r="37">
      <c r="A37" s="8" t="n"/>
      <c r="B37" s="9">
        <f>IF(A37="","",IFERROR(INDEX(Students!$C:$C,MATCH(A37,Students!$B:$B,0))&amp;"",""))</f>
        <v/>
      </c>
      <c r="C37" s="9">
        <f>IF(A37="","",COUNTIF(Students!$B:$B,A37))</f>
        <v/>
      </c>
      <c r="D37" s="9">
        <f>IF(A37="","",COUNTIFS(Students!$B:$B,A37,Students!$D:$D,"&gt;0"))</f>
        <v/>
      </c>
      <c r="E37" s="10">
        <f>IF(OR(A37="",N(C37)=0),"",D37/C37)</f>
        <v/>
      </c>
      <c r="F37" s="11">
        <f>IF(A37="","",SUMIFS(Donations!$D:$D,Donations!$H:$H,A37))</f>
        <v/>
      </c>
      <c r="G37" s="9">
        <f>IF(A37="","",COUNTIF($F$8:$F$37,"&gt;"&amp;F37)+1)</f>
        <v/>
      </c>
    </row>
    <row r="39" ht="32" customHeight="1">
      <c r="A39" s="7" t="inlineStr">
        <is>
          <t>Grade</t>
        </is>
      </c>
      <c r="B39" s="7" t="inlineStr"/>
      <c r="C39" s="7" t="inlineStr">
        <is>
          <t>Students</t>
        </is>
      </c>
      <c r="D39" s="7" t="inlineStr">
        <is>
          <t>Donated</t>
        </is>
      </c>
      <c r="E39" s="7" t="inlineStr">
        <is>
          <t>Participation</t>
        </is>
      </c>
      <c r="F39" s="7" t="inlineStr">
        <is>
          <t>Total $</t>
        </is>
      </c>
      <c r="G39" s="7" t="inlineStr">
        <is>
          <t>Rank</t>
        </is>
      </c>
    </row>
    <row r="40">
      <c r="A40" s="12" t="inlineStr">
        <is>
          <t>Grade P3</t>
        </is>
      </c>
      <c r="B40" s="13" t="inlineStr">
        <is>
          <t>P3</t>
        </is>
      </c>
      <c r="C40" s="9">
        <f>COUNTIF(Students!$C:$C,B40)</f>
        <v/>
      </c>
      <c r="D40" s="9">
        <f>COUNTIFS(Students!$C:$C,B40,Students!$D:$D,"&gt;0")</f>
        <v/>
      </c>
      <c r="E40" s="10">
        <f>IF(C40=0,"",D40/C40)</f>
        <v/>
      </c>
      <c r="F40" s="11">
        <f>SUMIFS(Donations!$D:$D,Donations!$I:$I,B40)</f>
        <v/>
      </c>
      <c r="G40" s="9">
        <f>COUNTIF($F$40:$F$50,"&gt;"&amp;F40)+1</f>
        <v/>
      </c>
    </row>
    <row r="41">
      <c r="A41" s="12" t="inlineStr">
        <is>
          <t>Grade P4</t>
        </is>
      </c>
      <c r="B41" s="13" t="inlineStr">
        <is>
          <t>P4</t>
        </is>
      </c>
      <c r="C41" s="9">
        <f>COUNTIF(Students!$C:$C,B41)</f>
        <v/>
      </c>
      <c r="D41" s="9">
        <f>COUNTIFS(Students!$C:$C,B41,Students!$D:$D,"&gt;0")</f>
        <v/>
      </c>
      <c r="E41" s="10">
        <f>IF(C41=0,"",D41/C41)</f>
        <v/>
      </c>
      <c r="F41" s="11">
        <f>SUMIFS(Donations!$D:$D,Donations!$I:$I,B41)</f>
        <v/>
      </c>
      <c r="G41" s="9">
        <f>COUNTIF($F$40:$F$50,"&gt;"&amp;F41)+1</f>
        <v/>
      </c>
    </row>
    <row r="42">
      <c r="A42" s="12" t="inlineStr">
        <is>
          <t>Grade K</t>
        </is>
      </c>
      <c r="B42" s="13" t="inlineStr">
        <is>
          <t>K</t>
        </is>
      </c>
      <c r="C42" s="9">
        <f>COUNTIF(Students!$C:$C,B42)</f>
        <v/>
      </c>
      <c r="D42" s="9">
        <f>COUNTIFS(Students!$C:$C,B42,Students!$D:$D,"&gt;0")</f>
        <v/>
      </c>
      <c r="E42" s="10">
        <f>IF(C42=0,"",D42/C42)</f>
        <v/>
      </c>
      <c r="F42" s="11">
        <f>SUMIFS(Donations!$D:$D,Donations!$I:$I,B42)</f>
        <v/>
      </c>
      <c r="G42" s="9">
        <f>COUNTIF($F$40:$F$50,"&gt;"&amp;F42)+1</f>
        <v/>
      </c>
    </row>
    <row r="43">
      <c r="A43" s="12" t="inlineStr">
        <is>
          <t>Grade 1</t>
        </is>
      </c>
      <c r="B43" s="13" t="inlineStr">
        <is>
          <t>1</t>
        </is>
      </c>
      <c r="C43" s="9">
        <f>COUNTIF(Students!$C:$C,B43)</f>
        <v/>
      </c>
      <c r="D43" s="9">
        <f>COUNTIFS(Students!$C:$C,B43,Students!$D:$D,"&gt;0")</f>
        <v/>
      </c>
      <c r="E43" s="10">
        <f>IF(C43=0,"",D43/C43)</f>
        <v/>
      </c>
      <c r="F43" s="11">
        <f>SUMIFS(Donations!$D:$D,Donations!$I:$I,B43)</f>
        <v/>
      </c>
      <c r="G43" s="9">
        <f>COUNTIF($F$40:$F$50,"&gt;"&amp;F43)+1</f>
        <v/>
      </c>
    </row>
    <row r="44">
      <c r="A44" s="12" t="inlineStr">
        <is>
          <t>Grade 2</t>
        </is>
      </c>
      <c r="B44" s="13" t="inlineStr">
        <is>
          <t>2</t>
        </is>
      </c>
      <c r="C44" s="9">
        <f>COUNTIF(Students!$C:$C,B44)</f>
        <v/>
      </c>
      <c r="D44" s="9">
        <f>COUNTIFS(Students!$C:$C,B44,Students!$D:$D,"&gt;0")</f>
        <v/>
      </c>
      <c r="E44" s="10">
        <f>IF(C44=0,"",D44/C44)</f>
        <v/>
      </c>
      <c r="F44" s="11">
        <f>SUMIFS(Donations!$D:$D,Donations!$I:$I,B44)</f>
        <v/>
      </c>
      <c r="G44" s="9">
        <f>COUNTIF($F$40:$F$50,"&gt;"&amp;F44)+1</f>
        <v/>
      </c>
    </row>
    <row r="45">
      <c r="A45" s="12" t="inlineStr">
        <is>
          <t>Grade 3</t>
        </is>
      </c>
      <c r="B45" s="13" t="inlineStr">
        <is>
          <t>3</t>
        </is>
      </c>
      <c r="C45" s="9">
        <f>COUNTIF(Students!$C:$C,B45)</f>
        <v/>
      </c>
      <c r="D45" s="9">
        <f>COUNTIFS(Students!$C:$C,B45,Students!$D:$D,"&gt;0")</f>
        <v/>
      </c>
      <c r="E45" s="10">
        <f>IF(C45=0,"",D45/C45)</f>
        <v/>
      </c>
      <c r="F45" s="11">
        <f>SUMIFS(Donations!$D:$D,Donations!$I:$I,B45)</f>
        <v/>
      </c>
      <c r="G45" s="9">
        <f>COUNTIF($F$40:$F$50,"&gt;"&amp;F45)+1</f>
        <v/>
      </c>
    </row>
    <row r="46">
      <c r="A46" s="12" t="inlineStr">
        <is>
          <t>Grade 4</t>
        </is>
      </c>
      <c r="B46" s="13" t="inlineStr">
        <is>
          <t>4</t>
        </is>
      </c>
      <c r="C46" s="9">
        <f>COUNTIF(Students!$C:$C,B46)</f>
        <v/>
      </c>
      <c r="D46" s="9">
        <f>COUNTIFS(Students!$C:$C,B46,Students!$D:$D,"&gt;0")</f>
        <v/>
      </c>
      <c r="E46" s="10">
        <f>IF(C46=0,"",D46/C46)</f>
        <v/>
      </c>
      <c r="F46" s="11">
        <f>SUMIFS(Donations!$D:$D,Donations!$I:$I,B46)</f>
        <v/>
      </c>
      <c r="G46" s="9">
        <f>COUNTIF($F$40:$F$50,"&gt;"&amp;F46)+1</f>
        <v/>
      </c>
    </row>
    <row r="47">
      <c r="A47" s="12" t="inlineStr">
        <is>
          <t>Grade 5</t>
        </is>
      </c>
      <c r="B47" s="13" t="inlineStr">
        <is>
          <t>5</t>
        </is>
      </c>
      <c r="C47" s="9">
        <f>COUNTIF(Students!$C:$C,B47)</f>
        <v/>
      </c>
      <c r="D47" s="9">
        <f>COUNTIFS(Students!$C:$C,B47,Students!$D:$D,"&gt;0")</f>
        <v/>
      </c>
      <c r="E47" s="10">
        <f>IF(C47=0,"",D47/C47)</f>
        <v/>
      </c>
      <c r="F47" s="11">
        <f>SUMIFS(Donations!$D:$D,Donations!$I:$I,B47)</f>
        <v/>
      </c>
      <c r="G47" s="9">
        <f>COUNTIF($F$40:$F$50,"&gt;"&amp;F47)+1</f>
        <v/>
      </c>
    </row>
    <row r="48">
      <c r="A48" s="12" t="inlineStr">
        <is>
          <t>Grade 6</t>
        </is>
      </c>
      <c r="B48" s="13" t="inlineStr">
        <is>
          <t>6</t>
        </is>
      </c>
      <c r="C48" s="9">
        <f>COUNTIF(Students!$C:$C,B48)</f>
        <v/>
      </c>
      <c r="D48" s="9">
        <f>COUNTIFS(Students!$C:$C,B48,Students!$D:$D,"&gt;0")</f>
        <v/>
      </c>
      <c r="E48" s="10">
        <f>IF(C48=0,"",D48/C48)</f>
        <v/>
      </c>
      <c r="F48" s="11">
        <f>SUMIFS(Donations!$D:$D,Donations!$I:$I,B48)</f>
        <v/>
      </c>
      <c r="G48" s="9">
        <f>COUNTIF($F$40:$F$50,"&gt;"&amp;F48)+1</f>
        <v/>
      </c>
    </row>
    <row r="49">
      <c r="A49" s="12" t="inlineStr">
        <is>
          <t>Grade 7</t>
        </is>
      </c>
      <c r="B49" s="13" t="inlineStr">
        <is>
          <t>7</t>
        </is>
      </c>
      <c r="C49" s="9">
        <f>COUNTIF(Students!$C:$C,B49)</f>
        <v/>
      </c>
      <c r="D49" s="9">
        <f>COUNTIFS(Students!$C:$C,B49,Students!$D:$D,"&gt;0")</f>
        <v/>
      </c>
      <c r="E49" s="10">
        <f>IF(C49=0,"",D49/C49)</f>
        <v/>
      </c>
      <c r="F49" s="11">
        <f>SUMIFS(Donations!$D:$D,Donations!$I:$I,B49)</f>
        <v/>
      </c>
      <c r="G49" s="9">
        <f>COUNTIF($F$40:$F$50,"&gt;"&amp;F49)+1</f>
        <v/>
      </c>
    </row>
    <row r="50">
      <c r="A50" s="12" t="inlineStr">
        <is>
          <t>Grade 8</t>
        </is>
      </c>
      <c r="B50" s="13" t="inlineStr">
        <is>
          <t>8</t>
        </is>
      </c>
      <c r="C50" s="9">
        <f>COUNTIF(Students!$C:$C,B50)</f>
        <v/>
      </c>
      <c r="D50" s="9">
        <f>COUNTIFS(Students!$C:$C,B50,Students!$D:$D,"&gt;0")</f>
        <v/>
      </c>
      <c r="E50" s="10">
        <f>IF(C50=0,"",D50/C50)</f>
        <v/>
      </c>
      <c r="F50" s="11">
        <f>SUMIFS(Donations!$D:$D,Donations!$I:$I,B50)</f>
        <v/>
      </c>
      <c r="G50" s="9">
        <f>COUNTIF($F$40:$F$50,"&gt;"&amp;F50)+1</f>
        <v/>
      </c>
    </row>
  </sheetData>
  <mergeCells count="1">
    <mergeCell ref="A1:H1"/>
  </mergeCells>
  <conditionalFormatting sqref="A5">
    <cfRule type="expression" priority="1" dxfId="0">
      <formula>LEFT($A$5,1)="⚠"</formula>
    </cfRule>
  </conditionalFormatting>
  <conditionalFormatting sqref="A8:G37">
    <cfRule type="expression" priority="2" dxfId="1">
      <formula>$G8=1</formula>
    </cfRule>
  </conditionalFormatting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D7262B"/>
    <outlinePr summaryBelow="1" summaryRight="1"/>
    <pageSetUpPr fitToPage="1"/>
  </sheetPr>
  <dimension ref="A1:F2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9" customWidth="1" min="3" max="3"/>
    <col width="16" customWidth="1" min="4" max="4"/>
    <col width="11" customWidth="1" min="5" max="5"/>
    <col width="3" customWidth="1" min="6" max="6"/>
  </cols>
  <sheetData>
    <row r="1" ht="34" customHeight="1">
      <c r="A1" s="1" t="inlineStr">
        <is>
          <t>SAINTS RUN WILD  •  BY DAY</t>
        </is>
      </c>
    </row>
    <row r="3">
      <c r="A3" s="14" t="inlineStr">
        <is>
          <t>First day:</t>
        </is>
      </c>
      <c r="B3" s="15" t="n">
        <v>46325</v>
      </c>
    </row>
    <row r="5" ht="32" customHeight="1">
      <c r="A5" s="7" t="inlineStr">
        <is>
          <t>Date</t>
        </is>
      </c>
      <c r="B5" s="7" t="inlineStr">
        <is>
          <t>$ raised</t>
        </is>
      </c>
      <c r="C5" s="7" t="inlineStr">
        <is>
          <t>Gifts</t>
        </is>
      </c>
      <c r="D5" s="7" t="inlineStr">
        <is>
          <t>Running total</t>
        </is>
      </c>
      <c r="E5" s="7" t="inlineStr">
        <is>
          <t>% of goal</t>
        </is>
      </c>
    </row>
    <row r="6">
      <c r="A6" s="16">
        <f>$B$3+0</f>
        <v/>
      </c>
      <c r="B6" s="11">
        <f>SUMIFS(Donations!$D:$D,Donations!$F:$F,A6)</f>
        <v/>
      </c>
      <c r="C6" s="9">
        <f>COUNTIFS(Donations!$F:$F,A6)</f>
        <v/>
      </c>
      <c r="D6" s="11">
        <f>SUMIFS(Donations!$D:$D,Donations!$F:$F,"&lt;="&amp;A6)</f>
        <v/>
      </c>
      <c r="E6" s="10">
        <f>IF(Goal&gt;0,D6/Goal,0)</f>
        <v/>
      </c>
    </row>
    <row r="7">
      <c r="A7" s="16">
        <f>$B$3+1</f>
        <v/>
      </c>
      <c r="B7" s="11">
        <f>SUMIFS(Donations!$D:$D,Donations!$F:$F,A7)</f>
        <v/>
      </c>
      <c r="C7" s="9">
        <f>COUNTIFS(Donations!$F:$F,A7)</f>
        <v/>
      </c>
      <c r="D7" s="11">
        <f>SUMIFS(Donations!$D:$D,Donations!$F:$F,"&lt;="&amp;A7)</f>
        <v/>
      </c>
      <c r="E7" s="10">
        <f>IF(Goal&gt;0,D7/Goal,0)</f>
        <v/>
      </c>
    </row>
    <row r="8">
      <c r="A8" s="16">
        <f>$B$3+2</f>
        <v/>
      </c>
      <c r="B8" s="11">
        <f>SUMIFS(Donations!$D:$D,Donations!$F:$F,A8)</f>
        <v/>
      </c>
      <c r="C8" s="9">
        <f>COUNTIFS(Donations!$F:$F,A8)</f>
        <v/>
      </c>
      <c r="D8" s="11">
        <f>SUMIFS(Donations!$D:$D,Donations!$F:$F,"&lt;="&amp;A8)</f>
        <v/>
      </c>
      <c r="E8" s="10">
        <f>IF(Goal&gt;0,D8/Goal,0)</f>
        <v/>
      </c>
    </row>
    <row r="9">
      <c r="A9" s="16">
        <f>$B$3+3</f>
        <v/>
      </c>
      <c r="B9" s="11">
        <f>SUMIFS(Donations!$D:$D,Donations!$F:$F,A9)</f>
        <v/>
      </c>
      <c r="C9" s="9">
        <f>COUNTIFS(Donations!$F:$F,A9)</f>
        <v/>
      </c>
      <c r="D9" s="11">
        <f>SUMIFS(Donations!$D:$D,Donations!$F:$F,"&lt;="&amp;A9)</f>
        <v/>
      </c>
      <c r="E9" s="10">
        <f>IF(Goal&gt;0,D9/Goal,0)</f>
        <v/>
      </c>
    </row>
    <row r="10">
      <c r="A10" s="16">
        <f>$B$3+4</f>
        <v/>
      </c>
      <c r="B10" s="11">
        <f>SUMIFS(Donations!$D:$D,Donations!$F:$F,A10)</f>
        <v/>
      </c>
      <c r="C10" s="9">
        <f>COUNTIFS(Donations!$F:$F,A10)</f>
        <v/>
      </c>
      <c r="D10" s="11">
        <f>SUMIFS(Donations!$D:$D,Donations!$F:$F,"&lt;="&amp;A10)</f>
        <v/>
      </c>
      <c r="E10" s="10">
        <f>IF(Goal&gt;0,D10/Goal,0)</f>
        <v/>
      </c>
    </row>
    <row r="11">
      <c r="A11" s="16">
        <f>$B$3+5</f>
        <v/>
      </c>
      <c r="B11" s="11">
        <f>SUMIFS(Donations!$D:$D,Donations!$F:$F,A11)</f>
        <v/>
      </c>
      <c r="C11" s="9">
        <f>COUNTIFS(Donations!$F:$F,A11)</f>
        <v/>
      </c>
      <c r="D11" s="11">
        <f>SUMIFS(Donations!$D:$D,Donations!$F:$F,"&lt;="&amp;A11)</f>
        <v/>
      </c>
      <c r="E11" s="10">
        <f>IF(Goal&gt;0,D11/Goal,0)</f>
        <v/>
      </c>
    </row>
    <row r="12">
      <c r="A12" s="16">
        <f>$B$3+6</f>
        <v/>
      </c>
      <c r="B12" s="11">
        <f>SUMIFS(Donations!$D:$D,Donations!$F:$F,A12)</f>
        <v/>
      </c>
      <c r="C12" s="9">
        <f>COUNTIFS(Donations!$F:$F,A12)</f>
        <v/>
      </c>
      <c r="D12" s="11">
        <f>SUMIFS(Donations!$D:$D,Donations!$F:$F,"&lt;="&amp;A12)</f>
        <v/>
      </c>
      <c r="E12" s="10">
        <f>IF(Goal&gt;0,D12/Goal,0)</f>
        <v/>
      </c>
    </row>
    <row r="13">
      <c r="A13" s="16">
        <f>$B$3+7</f>
        <v/>
      </c>
      <c r="B13" s="11">
        <f>SUMIFS(Donations!$D:$D,Donations!$F:$F,A13)</f>
        <v/>
      </c>
      <c r="C13" s="9">
        <f>COUNTIFS(Donations!$F:$F,A13)</f>
        <v/>
      </c>
      <c r="D13" s="11">
        <f>SUMIFS(Donations!$D:$D,Donations!$F:$F,"&lt;="&amp;A13)</f>
        <v/>
      </c>
      <c r="E13" s="10">
        <f>IF(Goal&gt;0,D13/Goal,0)</f>
        <v/>
      </c>
    </row>
    <row r="14">
      <c r="A14" s="16">
        <f>$B$3+8</f>
        <v/>
      </c>
      <c r="B14" s="11">
        <f>SUMIFS(Donations!$D:$D,Donations!$F:$F,A14)</f>
        <v/>
      </c>
      <c r="C14" s="9">
        <f>COUNTIFS(Donations!$F:$F,A14)</f>
        <v/>
      </c>
      <c r="D14" s="11">
        <f>SUMIFS(Donations!$D:$D,Donations!$F:$F,"&lt;="&amp;A14)</f>
        <v/>
      </c>
      <c r="E14" s="10">
        <f>IF(Goal&gt;0,D14/Goal,0)</f>
        <v/>
      </c>
    </row>
    <row r="15">
      <c r="A15" s="16">
        <f>$B$3+9</f>
        <v/>
      </c>
      <c r="B15" s="11">
        <f>SUMIFS(Donations!$D:$D,Donations!$F:$F,A15)</f>
        <v/>
      </c>
      <c r="C15" s="9">
        <f>COUNTIFS(Donations!$F:$F,A15)</f>
        <v/>
      </c>
      <c r="D15" s="11">
        <f>SUMIFS(Donations!$D:$D,Donations!$F:$F,"&lt;="&amp;A15)</f>
        <v/>
      </c>
      <c r="E15" s="10">
        <f>IF(Goal&gt;0,D15/Goal,0)</f>
        <v/>
      </c>
    </row>
    <row r="16">
      <c r="A16" s="16">
        <f>$B$3+10</f>
        <v/>
      </c>
      <c r="B16" s="11">
        <f>SUMIFS(Donations!$D:$D,Donations!$F:$F,A16)</f>
        <v/>
      </c>
      <c r="C16" s="9">
        <f>COUNTIFS(Donations!$F:$F,A16)</f>
        <v/>
      </c>
      <c r="D16" s="11">
        <f>SUMIFS(Donations!$D:$D,Donations!$F:$F,"&lt;="&amp;A16)</f>
        <v/>
      </c>
      <c r="E16" s="10">
        <f>IF(Goal&gt;0,D16/Goal,0)</f>
        <v/>
      </c>
    </row>
    <row r="17">
      <c r="A17" s="16">
        <f>$B$3+11</f>
        <v/>
      </c>
      <c r="B17" s="11">
        <f>SUMIFS(Donations!$D:$D,Donations!$F:$F,A17)</f>
        <v/>
      </c>
      <c r="C17" s="9">
        <f>COUNTIFS(Donations!$F:$F,A17)</f>
        <v/>
      </c>
      <c r="D17" s="11">
        <f>SUMIFS(Donations!$D:$D,Donations!$F:$F,"&lt;="&amp;A17)</f>
        <v/>
      </c>
      <c r="E17" s="10">
        <f>IF(Goal&gt;0,D17/Goal,0)</f>
        <v/>
      </c>
    </row>
    <row r="18">
      <c r="A18" s="16">
        <f>$B$3+12</f>
        <v/>
      </c>
      <c r="B18" s="11">
        <f>SUMIFS(Donations!$D:$D,Donations!$F:$F,A18)</f>
        <v/>
      </c>
      <c r="C18" s="9">
        <f>COUNTIFS(Donations!$F:$F,A18)</f>
        <v/>
      </c>
      <c r="D18" s="11">
        <f>SUMIFS(Donations!$D:$D,Donations!$F:$F,"&lt;="&amp;A18)</f>
        <v/>
      </c>
      <c r="E18" s="10">
        <f>IF(Goal&gt;0,D18/Goal,0)</f>
        <v/>
      </c>
    </row>
    <row r="19">
      <c r="A19" s="16">
        <f>$B$3+13</f>
        <v/>
      </c>
      <c r="B19" s="11">
        <f>SUMIFS(Donations!$D:$D,Donations!$F:$F,A19)</f>
        <v/>
      </c>
      <c r="C19" s="9">
        <f>COUNTIFS(Donations!$F:$F,A19)</f>
        <v/>
      </c>
      <c r="D19" s="11">
        <f>SUMIFS(Donations!$D:$D,Donations!$F:$F,"&lt;="&amp;A19)</f>
        <v/>
      </c>
      <c r="E19" s="10">
        <f>IF(Goal&gt;0,D19/Goal,0)</f>
        <v/>
      </c>
    </row>
    <row r="20">
      <c r="A20" s="16">
        <f>$B$3+14</f>
        <v/>
      </c>
      <c r="B20" s="11">
        <f>SUMIFS(Donations!$D:$D,Donations!$F:$F,A20)</f>
        <v/>
      </c>
      <c r="C20" s="9">
        <f>COUNTIFS(Donations!$F:$F,A20)</f>
        <v/>
      </c>
      <c r="D20" s="11">
        <f>SUMIFS(Donations!$D:$D,Donations!$F:$F,"&lt;="&amp;A20)</f>
        <v/>
      </c>
      <c r="E20" s="10">
        <f>IF(Goal&gt;0,D20/Goal,0)</f>
        <v/>
      </c>
    </row>
    <row r="21">
      <c r="A21" s="14" t="inlineStr">
        <is>
          <t>TOTAL</t>
        </is>
      </c>
      <c r="B21" s="17">
        <f>SUM(B6:B20)</f>
        <v/>
      </c>
      <c r="C21" s="18">
        <f>SUM(C6:C20)</f>
        <v/>
      </c>
    </row>
    <row r="22">
      <c r="A22" s="19" t="inlineStr">
        <is>
          <t>Gifts dated outside these days are in the running total only.</t>
        </is>
      </c>
    </row>
  </sheetData>
  <mergeCells count="1">
    <mergeCell ref="A1:F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D7262B"/>
    <outlinePr summaryBelow="1" summaryRight="1"/>
    <pageSetUpPr fitToPage="1"/>
  </sheetPr>
  <dimension ref="A1:H6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1" customWidth="1" min="3" max="3"/>
    <col width="11" customWidth="1" min="4" max="4"/>
    <col width="38" customWidth="1" min="5" max="5"/>
    <col width="50" customWidth="1" min="6" max="6"/>
    <col width="12" customWidth="1" min="7" max="7"/>
    <col width="14" customWidth="1" min="8" max="8"/>
  </cols>
  <sheetData>
    <row r="1" ht="34" customHeight="1">
      <c r="A1" s="1" t="inlineStr">
        <is>
          <t>SAINTS RUN WILD  •  DAILY CHALLENGES</t>
        </is>
      </c>
    </row>
    <row r="2">
      <c r="A2" s="20" t="inlineStr">
        <is>
          <t>Dates and Min $ / Target are editable. Winners update automatically.</t>
        </is>
      </c>
    </row>
    <row r="4" ht="32" customHeight="1">
      <c r="A4" s="7" t="inlineStr">
        <is>
          <t>Challenge</t>
        </is>
      </c>
      <c r="B4" s="7" t="inlineStr">
        <is>
          <t>Day</t>
        </is>
      </c>
      <c r="C4" s="7" t="inlineStr">
        <is>
          <t>Start</t>
        </is>
      </c>
      <c r="D4" s="7" t="inlineStr">
        <is>
          <t>End</t>
        </is>
      </c>
      <c r="E4" s="7" t="inlineStr">
        <is>
          <t>Reward</t>
        </is>
      </c>
      <c r="F4" s="7" t="inlineStr">
        <is>
          <t>Winner / result</t>
        </is>
      </c>
      <c r="G4" s="7" t="inlineStr">
        <is>
          <t>Min $ / Target</t>
        </is>
      </c>
    </row>
    <row r="5">
      <c r="A5" s="12" t="inlineStr">
        <is>
          <t>Kickoff Weekend Challenge</t>
        </is>
      </c>
      <c r="B5" s="21" t="inlineStr">
        <is>
          <t>Fri</t>
        </is>
      </c>
      <c r="C5" s="22" t="n">
        <v>46325</v>
      </c>
      <c r="D5" s="22" t="n">
        <v>46327</v>
      </c>
      <c r="E5" s="21" t="inlineStr">
        <is>
          <t>Top class in every grade wins</t>
        </is>
      </c>
      <c r="F5" s="23">
        <f>IF(COUNTIF($D$54:$D$64,"&gt;0")=0,"No gifts yet","See GRADE SCORES below")</f>
        <v/>
      </c>
      <c r="G5" s="24" t="n"/>
    </row>
    <row r="6">
      <c r="A6" s="12" t="inlineStr">
        <is>
          <t>Monday Blues</t>
        </is>
      </c>
      <c r="B6" s="21" t="inlineStr">
        <is>
          <t>Mon</t>
        </is>
      </c>
      <c r="C6" s="22" t="n">
        <v>46328</v>
      </c>
      <c r="D6" s="22" t="n">
        <v>46328</v>
      </c>
      <c r="E6" s="21" t="inlineStr">
        <is>
          <t>Turn the blues into green</t>
        </is>
      </c>
      <c r="F6" s="23" t="inlineStr">
        <is>
          <t>—</t>
        </is>
      </c>
      <c r="G6" s="24" t="n"/>
    </row>
    <row r="7">
      <c r="A7" s="12" t="inlineStr">
        <is>
          <t>$20 Tuesday</t>
        </is>
      </c>
      <c r="B7" s="21" t="inlineStr">
        <is>
          <t>Tue</t>
        </is>
      </c>
      <c r="C7" s="22" t="n">
        <v>46329</v>
      </c>
      <c r="D7" s="22" t="n">
        <v>46329</v>
      </c>
      <c r="E7" s="21" t="inlineStr">
        <is>
          <t>Silly string the teacher</t>
        </is>
      </c>
      <c r="F7" s="23">
        <f>IF(N(MAX($G$21:$G$50))&lt;=0,"No gifts yet",INDEX($A$21:$A$50,MATCH(MAX($G$21:$G$50),$G$21:$G$50,0))&amp;IF(COUNTIF($G$21:$G$50,MAX($G$21:$G$50))&gt;1," (tie)","")&amp;" — "&amp;TEXT(MAX($G$21:$G$50),"0%"))</f>
        <v/>
      </c>
      <c r="G7" s="25" t="n">
        <v>20</v>
      </c>
    </row>
    <row r="8">
      <c r="A8" s="12" t="inlineStr">
        <is>
          <t>Wild Card Wednesday</t>
        </is>
      </c>
      <c r="B8" s="21" t="inlineStr">
        <is>
          <t>Wed</t>
        </is>
      </c>
      <c r="C8" s="22" t="n">
        <v>46330</v>
      </c>
      <c r="D8" s="22" t="n">
        <v>46330</v>
      </c>
      <c r="E8" s="21" t="inlineStr">
        <is>
          <t>10 Wild Card winners</t>
        </is>
      </c>
      <c r="F8" s="23">
        <f>COUNTIF(Students!$G:$G,"&gt;0")&amp;" eligible: draw "&amp;N(G8)&amp;" (Students col G &gt; $0)"</f>
        <v/>
      </c>
      <c r="G8" s="25" t="n">
        <v>10</v>
      </c>
    </row>
    <row r="9">
      <c r="A9" s="12" t="inlineStr">
        <is>
          <t>Classroom Showdown</t>
        </is>
      </c>
      <c r="B9" s="21" t="inlineStr">
        <is>
          <t>Thu</t>
        </is>
      </c>
      <c r="C9" s="22" t="n">
        <v>46331</v>
      </c>
      <c r="D9" s="22" t="n">
        <v>46331</v>
      </c>
      <c r="E9" s="21" t="inlineStr">
        <is>
          <t>Doughnuts + coffee for the teacher</t>
        </is>
      </c>
      <c r="F9" s="23">
        <f>IF(N(MAX($H$21:$H$50))&lt;=0,"No gifts yet",INDEX($A$21:$A$50,MATCH(MAX($H$21:$H$50),$H$21:$H$50,0))&amp;IF(COUNTIF($H$21:$H$50,MAX($H$21:$H$50))&gt;1," (tie)","")&amp;" — "&amp;TEXT(MAX($H$21:$H$50),"0%"))</f>
        <v/>
      </c>
      <c r="G9" s="24" t="n"/>
    </row>
    <row r="10">
      <c r="A10" s="12" t="inlineStr">
        <is>
          <t>Weekend Challenge</t>
        </is>
      </c>
      <c r="B10" s="21" t="inlineStr">
        <is>
          <t>Fri</t>
        </is>
      </c>
      <c r="C10" s="22" t="n">
        <v>46332</v>
      </c>
      <c r="D10" s="22" t="n">
        <v>46334</v>
      </c>
      <c r="E10" s="21" t="inlineStr">
        <is>
          <t>Top fundraiser in every class pies a teacher</t>
        </is>
      </c>
      <c r="F10" s="23">
        <f>IF(COUNTIF($F$21:$F$50,"&gt;0")=0,"No gifts yet","See CLASS SCORES below")</f>
        <v/>
      </c>
      <c r="G10" s="24" t="n"/>
    </row>
    <row r="11">
      <c r="A11" s="12" t="inlineStr">
        <is>
          <t>Grade vs. Grade</t>
        </is>
      </c>
      <c r="B11" s="21" t="inlineStr">
        <is>
          <t>Mon</t>
        </is>
      </c>
      <c r="C11" s="22" t="n">
        <v>46335</v>
      </c>
      <c r="D11" s="22" t="n">
        <v>46335</v>
      </c>
      <c r="E11" s="21" t="inlineStr">
        <is>
          <t>Pizza lunch for the winning grade</t>
        </is>
      </c>
      <c r="F11" s="23">
        <f>IF(MAX($C$54:$C$64)&lt;=0,"No gifts yet","Grade "&amp;INDEX($A$54:$A$64,MATCH(MAX($C$54:$C$64),$C$54:$C$64,0))&amp;IF(COUNTIF($C$54:$C$64,MAX($C$54:$C$64))&gt;1," (tie)","")&amp;" — "&amp;TEXT(MAX($C$54:$C$64),"$#,##0"))</f>
        <v/>
      </c>
      <c r="G11" s="24" t="n"/>
    </row>
    <row r="12">
      <c r="A12" s="12" t="inlineStr">
        <is>
          <t>50% Participation</t>
        </is>
      </c>
      <c r="B12" s="21" t="inlineStr">
        <is>
          <t>Tue</t>
        </is>
      </c>
      <c r="C12" s="22" t="n">
        <v>46336</v>
      </c>
      <c r="D12" s="22" t="n">
        <v>46336</v>
      </c>
      <c r="E12" s="21" t="inlineStr">
        <is>
          <t>Mrs. Rhodes &amp; Mrs. Sites dress up</t>
        </is>
      </c>
      <c r="F12" s="23">
        <f>IF(IFERROR(COUNTIF(Students!$J:$J,"&gt;0")/(COUNTA(Students!$A:$A)-1),0)&gt;=N(G12),"HIT! ","Not yet: ")&amp;TEXT(IFERROR(COUNTIF(Students!$J:$J,"&gt;0")/(COUNTA(Students!$A:$A)-1),0),"0%")&amp;" of "&amp;TEXT(N(G12),"0%")</f>
        <v/>
      </c>
      <c r="G12" s="26" t="n">
        <v>0.5</v>
      </c>
    </row>
    <row r="13">
      <c r="A13" s="12" t="inlineStr">
        <is>
          <t>Veterans Day (no school)</t>
        </is>
      </c>
      <c r="B13" s="21" t="inlineStr">
        <is>
          <t>Wed</t>
        </is>
      </c>
      <c r="C13" s="22" t="n">
        <v>46337</v>
      </c>
      <c r="D13" s="22" t="n">
        <v>46337</v>
      </c>
      <c r="E13" s="21" t="inlineStr">
        <is>
          <t>Thank you, Veterans!</t>
        </is>
      </c>
      <c r="F13" s="23" t="inlineStr">
        <is>
          <t>—</t>
        </is>
      </c>
      <c r="G13" s="24" t="n"/>
    </row>
    <row r="14">
      <c r="A14" s="12" t="inlineStr">
        <is>
          <t>Mystery Day</t>
        </is>
      </c>
      <c r="B14" s="21" t="inlineStr">
        <is>
          <t>Thu</t>
        </is>
      </c>
      <c r="C14" s="22" t="n">
        <v>46338</v>
      </c>
      <c r="D14" s="22" t="n">
        <v>46338</v>
      </c>
      <c r="E14" s="21" t="inlineStr">
        <is>
          <t>The final WILD push</t>
        </is>
      </c>
      <c r="F14" s="23" t="inlineStr">
        <is>
          <t>—</t>
        </is>
      </c>
      <c r="G14" s="24" t="n"/>
    </row>
    <row r="15">
      <c r="A15" s="12" t="inlineStr">
        <is>
          <t>Run Wild Fun Run!</t>
        </is>
      </c>
      <c r="B15" s="21" t="inlineStr">
        <is>
          <t>Fri</t>
        </is>
      </c>
      <c r="C15" s="22" t="n">
        <v>46339</v>
      </c>
      <c r="D15" s="22" t="n">
        <v>46339</v>
      </c>
      <c r="E15" s="21" t="inlineStr">
        <is>
          <t>Celebrate!</t>
        </is>
      </c>
      <c r="F15" s="23" t="inlineStr">
        <is>
          <t>—</t>
        </is>
      </c>
      <c r="G15" s="24" t="n"/>
    </row>
    <row r="16">
      <c r="A16" s="12" t="inlineStr">
        <is>
          <t>Ultimate Wild Goal</t>
        </is>
      </c>
      <c r="B16" s="21" t="inlineStr">
        <is>
          <t>All</t>
        </is>
      </c>
      <c r="C16" s="22" t="n">
        <v>46325</v>
      </c>
      <c r="D16" s="22" t="n">
        <v>46339</v>
      </c>
      <c r="E16" s="21" t="inlineStr">
        <is>
          <t>Father Peter &amp; Mrs. Rhodes get SLIMED</t>
        </is>
      </c>
      <c r="F16" s="23">
        <f>IF(SUMIFS(Donations!$D:$D,Donations!$F:$F,"&lt;="&amp;D16)&gt;=N(G16),"HIT! ","Not yet: ")&amp;TEXT(SUMIFS(Donations!$D:$D,Donations!$F:$F,"&lt;="&amp;D16),"$#,##0")&amp;" of "&amp;TEXT(N(G16),"$#,##0")</f>
        <v/>
      </c>
      <c r="G16" s="25" t="n">
        <v>60000</v>
      </c>
    </row>
    <row r="19">
      <c r="A19" s="27" t="inlineStr">
        <is>
          <t>CLASS SCORES</t>
        </is>
      </c>
    </row>
    <row r="20" ht="45" customHeight="1">
      <c r="A20" s="7" t="inlineStr">
        <is>
          <t>Teacher</t>
        </is>
      </c>
      <c r="B20" s="7" t="inlineStr">
        <is>
          <t>Grade</t>
        </is>
      </c>
      <c r="C20" s="7" t="inlineStr">
        <is>
          <t>Students</t>
        </is>
      </c>
      <c r="D20" s="7" t="inlineStr">
        <is>
          <t>Kickoff Weekend Challenge $</t>
        </is>
      </c>
      <c r="E20" s="7" t="inlineStr">
        <is>
          <t>Weekend Challenge: top student</t>
        </is>
      </c>
      <c r="F20" s="7" t="inlineStr">
        <is>
          <t>Weekend Challenge $</t>
        </is>
      </c>
      <c r="G20" s="7" t="inlineStr">
        <is>
          <t>$20 Tuesday %</t>
        </is>
      </c>
      <c r="H20" s="7" t="inlineStr">
        <is>
          <t>Classroom Showdown %</t>
        </is>
      </c>
    </row>
    <row r="21">
      <c r="A21" s="21">
        <f>IF('By Teacher'!A8="","",'By Teacher'!A8)</f>
        <v/>
      </c>
      <c r="B21" s="9">
        <f>IF(A21="","",'By Teacher'!B8)</f>
        <v/>
      </c>
      <c r="C21" s="9">
        <f>IF(A21="","",'By Teacher'!C8)</f>
        <v/>
      </c>
      <c r="D21" s="11">
        <f>IF(A21="","",SUMIFS(Donations!$D:$D,Donations!$H:$H,A21,Donations!$F:$F,"&gt;="&amp;'Daily Challenges'!$C$5,Donations!$F:$F,"&lt;="&amp;'Daily Challenges'!$D$5))</f>
        <v/>
      </c>
      <c r="E21" s="21">
        <f t="array" ref="E21">IF(A21="","",IF(N(F21)&lt;=0,"—",INDEX(Students!$A$2:$A$601,MATCH(1,(Students!$B$2:$B$601=A21)*(Students!$I$2:$I$601=F21),0))&amp;IF(COUNTIFS(Students!$B$2:$B$601,A21,Students!$I$2:$I$601,F21)&gt;1," (tie)","")))</f>
        <v/>
      </c>
      <c r="F21" s="11">
        <f>IF(A21="","",_xlfn.MAXIFS(Students!$I$2:$I$601,Students!$B$2:$B$601,A21))</f>
        <v/>
      </c>
      <c r="G21" s="28">
        <f>IF(OR(A21="",N(C21)=0),"",COUNTIFS(Students!$B:$B,A21,Students!$F:$F,"&gt;="&amp;MAX(0.01,N('Daily Challenges'!$G$7)))/C21)</f>
        <v/>
      </c>
      <c r="H21" s="28">
        <f>IF(OR(A21="",N(C21)=0),"",COUNTIFS(Students!$B:$B,A21,Students!$H:$H,"&gt;0")/C21)</f>
        <v/>
      </c>
    </row>
    <row r="22">
      <c r="A22" s="21">
        <f>IF('By Teacher'!A9="","",'By Teacher'!A9)</f>
        <v/>
      </c>
      <c r="B22" s="9">
        <f>IF(A22="","",'By Teacher'!B9)</f>
        <v/>
      </c>
      <c r="C22" s="9">
        <f>IF(A22="","",'By Teacher'!C9)</f>
        <v/>
      </c>
      <c r="D22" s="11">
        <f>IF(A22="","",SUMIFS(Donations!$D:$D,Donations!$H:$H,A22,Donations!$F:$F,"&gt;="&amp;'Daily Challenges'!$C$5,Donations!$F:$F,"&lt;="&amp;'Daily Challenges'!$D$5))</f>
        <v/>
      </c>
      <c r="E22" s="21">
        <f t="array" ref="E22">IF(A22="","",IF(N(F22)&lt;=0,"—",INDEX(Students!$A$2:$A$601,MATCH(1,(Students!$B$2:$B$601=A22)*(Students!$I$2:$I$601=F22),0))&amp;IF(COUNTIFS(Students!$B$2:$B$601,A22,Students!$I$2:$I$601,F22)&gt;1," (tie)","")))</f>
        <v/>
      </c>
      <c r="F22" s="11">
        <f>IF(A22="","",_xlfn.MAXIFS(Students!$I$2:$I$601,Students!$B$2:$B$601,A22))</f>
        <v/>
      </c>
      <c r="G22" s="28">
        <f>IF(OR(A22="",N(C22)=0),"",COUNTIFS(Students!$B:$B,A22,Students!$F:$F,"&gt;="&amp;MAX(0.01,N('Daily Challenges'!$G$7)))/C22)</f>
        <v/>
      </c>
      <c r="H22" s="28">
        <f>IF(OR(A22="",N(C22)=0),"",COUNTIFS(Students!$B:$B,A22,Students!$H:$H,"&gt;0")/C22)</f>
        <v/>
      </c>
    </row>
    <row r="23">
      <c r="A23" s="21">
        <f>IF('By Teacher'!A10="","",'By Teacher'!A10)</f>
        <v/>
      </c>
      <c r="B23" s="9">
        <f>IF(A23="","",'By Teacher'!B10)</f>
        <v/>
      </c>
      <c r="C23" s="9">
        <f>IF(A23="","",'By Teacher'!C10)</f>
        <v/>
      </c>
      <c r="D23" s="11">
        <f>IF(A23="","",SUMIFS(Donations!$D:$D,Donations!$H:$H,A23,Donations!$F:$F,"&gt;="&amp;'Daily Challenges'!$C$5,Donations!$F:$F,"&lt;="&amp;'Daily Challenges'!$D$5))</f>
        <v/>
      </c>
      <c r="E23" s="21">
        <f t="array" ref="E23">IF(A23="","",IF(N(F23)&lt;=0,"—",INDEX(Students!$A$2:$A$601,MATCH(1,(Students!$B$2:$B$601=A23)*(Students!$I$2:$I$601=F23),0))&amp;IF(COUNTIFS(Students!$B$2:$B$601,A23,Students!$I$2:$I$601,F23)&gt;1," (tie)","")))</f>
        <v/>
      </c>
      <c r="F23" s="11">
        <f>IF(A23="","",_xlfn.MAXIFS(Students!$I$2:$I$601,Students!$B$2:$B$601,A23))</f>
        <v/>
      </c>
      <c r="G23" s="28">
        <f>IF(OR(A23="",N(C23)=0),"",COUNTIFS(Students!$B:$B,A23,Students!$F:$F,"&gt;="&amp;MAX(0.01,N('Daily Challenges'!$G$7)))/C23)</f>
        <v/>
      </c>
      <c r="H23" s="28">
        <f>IF(OR(A23="",N(C23)=0),"",COUNTIFS(Students!$B:$B,A23,Students!$H:$H,"&gt;0")/C23)</f>
        <v/>
      </c>
    </row>
    <row r="24">
      <c r="A24" s="21">
        <f>IF('By Teacher'!A11="","",'By Teacher'!A11)</f>
        <v/>
      </c>
      <c r="B24" s="9">
        <f>IF(A24="","",'By Teacher'!B11)</f>
        <v/>
      </c>
      <c r="C24" s="9">
        <f>IF(A24="","",'By Teacher'!C11)</f>
        <v/>
      </c>
      <c r="D24" s="11">
        <f>IF(A24="","",SUMIFS(Donations!$D:$D,Donations!$H:$H,A24,Donations!$F:$F,"&gt;="&amp;'Daily Challenges'!$C$5,Donations!$F:$F,"&lt;="&amp;'Daily Challenges'!$D$5))</f>
        <v/>
      </c>
      <c r="E24" s="21">
        <f t="array" ref="E24">IF(A24="","",IF(N(F24)&lt;=0,"—",INDEX(Students!$A$2:$A$601,MATCH(1,(Students!$B$2:$B$601=A24)*(Students!$I$2:$I$601=F24),0))&amp;IF(COUNTIFS(Students!$B$2:$B$601,A24,Students!$I$2:$I$601,F24)&gt;1," (tie)","")))</f>
        <v/>
      </c>
      <c r="F24" s="11">
        <f>IF(A24="","",_xlfn.MAXIFS(Students!$I$2:$I$601,Students!$B$2:$B$601,A24))</f>
        <v/>
      </c>
      <c r="G24" s="28">
        <f>IF(OR(A24="",N(C24)=0),"",COUNTIFS(Students!$B:$B,A24,Students!$F:$F,"&gt;="&amp;MAX(0.01,N('Daily Challenges'!$G$7)))/C24)</f>
        <v/>
      </c>
      <c r="H24" s="28">
        <f>IF(OR(A24="",N(C24)=0),"",COUNTIFS(Students!$B:$B,A24,Students!$H:$H,"&gt;0")/C24)</f>
        <v/>
      </c>
    </row>
    <row r="25">
      <c r="A25" s="21">
        <f>IF('By Teacher'!A12="","",'By Teacher'!A12)</f>
        <v/>
      </c>
      <c r="B25" s="9">
        <f>IF(A25="","",'By Teacher'!B12)</f>
        <v/>
      </c>
      <c r="C25" s="9">
        <f>IF(A25="","",'By Teacher'!C12)</f>
        <v/>
      </c>
      <c r="D25" s="11">
        <f>IF(A25="","",SUMIFS(Donations!$D:$D,Donations!$H:$H,A25,Donations!$F:$F,"&gt;="&amp;'Daily Challenges'!$C$5,Donations!$F:$F,"&lt;="&amp;'Daily Challenges'!$D$5))</f>
        <v/>
      </c>
      <c r="E25" s="21">
        <f t="array" ref="E25">IF(A25="","",IF(N(F25)&lt;=0,"—",INDEX(Students!$A$2:$A$601,MATCH(1,(Students!$B$2:$B$601=A25)*(Students!$I$2:$I$601=F25),0))&amp;IF(COUNTIFS(Students!$B$2:$B$601,A25,Students!$I$2:$I$601,F25)&gt;1," (tie)","")))</f>
        <v/>
      </c>
      <c r="F25" s="11">
        <f>IF(A25="","",_xlfn.MAXIFS(Students!$I$2:$I$601,Students!$B$2:$B$601,A25))</f>
        <v/>
      </c>
      <c r="G25" s="28">
        <f>IF(OR(A25="",N(C25)=0),"",COUNTIFS(Students!$B:$B,A25,Students!$F:$F,"&gt;="&amp;MAX(0.01,N('Daily Challenges'!$G$7)))/C25)</f>
        <v/>
      </c>
      <c r="H25" s="28">
        <f>IF(OR(A25="",N(C25)=0),"",COUNTIFS(Students!$B:$B,A25,Students!$H:$H,"&gt;0")/C25)</f>
        <v/>
      </c>
    </row>
    <row r="26">
      <c r="A26" s="21">
        <f>IF('By Teacher'!A13="","",'By Teacher'!A13)</f>
        <v/>
      </c>
      <c r="B26" s="9">
        <f>IF(A26="","",'By Teacher'!B13)</f>
        <v/>
      </c>
      <c r="C26" s="9">
        <f>IF(A26="","",'By Teacher'!C13)</f>
        <v/>
      </c>
      <c r="D26" s="11">
        <f>IF(A26="","",SUMIFS(Donations!$D:$D,Donations!$H:$H,A26,Donations!$F:$F,"&gt;="&amp;'Daily Challenges'!$C$5,Donations!$F:$F,"&lt;="&amp;'Daily Challenges'!$D$5))</f>
        <v/>
      </c>
      <c r="E26" s="21">
        <f t="array" ref="E26">IF(A26="","",IF(N(F26)&lt;=0,"—",INDEX(Students!$A$2:$A$601,MATCH(1,(Students!$B$2:$B$601=A26)*(Students!$I$2:$I$601=F26),0))&amp;IF(COUNTIFS(Students!$B$2:$B$601,A26,Students!$I$2:$I$601,F26)&gt;1," (tie)","")))</f>
        <v/>
      </c>
      <c r="F26" s="11">
        <f>IF(A26="","",_xlfn.MAXIFS(Students!$I$2:$I$601,Students!$B$2:$B$601,A26))</f>
        <v/>
      </c>
      <c r="G26" s="28">
        <f>IF(OR(A26="",N(C26)=0),"",COUNTIFS(Students!$B:$B,A26,Students!$F:$F,"&gt;="&amp;MAX(0.01,N('Daily Challenges'!$G$7)))/C26)</f>
        <v/>
      </c>
      <c r="H26" s="28">
        <f>IF(OR(A26="",N(C26)=0),"",COUNTIFS(Students!$B:$B,A26,Students!$H:$H,"&gt;0")/C26)</f>
        <v/>
      </c>
    </row>
    <row r="27">
      <c r="A27" s="21">
        <f>IF('By Teacher'!A14="","",'By Teacher'!A14)</f>
        <v/>
      </c>
      <c r="B27" s="9">
        <f>IF(A27="","",'By Teacher'!B14)</f>
        <v/>
      </c>
      <c r="C27" s="9">
        <f>IF(A27="","",'By Teacher'!C14)</f>
        <v/>
      </c>
      <c r="D27" s="11">
        <f>IF(A27="","",SUMIFS(Donations!$D:$D,Donations!$H:$H,A27,Donations!$F:$F,"&gt;="&amp;'Daily Challenges'!$C$5,Donations!$F:$F,"&lt;="&amp;'Daily Challenges'!$D$5))</f>
        <v/>
      </c>
      <c r="E27" s="21">
        <f t="array" ref="E27">IF(A27="","",IF(N(F27)&lt;=0,"—",INDEX(Students!$A$2:$A$601,MATCH(1,(Students!$B$2:$B$601=A27)*(Students!$I$2:$I$601=F27),0))&amp;IF(COUNTIFS(Students!$B$2:$B$601,A27,Students!$I$2:$I$601,F27)&gt;1," (tie)","")))</f>
        <v/>
      </c>
      <c r="F27" s="11">
        <f>IF(A27="","",_xlfn.MAXIFS(Students!$I$2:$I$601,Students!$B$2:$B$601,A27))</f>
        <v/>
      </c>
      <c r="G27" s="28">
        <f>IF(OR(A27="",N(C27)=0),"",COUNTIFS(Students!$B:$B,A27,Students!$F:$F,"&gt;="&amp;MAX(0.01,N('Daily Challenges'!$G$7)))/C27)</f>
        <v/>
      </c>
      <c r="H27" s="28">
        <f>IF(OR(A27="",N(C27)=0),"",COUNTIFS(Students!$B:$B,A27,Students!$H:$H,"&gt;0")/C27)</f>
        <v/>
      </c>
    </row>
    <row r="28">
      <c r="A28" s="21">
        <f>IF('By Teacher'!A15="","",'By Teacher'!A15)</f>
        <v/>
      </c>
      <c r="B28" s="9">
        <f>IF(A28="","",'By Teacher'!B15)</f>
        <v/>
      </c>
      <c r="C28" s="9">
        <f>IF(A28="","",'By Teacher'!C15)</f>
        <v/>
      </c>
      <c r="D28" s="11">
        <f>IF(A28="","",SUMIFS(Donations!$D:$D,Donations!$H:$H,A28,Donations!$F:$F,"&gt;="&amp;'Daily Challenges'!$C$5,Donations!$F:$F,"&lt;="&amp;'Daily Challenges'!$D$5))</f>
        <v/>
      </c>
      <c r="E28" s="21">
        <f t="array" ref="E28">IF(A28="","",IF(N(F28)&lt;=0,"—",INDEX(Students!$A$2:$A$601,MATCH(1,(Students!$B$2:$B$601=A28)*(Students!$I$2:$I$601=F28),0))&amp;IF(COUNTIFS(Students!$B$2:$B$601,A28,Students!$I$2:$I$601,F28)&gt;1," (tie)","")))</f>
        <v/>
      </c>
      <c r="F28" s="11">
        <f>IF(A28="","",_xlfn.MAXIFS(Students!$I$2:$I$601,Students!$B$2:$B$601,A28))</f>
        <v/>
      </c>
      <c r="G28" s="28">
        <f>IF(OR(A28="",N(C28)=0),"",COUNTIFS(Students!$B:$B,A28,Students!$F:$F,"&gt;="&amp;MAX(0.01,N('Daily Challenges'!$G$7)))/C28)</f>
        <v/>
      </c>
      <c r="H28" s="28">
        <f>IF(OR(A28="",N(C28)=0),"",COUNTIFS(Students!$B:$B,A28,Students!$H:$H,"&gt;0")/C28)</f>
        <v/>
      </c>
    </row>
    <row r="29">
      <c r="A29" s="21">
        <f>IF('By Teacher'!A16="","",'By Teacher'!A16)</f>
        <v/>
      </c>
      <c r="B29" s="9">
        <f>IF(A29="","",'By Teacher'!B16)</f>
        <v/>
      </c>
      <c r="C29" s="9">
        <f>IF(A29="","",'By Teacher'!C16)</f>
        <v/>
      </c>
      <c r="D29" s="11">
        <f>IF(A29="","",SUMIFS(Donations!$D:$D,Donations!$H:$H,A29,Donations!$F:$F,"&gt;="&amp;'Daily Challenges'!$C$5,Donations!$F:$F,"&lt;="&amp;'Daily Challenges'!$D$5))</f>
        <v/>
      </c>
      <c r="E29" s="21">
        <f t="array" ref="E29">IF(A29="","",IF(N(F29)&lt;=0,"—",INDEX(Students!$A$2:$A$601,MATCH(1,(Students!$B$2:$B$601=A29)*(Students!$I$2:$I$601=F29),0))&amp;IF(COUNTIFS(Students!$B$2:$B$601,A29,Students!$I$2:$I$601,F29)&gt;1," (tie)","")))</f>
        <v/>
      </c>
      <c r="F29" s="11">
        <f>IF(A29="","",_xlfn.MAXIFS(Students!$I$2:$I$601,Students!$B$2:$B$601,A29))</f>
        <v/>
      </c>
      <c r="G29" s="28">
        <f>IF(OR(A29="",N(C29)=0),"",COUNTIFS(Students!$B:$B,A29,Students!$F:$F,"&gt;="&amp;MAX(0.01,N('Daily Challenges'!$G$7)))/C29)</f>
        <v/>
      </c>
      <c r="H29" s="28">
        <f>IF(OR(A29="",N(C29)=0),"",COUNTIFS(Students!$B:$B,A29,Students!$H:$H,"&gt;0")/C29)</f>
        <v/>
      </c>
    </row>
    <row r="30">
      <c r="A30" s="21">
        <f>IF('By Teacher'!A17="","",'By Teacher'!A17)</f>
        <v/>
      </c>
      <c r="B30" s="9">
        <f>IF(A30="","",'By Teacher'!B17)</f>
        <v/>
      </c>
      <c r="C30" s="9">
        <f>IF(A30="","",'By Teacher'!C17)</f>
        <v/>
      </c>
      <c r="D30" s="11">
        <f>IF(A30="","",SUMIFS(Donations!$D:$D,Donations!$H:$H,A30,Donations!$F:$F,"&gt;="&amp;'Daily Challenges'!$C$5,Donations!$F:$F,"&lt;="&amp;'Daily Challenges'!$D$5))</f>
        <v/>
      </c>
      <c r="E30" s="21">
        <f t="array" ref="E30">IF(A30="","",IF(N(F30)&lt;=0,"—",INDEX(Students!$A$2:$A$601,MATCH(1,(Students!$B$2:$B$601=A30)*(Students!$I$2:$I$601=F30),0))&amp;IF(COUNTIFS(Students!$B$2:$B$601,A30,Students!$I$2:$I$601,F30)&gt;1," (tie)","")))</f>
        <v/>
      </c>
      <c r="F30" s="11">
        <f>IF(A30="","",_xlfn.MAXIFS(Students!$I$2:$I$601,Students!$B$2:$B$601,A30))</f>
        <v/>
      </c>
      <c r="G30" s="28">
        <f>IF(OR(A30="",N(C30)=0),"",COUNTIFS(Students!$B:$B,A30,Students!$F:$F,"&gt;="&amp;MAX(0.01,N('Daily Challenges'!$G$7)))/C30)</f>
        <v/>
      </c>
      <c r="H30" s="28">
        <f>IF(OR(A30="",N(C30)=0),"",COUNTIFS(Students!$B:$B,A30,Students!$H:$H,"&gt;0")/C30)</f>
        <v/>
      </c>
    </row>
    <row r="31">
      <c r="A31" s="21">
        <f>IF('By Teacher'!A18="","",'By Teacher'!A18)</f>
        <v/>
      </c>
      <c r="B31" s="9">
        <f>IF(A31="","",'By Teacher'!B18)</f>
        <v/>
      </c>
      <c r="C31" s="9">
        <f>IF(A31="","",'By Teacher'!C18)</f>
        <v/>
      </c>
      <c r="D31" s="11">
        <f>IF(A31="","",SUMIFS(Donations!$D:$D,Donations!$H:$H,A31,Donations!$F:$F,"&gt;="&amp;'Daily Challenges'!$C$5,Donations!$F:$F,"&lt;="&amp;'Daily Challenges'!$D$5))</f>
        <v/>
      </c>
      <c r="E31" s="21">
        <f t="array" ref="E31">IF(A31="","",IF(N(F31)&lt;=0,"—",INDEX(Students!$A$2:$A$601,MATCH(1,(Students!$B$2:$B$601=A31)*(Students!$I$2:$I$601=F31),0))&amp;IF(COUNTIFS(Students!$B$2:$B$601,A31,Students!$I$2:$I$601,F31)&gt;1," (tie)","")))</f>
        <v/>
      </c>
      <c r="F31" s="11">
        <f>IF(A31="","",_xlfn.MAXIFS(Students!$I$2:$I$601,Students!$B$2:$B$601,A31))</f>
        <v/>
      </c>
      <c r="G31" s="28">
        <f>IF(OR(A31="",N(C31)=0),"",COUNTIFS(Students!$B:$B,A31,Students!$F:$F,"&gt;="&amp;MAX(0.01,N('Daily Challenges'!$G$7)))/C31)</f>
        <v/>
      </c>
      <c r="H31" s="28">
        <f>IF(OR(A31="",N(C31)=0),"",COUNTIFS(Students!$B:$B,A31,Students!$H:$H,"&gt;0")/C31)</f>
        <v/>
      </c>
    </row>
    <row r="32">
      <c r="A32" s="21">
        <f>IF('By Teacher'!A19="","",'By Teacher'!A19)</f>
        <v/>
      </c>
      <c r="B32" s="9">
        <f>IF(A32="","",'By Teacher'!B19)</f>
        <v/>
      </c>
      <c r="C32" s="9">
        <f>IF(A32="","",'By Teacher'!C19)</f>
        <v/>
      </c>
      <c r="D32" s="11">
        <f>IF(A32="","",SUMIFS(Donations!$D:$D,Donations!$H:$H,A32,Donations!$F:$F,"&gt;="&amp;'Daily Challenges'!$C$5,Donations!$F:$F,"&lt;="&amp;'Daily Challenges'!$D$5))</f>
        <v/>
      </c>
      <c r="E32" s="21">
        <f t="array" ref="E32">IF(A32="","",IF(N(F32)&lt;=0,"—",INDEX(Students!$A$2:$A$601,MATCH(1,(Students!$B$2:$B$601=A32)*(Students!$I$2:$I$601=F32),0))&amp;IF(COUNTIFS(Students!$B$2:$B$601,A32,Students!$I$2:$I$601,F32)&gt;1," (tie)","")))</f>
        <v/>
      </c>
      <c r="F32" s="11">
        <f>IF(A32="","",_xlfn.MAXIFS(Students!$I$2:$I$601,Students!$B$2:$B$601,A32))</f>
        <v/>
      </c>
      <c r="G32" s="28">
        <f>IF(OR(A32="",N(C32)=0),"",COUNTIFS(Students!$B:$B,A32,Students!$F:$F,"&gt;="&amp;MAX(0.01,N('Daily Challenges'!$G$7)))/C32)</f>
        <v/>
      </c>
      <c r="H32" s="28">
        <f>IF(OR(A32="",N(C32)=0),"",COUNTIFS(Students!$B:$B,A32,Students!$H:$H,"&gt;0")/C32)</f>
        <v/>
      </c>
    </row>
    <row r="33">
      <c r="A33" s="21">
        <f>IF('By Teacher'!A20="","",'By Teacher'!A20)</f>
        <v/>
      </c>
      <c r="B33" s="9">
        <f>IF(A33="","",'By Teacher'!B20)</f>
        <v/>
      </c>
      <c r="C33" s="9">
        <f>IF(A33="","",'By Teacher'!C20)</f>
        <v/>
      </c>
      <c r="D33" s="11">
        <f>IF(A33="","",SUMIFS(Donations!$D:$D,Donations!$H:$H,A33,Donations!$F:$F,"&gt;="&amp;'Daily Challenges'!$C$5,Donations!$F:$F,"&lt;="&amp;'Daily Challenges'!$D$5))</f>
        <v/>
      </c>
      <c r="E33" s="21">
        <f t="array" ref="E33">IF(A33="","",IF(N(F33)&lt;=0,"—",INDEX(Students!$A$2:$A$601,MATCH(1,(Students!$B$2:$B$601=A33)*(Students!$I$2:$I$601=F33),0))&amp;IF(COUNTIFS(Students!$B$2:$B$601,A33,Students!$I$2:$I$601,F33)&gt;1," (tie)","")))</f>
        <v/>
      </c>
      <c r="F33" s="11">
        <f>IF(A33="","",_xlfn.MAXIFS(Students!$I$2:$I$601,Students!$B$2:$B$601,A33))</f>
        <v/>
      </c>
      <c r="G33" s="28">
        <f>IF(OR(A33="",N(C33)=0),"",COUNTIFS(Students!$B:$B,A33,Students!$F:$F,"&gt;="&amp;MAX(0.01,N('Daily Challenges'!$G$7)))/C33)</f>
        <v/>
      </c>
      <c r="H33" s="28">
        <f>IF(OR(A33="",N(C33)=0),"",COUNTIFS(Students!$B:$B,A33,Students!$H:$H,"&gt;0")/C33)</f>
        <v/>
      </c>
    </row>
    <row r="34">
      <c r="A34" s="21">
        <f>IF('By Teacher'!A21="","",'By Teacher'!A21)</f>
        <v/>
      </c>
      <c r="B34" s="9">
        <f>IF(A34="","",'By Teacher'!B21)</f>
        <v/>
      </c>
      <c r="C34" s="9">
        <f>IF(A34="","",'By Teacher'!C21)</f>
        <v/>
      </c>
      <c r="D34" s="11">
        <f>IF(A34="","",SUMIFS(Donations!$D:$D,Donations!$H:$H,A34,Donations!$F:$F,"&gt;="&amp;'Daily Challenges'!$C$5,Donations!$F:$F,"&lt;="&amp;'Daily Challenges'!$D$5))</f>
        <v/>
      </c>
      <c r="E34" s="21">
        <f t="array" ref="E34">IF(A34="","",IF(N(F34)&lt;=0,"—",INDEX(Students!$A$2:$A$601,MATCH(1,(Students!$B$2:$B$601=A34)*(Students!$I$2:$I$601=F34),0))&amp;IF(COUNTIFS(Students!$B$2:$B$601,A34,Students!$I$2:$I$601,F34)&gt;1," (tie)","")))</f>
        <v/>
      </c>
      <c r="F34" s="11">
        <f>IF(A34="","",_xlfn.MAXIFS(Students!$I$2:$I$601,Students!$B$2:$B$601,A34))</f>
        <v/>
      </c>
      <c r="G34" s="28">
        <f>IF(OR(A34="",N(C34)=0),"",COUNTIFS(Students!$B:$B,A34,Students!$F:$F,"&gt;="&amp;MAX(0.01,N('Daily Challenges'!$G$7)))/C34)</f>
        <v/>
      </c>
      <c r="H34" s="28">
        <f>IF(OR(A34="",N(C34)=0),"",COUNTIFS(Students!$B:$B,A34,Students!$H:$H,"&gt;0")/C34)</f>
        <v/>
      </c>
    </row>
    <row r="35">
      <c r="A35" s="21">
        <f>IF('By Teacher'!A22="","",'By Teacher'!A22)</f>
        <v/>
      </c>
      <c r="B35" s="9">
        <f>IF(A35="","",'By Teacher'!B22)</f>
        <v/>
      </c>
      <c r="C35" s="9">
        <f>IF(A35="","",'By Teacher'!C22)</f>
        <v/>
      </c>
      <c r="D35" s="11">
        <f>IF(A35="","",SUMIFS(Donations!$D:$D,Donations!$H:$H,A35,Donations!$F:$F,"&gt;="&amp;'Daily Challenges'!$C$5,Donations!$F:$F,"&lt;="&amp;'Daily Challenges'!$D$5))</f>
        <v/>
      </c>
      <c r="E35" s="21">
        <f t="array" ref="E35">IF(A35="","",IF(N(F35)&lt;=0,"—",INDEX(Students!$A$2:$A$601,MATCH(1,(Students!$B$2:$B$601=A35)*(Students!$I$2:$I$601=F35),0))&amp;IF(COUNTIFS(Students!$B$2:$B$601,A35,Students!$I$2:$I$601,F35)&gt;1," (tie)","")))</f>
        <v/>
      </c>
      <c r="F35" s="11">
        <f>IF(A35="","",_xlfn.MAXIFS(Students!$I$2:$I$601,Students!$B$2:$B$601,A35))</f>
        <v/>
      </c>
      <c r="G35" s="28">
        <f>IF(OR(A35="",N(C35)=0),"",COUNTIFS(Students!$B:$B,A35,Students!$F:$F,"&gt;="&amp;MAX(0.01,N('Daily Challenges'!$G$7)))/C35)</f>
        <v/>
      </c>
      <c r="H35" s="28">
        <f>IF(OR(A35="",N(C35)=0),"",COUNTIFS(Students!$B:$B,A35,Students!$H:$H,"&gt;0")/C35)</f>
        <v/>
      </c>
    </row>
    <row r="36">
      <c r="A36" s="21">
        <f>IF('By Teacher'!A23="","",'By Teacher'!A23)</f>
        <v/>
      </c>
      <c r="B36" s="9">
        <f>IF(A36="","",'By Teacher'!B23)</f>
        <v/>
      </c>
      <c r="C36" s="9">
        <f>IF(A36="","",'By Teacher'!C23)</f>
        <v/>
      </c>
      <c r="D36" s="11">
        <f>IF(A36="","",SUMIFS(Donations!$D:$D,Donations!$H:$H,A36,Donations!$F:$F,"&gt;="&amp;'Daily Challenges'!$C$5,Donations!$F:$F,"&lt;="&amp;'Daily Challenges'!$D$5))</f>
        <v/>
      </c>
      <c r="E36" s="21">
        <f t="array" ref="E36">IF(A36="","",IF(N(F36)&lt;=0,"—",INDEX(Students!$A$2:$A$601,MATCH(1,(Students!$B$2:$B$601=A36)*(Students!$I$2:$I$601=F36),0))&amp;IF(COUNTIFS(Students!$B$2:$B$601,A36,Students!$I$2:$I$601,F36)&gt;1," (tie)","")))</f>
        <v/>
      </c>
      <c r="F36" s="11">
        <f>IF(A36="","",_xlfn.MAXIFS(Students!$I$2:$I$601,Students!$B$2:$B$601,A36))</f>
        <v/>
      </c>
      <c r="G36" s="28">
        <f>IF(OR(A36="",N(C36)=0),"",COUNTIFS(Students!$B:$B,A36,Students!$F:$F,"&gt;="&amp;MAX(0.01,N('Daily Challenges'!$G$7)))/C36)</f>
        <v/>
      </c>
      <c r="H36" s="28">
        <f>IF(OR(A36="",N(C36)=0),"",COUNTIFS(Students!$B:$B,A36,Students!$H:$H,"&gt;0")/C36)</f>
        <v/>
      </c>
    </row>
    <row r="37">
      <c r="A37" s="21">
        <f>IF('By Teacher'!A24="","",'By Teacher'!A24)</f>
        <v/>
      </c>
      <c r="B37" s="9">
        <f>IF(A37="","",'By Teacher'!B24)</f>
        <v/>
      </c>
      <c r="C37" s="9">
        <f>IF(A37="","",'By Teacher'!C24)</f>
        <v/>
      </c>
      <c r="D37" s="11">
        <f>IF(A37="","",SUMIFS(Donations!$D:$D,Donations!$H:$H,A37,Donations!$F:$F,"&gt;="&amp;'Daily Challenges'!$C$5,Donations!$F:$F,"&lt;="&amp;'Daily Challenges'!$D$5))</f>
        <v/>
      </c>
      <c r="E37" s="21">
        <f t="array" ref="E37">IF(A37="","",IF(N(F37)&lt;=0,"—",INDEX(Students!$A$2:$A$601,MATCH(1,(Students!$B$2:$B$601=A37)*(Students!$I$2:$I$601=F37),0))&amp;IF(COUNTIFS(Students!$B$2:$B$601,A37,Students!$I$2:$I$601,F37)&gt;1," (tie)","")))</f>
        <v/>
      </c>
      <c r="F37" s="11">
        <f>IF(A37="","",_xlfn.MAXIFS(Students!$I$2:$I$601,Students!$B$2:$B$601,A37))</f>
        <v/>
      </c>
      <c r="G37" s="28">
        <f>IF(OR(A37="",N(C37)=0),"",COUNTIFS(Students!$B:$B,A37,Students!$F:$F,"&gt;="&amp;MAX(0.01,N('Daily Challenges'!$G$7)))/C37)</f>
        <v/>
      </c>
      <c r="H37" s="28">
        <f>IF(OR(A37="",N(C37)=0),"",COUNTIFS(Students!$B:$B,A37,Students!$H:$H,"&gt;0")/C37)</f>
        <v/>
      </c>
    </row>
    <row r="38">
      <c r="A38" s="21">
        <f>IF('By Teacher'!A25="","",'By Teacher'!A25)</f>
        <v/>
      </c>
      <c r="B38" s="9">
        <f>IF(A38="","",'By Teacher'!B25)</f>
        <v/>
      </c>
      <c r="C38" s="9">
        <f>IF(A38="","",'By Teacher'!C25)</f>
        <v/>
      </c>
      <c r="D38" s="11">
        <f>IF(A38="","",SUMIFS(Donations!$D:$D,Donations!$H:$H,A38,Donations!$F:$F,"&gt;="&amp;'Daily Challenges'!$C$5,Donations!$F:$F,"&lt;="&amp;'Daily Challenges'!$D$5))</f>
        <v/>
      </c>
      <c r="E38" s="21">
        <f t="array" ref="E38">IF(A38="","",IF(N(F38)&lt;=0,"—",INDEX(Students!$A$2:$A$601,MATCH(1,(Students!$B$2:$B$601=A38)*(Students!$I$2:$I$601=F38),0))&amp;IF(COUNTIFS(Students!$B$2:$B$601,A38,Students!$I$2:$I$601,F38)&gt;1," (tie)","")))</f>
        <v/>
      </c>
      <c r="F38" s="11">
        <f>IF(A38="","",_xlfn.MAXIFS(Students!$I$2:$I$601,Students!$B$2:$B$601,A38))</f>
        <v/>
      </c>
      <c r="G38" s="28">
        <f>IF(OR(A38="",N(C38)=0),"",COUNTIFS(Students!$B:$B,A38,Students!$F:$F,"&gt;="&amp;MAX(0.01,N('Daily Challenges'!$G$7)))/C38)</f>
        <v/>
      </c>
      <c r="H38" s="28">
        <f>IF(OR(A38="",N(C38)=0),"",COUNTIFS(Students!$B:$B,A38,Students!$H:$H,"&gt;0")/C38)</f>
        <v/>
      </c>
    </row>
    <row r="39">
      <c r="A39" s="21">
        <f>IF('By Teacher'!A26="","",'By Teacher'!A26)</f>
        <v/>
      </c>
      <c r="B39" s="9">
        <f>IF(A39="","",'By Teacher'!B26)</f>
        <v/>
      </c>
      <c r="C39" s="9">
        <f>IF(A39="","",'By Teacher'!C26)</f>
        <v/>
      </c>
      <c r="D39" s="11">
        <f>IF(A39="","",SUMIFS(Donations!$D:$D,Donations!$H:$H,A39,Donations!$F:$F,"&gt;="&amp;'Daily Challenges'!$C$5,Donations!$F:$F,"&lt;="&amp;'Daily Challenges'!$D$5))</f>
        <v/>
      </c>
      <c r="E39" s="21">
        <f t="array" ref="E39">IF(A39="","",IF(N(F39)&lt;=0,"—",INDEX(Students!$A$2:$A$601,MATCH(1,(Students!$B$2:$B$601=A39)*(Students!$I$2:$I$601=F39),0))&amp;IF(COUNTIFS(Students!$B$2:$B$601,A39,Students!$I$2:$I$601,F39)&gt;1," (tie)","")))</f>
        <v/>
      </c>
      <c r="F39" s="11">
        <f>IF(A39="","",_xlfn.MAXIFS(Students!$I$2:$I$601,Students!$B$2:$B$601,A39))</f>
        <v/>
      </c>
      <c r="G39" s="28">
        <f>IF(OR(A39="",N(C39)=0),"",COUNTIFS(Students!$B:$B,A39,Students!$F:$F,"&gt;="&amp;MAX(0.01,N('Daily Challenges'!$G$7)))/C39)</f>
        <v/>
      </c>
      <c r="H39" s="28">
        <f>IF(OR(A39="",N(C39)=0),"",COUNTIFS(Students!$B:$B,A39,Students!$H:$H,"&gt;0")/C39)</f>
        <v/>
      </c>
    </row>
    <row r="40">
      <c r="A40" s="21">
        <f>IF('By Teacher'!A27="","",'By Teacher'!A27)</f>
        <v/>
      </c>
      <c r="B40" s="9">
        <f>IF(A40="","",'By Teacher'!B27)</f>
        <v/>
      </c>
      <c r="C40" s="9">
        <f>IF(A40="","",'By Teacher'!C27)</f>
        <v/>
      </c>
      <c r="D40" s="11">
        <f>IF(A40="","",SUMIFS(Donations!$D:$D,Donations!$H:$H,A40,Donations!$F:$F,"&gt;="&amp;'Daily Challenges'!$C$5,Donations!$F:$F,"&lt;="&amp;'Daily Challenges'!$D$5))</f>
        <v/>
      </c>
      <c r="E40" s="21">
        <f t="array" ref="E40">IF(A40="","",IF(N(F40)&lt;=0,"—",INDEX(Students!$A$2:$A$601,MATCH(1,(Students!$B$2:$B$601=A40)*(Students!$I$2:$I$601=F40),0))&amp;IF(COUNTIFS(Students!$B$2:$B$601,A40,Students!$I$2:$I$601,F40)&gt;1," (tie)","")))</f>
        <v/>
      </c>
      <c r="F40" s="11">
        <f>IF(A40="","",_xlfn.MAXIFS(Students!$I$2:$I$601,Students!$B$2:$B$601,A40))</f>
        <v/>
      </c>
      <c r="G40" s="28">
        <f>IF(OR(A40="",N(C40)=0),"",COUNTIFS(Students!$B:$B,A40,Students!$F:$F,"&gt;="&amp;MAX(0.01,N('Daily Challenges'!$G$7)))/C40)</f>
        <v/>
      </c>
      <c r="H40" s="28">
        <f>IF(OR(A40="",N(C40)=0),"",COUNTIFS(Students!$B:$B,A40,Students!$H:$H,"&gt;0")/C40)</f>
        <v/>
      </c>
    </row>
    <row r="41">
      <c r="A41" s="21">
        <f>IF('By Teacher'!A28="","",'By Teacher'!A28)</f>
        <v/>
      </c>
      <c r="B41" s="9">
        <f>IF(A41="","",'By Teacher'!B28)</f>
        <v/>
      </c>
      <c r="C41" s="9">
        <f>IF(A41="","",'By Teacher'!C28)</f>
        <v/>
      </c>
      <c r="D41" s="11">
        <f>IF(A41="","",SUMIFS(Donations!$D:$D,Donations!$H:$H,A41,Donations!$F:$F,"&gt;="&amp;'Daily Challenges'!$C$5,Donations!$F:$F,"&lt;="&amp;'Daily Challenges'!$D$5))</f>
        <v/>
      </c>
      <c r="E41" s="21">
        <f t="array" ref="E41">IF(A41="","",IF(N(F41)&lt;=0,"—",INDEX(Students!$A$2:$A$601,MATCH(1,(Students!$B$2:$B$601=A41)*(Students!$I$2:$I$601=F41),0))&amp;IF(COUNTIFS(Students!$B$2:$B$601,A41,Students!$I$2:$I$601,F41)&gt;1," (tie)","")))</f>
        <v/>
      </c>
      <c r="F41" s="11">
        <f>IF(A41="","",_xlfn.MAXIFS(Students!$I$2:$I$601,Students!$B$2:$B$601,A41))</f>
        <v/>
      </c>
      <c r="G41" s="28">
        <f>IF(OR(A41="",N(C41)=0),"",COUNTIFS(Students!$B:$B,A41,Students!$F:$F,"&gt;="&amp;MAX(0.01,N('Daily Challenges'!$G$7)))/C41)</f>
        <v/>
      </c>
      <c r="H41" s="28">
        <f>IF(OR(A41="",N(C41)=0),"",COUNTIFS(Students!$B:$B,A41,Students!$H:$H,"&gt;0")/C41)</f>
        <v/>
      </c>
    </row>
    <row r="42">
      <c r="A42" s="21">
        <f>IF('By Teacher'!A29="","",'By Teacher'!A29)</f>
        <v/>
      </c>
      <c r="B42" s="9">
        <f>IF(A42="","",'By Teacher'!B29)</f>
        <v/>
      </c>
      <c r="C42" s="9">
        <f>IF(A42="","",'By Teacher'!C29)</f>
        <v/>
      </c>
      <c r="D42" s="11">
        <f>IF(A42="","",SUMIFS(Donations!$D:$D,Donations!$H:$H,A42,Donations!$F:$F,"&gt;="&amp;'Daily Challenges'!$C$5,Donations!$F:$F,"&lt;="&amp;'Daily Challenges'!$D$5))</f>
        <v/>
      </c>
      <c r="E42" s="21">
        <f t="array" ref="E42">IF(A42="","",IF(N(F42)&lt;=0,"—",INDEX(Students!$A$2:$A$601,MATCH(1,(Students!$B$2:$B$601=A42)*(Students!$I$2:$I$601=F42),0))&amp;IF(COUNTIFS(Students!$B$2:$B$601,A42,Students!$I$2:$I$601,F42)&gt;1," (tie)","")))</f>
        <v/>
      </c>
      <c r="F42" s="11">
        <f>IF(A42="","",_xlfn.MAXIFS(Students!$I$2:$I$601,Students!$B$2:$B$601,A42))</f>
        <v/>
      </c>
      <c r="G42" s="28">
        <f>IF(OR(A42="",N(C42)=0),"",COUNTIFS(Students!$B:$B,A42,Students!$F:$F,"&gt;="&amp;MAX(0.01,N('Daily Challenges'!$G$7)))/C42)</f>
        <v/>
      </c>
      <c r="H42" s="28">
        <f>IF(OR(A42="",N(C42)=0),"",COUNTIFS(Students!$B:$B,A42,Students!$H:$H,"&gt;0")/C42)</f>
        <v/>
      </c>
    </row>
    <row r="43">
      <c r="A43" s="21">
        <f>IF('By Teacher'!A30="","",'By Teacher'!A30)</f>
        <v/>
      </c>
      <c r="B43" s="9">
        <f>IF(A43="","",'By Teacher'!B30)</f>
        <v/>
      </c>
      <c r="C43" s="9">
        <f>IF(A43="","",'By Teacher'!C30)</f>
        <v/>
      </c>
      <c r="D43" s="11">
        <f>IF(A43="","",SUMIFS(Donations!$D:$D,Donations!$H:$H,A43,Donations!$F:$F,"&gt;="&amp;'Daily Challenges'!$C$5,Donations!$F:$F,"&lt;="&amp;'Daily Challenges'!$D$5))</f>
        <v/>
      </c>
      <c r="E43" s="21">
        <f t="array" ref="E43">IF(A43="","",IF(N(F43)&lt;=0,"—",INDEX(Students!$A$2:$A$601,MATCH(1,(Students!$B$2:$B$601=A43)*(Students!$I$2:$I$601=F43),0))&amp;IF(COUNTIFS(Students!$B$2:$B$601,A43,Students!$I$2:$I$601,F43)&gt;1," (tie)","")))</f>
        <v/>
      </c>
      <c r="F43" s="11">
        <f>IF(A43="","",_xlfn.MAXIFS(Students!$I$2:$I$601,Students!$B$2:$B$601,A43))</f>
        <v/>
      </c>
      <c r="G43" s="28">
        <f>IF(OR(A43="",N(C43)=0),"",COUNTIFS(Students!$B:$B,A43,Students!$F:$F,"&gt;="&amp;MAX(0.01,N('Daily Challenges'!$G$7)))/C43)</f>
        <v/>
      </c>
      <c r="H43" s="28">
        <f>IF(OR(A43="",N(C43)=0),"",COUNTIFS(Students!$B:$B,A43,Students!$H:$H,"&gt;0")/C43)</f>
        <v/>
      </c>
    </row>
    <row r="44">
      <c r="A44" s="21">
        <f>IF('By Teacher'!A31="","",'By Teacher'!A31)</f>
        <v/>
      </c>
      <c r="B44" s="9">
        <f>IF(A44="","",'By Teacher'!B31)</f>
        <v/>
      </c>
      <c r="C44" s="9">
        <f>IF(A44="","",'By Teacher'!C31)</f>
        <v/>
      </c>
      <c r="D44" s="11">
        <f>IF(A44="","",SUMIFS(Donations!$D:$D,Donations!$H:$H,A44,Donations!$F:$F,"&gt;="&amp;'Daily Challenges'!$C$5,Donations!$F:$F,"&lt;="&amp;'Daily Challenges'!$D$5))</f>
        <v/>
      </c>
      <c r="E44" s="21">
        <f t="array" ref="E44">IF(A44="","",IF(N(F44)&lt;=0,"—",INDEX(Students!$A$2:$A$601,MATCH(1,(Students!$B$2:$B$601=A44)*(Students!$I$2:$I$601=F44),0))&amp;IF(COUNTIFS(Students!$B$2:$B$601,A44,Students!$I$2:$I$601,F44)&gt;1," (tie)","")))</f>
        <v/>
      </c>
      <c r="F44" s="11">
        <f>IF(A44="","",_xlfn.MAXIFS(Students!$I$2:$I$601,Students!$B$2:$B$601,A44))</f>
        <v/>
      </c>
      <c r="G44" s="28">
        <f>IF(OR(A44="",N(C44)=0),"",COUNTIFS(Students!$B:$B,A44,Students!$F:$F,"&gt;="&amp;MAX(0.01,N('Daily Challenges'!$G$7)))/C44)</f>
        <v/>
      </c>
      <c r="H44" s="28">
        <f>IF(OR(A44="",N(C44)=0),"",COUNTIFS(Students!$B:$B,A44,Students!$H:$H,"&gt;0")/C44)</f>
        <v/>
      </c>
    </row>
    <row r="45">
      <c r="A45" s="21">
        <f>IF('By Teacher'!A32="","",'By Teacher'!A32)</f>
        <v/>
      </c>
      <c r="B45" s="9">
        <f>IF(A45="","",'By Teacher'!B32)</f>
        <v/>
      </c>
      <c r="C45" s="9">
        <f>IF(A45="","",'By Teacher'!C32)</f>
        <v/>
      </c>
      <c r="D45" s="11">
        <f>IF(A45="","",SUMIFS(Donations!$D:$D,Donations!$H:$H,A45,Donations!$F:$F,"&gt;="&amp;'Daily Challenges'!$C$5,Donations!$F:$F,"&lt;="&amp;'Daily Challenges'!$D$5))</f>
        <v/>
      </c>
      <c r="E45" s="21">
        <f t="array" ref="E45">IF(A45="","",IF(N(F45)&lt;=0,"—",INDEX(Students!$A$2:$A$601,MATCH(1,(Students!$B$2:$B$601=A45)*(Students!$I$2:$I$601=F45),0))&amp;IF(COUNTIFS(Students!$B$2:$B$601,A45,Students!$I$2:$I$601,F45)&gt;1," (tie)","")))</f>
        <v/>
      </c>
      <c r="F45" s="11">
        <f>IF(A45="","",_xlfn.MAXIFS(Students!$I$2:$I$601,Students!$B$2:$B$601,A45))</f>
        <v/>
      </c>
      <c r="G45" s="28">
        <f>IF(OR(A45="",N(C45)=0),"",COUNTIFS(Students!$B:$B,A45,Students!$F:$F,"&gt;="&amp;MAX(0.01,N('Daily Challenges'!$G$7)))/C45)</f>
        <v/>
      </c>
      <c r="H45" s="28">
        <f>IF(OR(A45="",N(C45)=0),"",COUNTIFS(Students!$B:$B,A45,Students!$H:$H,"&gt;0")/C45)</f>
        <v/>
      </c>
    </row>
    <row r="46">
      <c r="A46" s="21">
        <f>IF('By Teacher'!A33="","",'By Teacher'!A33)</f>
        <v/>
      </c>
      <c r="B46" s="9">
        <f>IF(A46="","",'By Teacher'!B33)</f>
        <v/>
      </c>
      <c r="C46" s="9">
        <f>IF(A46="","",'By Teacher'!C33)</f>
        <v/>
      </c>
      <c r="D46" s="11">
        <f>IF(A46="","",SUMIFS(Donations!$D:$D,Donations!$H:$H,A46,Donations!$F:$F,"&gt;="&amp;'Daily Challenges'!$C$5,Donations!$F:$F,"&lt;="&amp;'Daily Challenges'!$D$5))</f>
        <v/>
      </c>
      <c r="E46" s="21">
        <f t="array" ref="E46">IF(A46="","",IF(N(F46)&lt;=0,"—",INDEX(Students!$A$2:$A$601,MATCH(1,(Students!$B$2:$B$601=A46)*(Students!$I$2:$I$601=F46),0))&amp;IF(COUNTIFS(Students!$B$2:$B$601,A46,Students!$I$2:$I$601,F46)&gt;1," (tie)","")))</f>
        <v/>
      </c>
      <c r="F46" s="11">
        <f>IF(A46="","",_xlfn.MAXIFS(Students!$I$2:$I$601,Students!$B$2:$B$601,A46))</f>
        <v/>
      </c>
      <c r="G46" s="28">
        <f>IF(OR(A46="",N(C46)=0),"",COUNTIFS(Students!$B:$B,A46,Students!$F:$F,"&gt;="&amp;MAX(0.01,N('Daily Challenges'!$G$7)))/C46)</f>
        <v/>
      </c>
      <c r="H46" s="28">
        <f>IF(OR(A46="",N(C46)=0),"",COUNTIFS(Students!$B:$B,A46,Students!$H:$H,"&gt;0")/C46)</f>
        <v/>
      </c>
    </row>
    <row r="47">
      <c r="A47" s="21">
        <f>IF('By Teacher'!A34="","",'By Teacher'!A34)</f>
        <v/>
      </c>
      <c r="B47" s="9">
        <f>IF(A47="","",'By Teacher'!B34)</f>
        <v/>
      </c>
      <c r="C47" s="9">
        <f>IF(A47="","",'By Teacher'!C34)</f>
        <v/>
      </c>
      <c r="D47" s="11">
        <f>IF(A47="","",SUMIFS(Donations!$D:$D,Donations!$H:$H,A47,Donations!$F:$F,"&gt;="&amp;'Daily Challenges'!$C$5,Donations!$F:$F,"&lt;="&amp;'Daily Challenges'!$D$5))</f>
        <v/>
      </c>
      <c r="E47" s="21">
        <f t="array" ref="E47">IF(A47="","",IF(N(F47)&lt;=0,"—",INDEX(Students!$A$2:$A$601,MATCH(1,(Students!$B$2:$B$601=A47)*(Students!$I$2:$I$601=F47),0))&amp;IF(COUNTIFS(Students!$B$2:$B$601,A47,Students!$I$2:$I$601,F47)&gt;1," (tie)","")))</f>
        <v/>
      </c>
      <c r="F47" s="11">
        <f>IF(A47="","",_xlfn.MAXIFS(Students!$I$2:$I$601,Students!$B$2:$B$601,A47))</f>
        <v/>
      </c>
      <c r="G47" s="28">
        <f>IF(OR(A47="",N(C47)=0),"",COUNTIFS(Students!$B:$B,A47,Students!$F:$F,"&gt;="&amp;MAX(0.01,N('Daily Challenges'!$G$7)))/C47)</f>
        <v/>
      </c>
      <c r="H47" s="28">
        <f>IF(OR(A47="",N(C47)=0),"",COUNTIFS(Students!$B:$B,A47,Students!$H:$H,"&gt;0")/C47)</f>
        <v/>
      </c>
    </row>
    <row r="48">
      <c r="A48" s="21">
        <f>IF('By Teacher'!A35="","",'By Teacher'!A35)</f>
        <v/>
      </c>
      <c r="B48" s="9">
        <f>IF(A48="","",'By Teacher'!B35)</f>
        <v/>
      </c>
      <c r="C48" s="9">
        <f>IF(A48="","",'By Teacher'!C35)</f>
        <v/>
      </c>
      <c r="D48" s="11">
        <f>IF(A48="","",SUMIFS(Donations!$D:$D,Donations!$H:$H,A48,Donations!$F:$F,"&gt;="&amp;'Daily Challenges'!$C$5,Donations!$F:$F,"&lt;="&amp;'Daily Challenges'!$D$5))</f>
        <v/>
      </c>
      <c r="E48" s="21">
        <f t="array" ref="E48">IF(A48="","",IF(N(F48)&lt;=0,"—",INDEX(Students!$A$2:$A$601,MATCH(1,(Students!$B$2:$B$601=A48)*(Students!$I$2:$I$601=F48),0))&amp;IF(COUNTIFS(Students!$B$2:$B$601,A48,Students!$I$2:$I$601,F48)&gt;1," (tie)","")))</f>
        <v/>
      </c>
      <c r="F48" s="11">
        <f>IF(A48="","",_xlfn.MAXIFS(Students!$I$2:$I$601,Students!$B$2:$B$601,A48))</f>
        <v/>
      </c>
      <c r="G48" s="28">
        <f>IF(OR(A48="",N(C48)=0),"",COUNTIFS(Students!$B:$B,A48,Students!$F:$F,"&gt;="&amp;MAX(0.01,N('Daily Challenges'!$G$7)))/C48)</f>
        <v/>
      </c>
      <c r="H48" s="28">
        <f>IF(OR(A48="",N(C48)=0),"",COUNTIFS(Students!$B:$B,A48,Students!$H:$H,"&gt;0")/C48)</f>
        <v/>
      </c>
    </row>
    <row r="49">
      <c r="A49" s="21">
        <f>IF('By Teacher'!A36="","",'By Teacher'!A36)</f>
        <v/>
      </c>
      <c r="B49" s="9">
        <f>IF(A49="","",'By Teacher'!B36)</f>
        <v/>
      </c>
      <c r="C49" s="9">
        <f>IF(A49="","",'By Teacher'!C36)</f>
        <v/>
      </c>
      <c r="D49" s="11">
        <f>IF(A49="","",SUMIFS(Donations!$D:$D,Donations!$H:$H,A49,Donations!$F:$F,"&gt;="&amp;'Daily Challenges'!$C$5,Donations!$F:$F,"&lt;="&amp;'Daily Challenges'!$D$5))</f>
        <v/>
      </c>
      <c r="E49" s="21">
        <f t="array" ref="E49">IF(A49="","",IF(N(F49)&lt;=0,"—",INDEX(Students!$A$2:$A$601,MATCH(1,(Students!$B$2:$B$601=A49)*(Students!$I$2:$I$601=F49),0))&amp;IF(COUNTIFS(Students!$B$2:$B$601,A49,Students!$I$2:$I$601,F49)&gt;1," (tie)","")))</f>
        <v/>
      </c>
      <c r="F49" s="11">
        <f>IF(A49="","",_xlfn.MAXIFS(Students!$I$2:$I$601,Students!$B$2:$B$601,A49))</f>
        <v/>
      </c>
      <c r="G49" s="28">
        <f>IF(OR(A49="",N(C49)=0),"",COUNTIFS(Students!$B:$B,A49,Students!$F:$F,"&gt;="&amp;MAX(0.01,N('Daily Challenges'!$G$7)))/C49)</f>
        <v/>
      </c>
      <c r="H49" s="28">
        <f>IF(OR(A49="",N(C49)=0),"",COUNTIFS(Students!$B:$B,A49,Students!$H:$H,"&gt;0")/C49)</f>
        <v/>
      </c>
    </row>
    <row r="50">
      <c r="A50" s="21">
        <f>IF('By Teacher'!A37="","",'By Teacher'!A37)</f>
        <v/>
      </c>
      <c r="B50" s="9">
        <f>IF(A50="","",'By Teacher'!B37)</f>
        <v/>
      </c>
      <c r="C50" s="9">
        <f>IF(A50="","",'By Teacher'!C37)</f>
        <v/>
      </c>
      <c r="D50" s="11">
        <f>IF(A50="","",SUMIFS(Donations!$D:$D,Donations!$H:$H,A50,Donations!$F:$F,"&gt;="&amp;'Daily Challenges'!$C$5,Donations!$F:$F,"&lt;="&amp;'Daily Challenges'!$D$5))</f>
        <v/>
      </c>
      <c r="E50" s="21">
        <f t="array" ref="E50">IF(A50="","",IF(N(F50)&lt;=0,"—",INDEX(Students!$A$2:$A$601,MATCH(1,(Students!$B$2:$B$601=A50)*(Students!$I$2:$I$601=F50),0))&amp;IF(COUNTIFS(Students!$B$2:$B$601,A50,Students!$I$2:$I$601,F50)&gt;1," (tie)","")))</f>
        <v/>
      </c>
      <c r="F50" s="11">
        <f>IF(A50="","",_xlfn.MAXIFS(Students!$I$2:$I$601,Students!$B$2:$B$601,A50))</f>
        <v/>
      </c>
      <c r="G50" s="28">
        <f>IF(OR(A50="",N(C50)=0),"",COUNTIFS(Students!$B:$B,A50,Students!$F:$F,"&gt;="&amp;MAX(0.01,N('Daily Challenges'!$G$7)))/C50)</f>
        <v/>
      </c>
      <c r="H50" s="28">
        <f>IF(OR(A50="",N(C50)=0),"",COUNTIFS(Students!$B:$B,A50,Students!$H:$H,"&gt;0")/C50)</f>
        <v/>
      </c>
    </row>
    <row r="52">
      <c r="A52" s="27" t="inlineStr">
        <is>
          <t>GRADE SCORES</t>
        </is>
      </c>
    </row>
    <row r="53" ht="45" customHeight="1">
      <c r="A53" s="7" t="inlineStr">
        <is>
          <t>Grade</t>
        </is>
      </c>
      <c r="B53" s="7" t="inlineStr"/>
      <c r="C53" s="7" t="inlineStr">
        <is>
          <t>Grade vs. Grade $</t>
        </is>
      </c>
      <c r="D53" s="7" t="inlineStr">
        <is>
          <t>Kickoff Weekend Challenge $</t>
        </is>
      </c>
      <c r="E53" s="7" t="inlineStr">
        <is>
          <t>Kickoff Weekend Challenge: winning class</t>
        </is>
      </c>
    </row>
    <row r="54">
      <c r="A54" s="29" t="inlineStr">
        <is>
          <t>P3</t>
        </is>
      </c>
      <c r="C54" s="11">
        <f>SUMIFS(Donations!$D:$D,Donations!$I:$I,A54,Donations!$F:$F,"&gt;="&amp;'Daily Challenges'!$C$11,Donations!$F:$F,"&lt;="&amp;'Daily Challenges'!$D$11)</f>
        <v/>
      </c>
      <c r="D54" s="11">
        <f>_xlfn.MAXIFS($D$21:$D$50,$B$21:$B$50,A54)</f>
        <v/>
      </c>
      <c r="E54" s="21">
        <f t="array" ref="E54">IF(N(D54)&lt;=0,"—",INDEX($A$21:$A$50,MATCH(1,($B$21:$B$50&amp;""=A54)*($D$21:$D$50=D54),0))&amp;IF(COUNTIFS($B$21:$B$50,A54,$D$21:$D$50,D54)&gt;1," (tie)",""))</f>
        <v/>
      </c>
    </row>
    <row r="55">
      <c r="A55" s="29" t="inlineStr">
        <is>
          <t>P4</t>
        </is>
      </c>
      <c r="C55" s="11">
        <f>SUMIFS(Donations!$D:$D,Donations!$I:$I,A55,Donations!$F:$F,"&gt;="&amp;'Daily Challenges'!$C$11,Donations!$F:$F,"&lt;="&amp;'Daily Challenges'!$D$11)</f>
        <v/>
      </c>
      <c r="D55" s="11">
        <f>_xlfn.MAXIFS($D$21:$D$50,$B$21:$B$50,A55)</f>
        <v/>
      </c>
      <c r="E55" s="21">
        <f t="array" ref="E55">IF(N(D55)&lt;=0,"—",INDEX($A$21:$A$50,MATCH(1,($B$21:$B$50&amp;""=A55)*($D$21:$D$50=D55),0))&amp;IF(COUNTIFS($B$21:$B$50,A55,$D$21:$D$50,D55)&gt;1," (tie)",""))</f>
        <v/>
      </c>
    </row>
    <row r="56">
      <c r="A56" s="29" t="inlineStr">
        <is>
          <t>K</t>
        </is>
      </c>
      <c r="C56" s="11">
        <f>SUMIFS(Donations!$D:$D,Donations!$I:$I,A56,Donations!$F:$F,"&gt;="&amp;'Daily Challenges'!$C$11,Donations!$F:$F,"&lt;="&amp;'Daily Challenges'!$D$11)</f>
        <v/>
      </c>
      <c r="D56" s="11">
        <f>_xlfn.MAXIFS($D$21:$D$50,$B$21:$B$50,A56)</f>
        <v/>
      </c>
      <c r="E56" s="21">
        <f t="array" ref="E56">IF(N(D56)&lt;=0,"—",INDEX($A$21:$A$50,MATCH(1,($B$21:$B$50&amp;""=A56)*($D$21:$D$50=D56),0))&amp;IF(COUNTIFS($B$21:$B$50,A56,$D$21:$D$50,D56)&gt;1," (tie)",""))</f>
        <v/>
      </c>
    </row>
    <row r="57">
      <c r="A57" s="29" t="inlineStr">
        <is>
          <t>1</t>
        </is>
      </c>
      <c r="C57" s="11">
        <f>SUMIFS(Donations!$D:$D,Donations!$I:$I,A57,Donations!$F:$F,"&gt;="&amp;'Daily Challenges'!$C$11,Donations!$F:$F,"&lt;="&amp;'Daily Challenges'!$D$11)</f>
        <v/>
      </c>
      <c r="D57" s="11">
        <f>_xlfn.MAXIFS($D$21:$D$50,$B$21:$B$50,A57)</f>
        <v/>
      </c>
      <c r="E57" s="21">
        <f t="array" ref="E57">IF(N(D57)&lt;=0,"—",INDEX($A$21:$A$50,MATCH(1,($B$21:$B$50&amp;""=A57)*($D$21:$D$50=D57),0))&amp;IF(COUNTIFS($B$21:$B$50,A57,$D$21:$D$50,D57)&gt;1," (tie)",""))</f>
        <v/>
      </c>
    </row>
    <row r="58">
      <c r="A58" s="29" t="inlineStr">
        <is>
          <t>2</t>
        </is>
      </c>
      <c r="C58" s="11">
        <f>SUMIFS(Donations!$D:$D,Donations!$I:$I,A58,Donations!$F:$F,"&gt;="&amp;'Daily Challenges'!$C$11,Donations!$F:$F,"&lt;="&amp;'Daily Challenges'!$D$11)</f>
        <v/>
      </c>
      <c r="D58" s="11">
        <f>_xlfn.MAXIFS($D$21:$D$50,$B$21:$B$50,A58)</f>
        <v/>
      </c>
      <c r="E58" s="21">
        <f t="array" ref="E58">IF(N(D58)&lt;=0,"—",INDEX($A$21:$A$50,MATCH(1,($B$21:$B$50&amp;""=A58)*($D$21:$D$50=D58),0))&amp;IF(COUNTIFS($B$21:$B$50,A58,$D$21:$D$50,D58)&gt;1," (tie)",""))</f>
        <v/>
      </c>
    </row>
    <row r="59">
      <c r="A59" s="29" t="inlineStr">
        <is>
          <t>3</t>
        </is>
      </c>
      <c r="C59" s="11">
        <f>SUMIFS(Donations!$D:$D,Donations!$I:$I,A59,Donations!$F:$F,"&gt;="&amp;'Daily Challenges'!$C$11,Donations!$F:$F,"&lt;="&amp;'Daily Challenges'!$D$11)</f>
        <v/>
      </c>
      <c r="D59" s="11">
        <f>_xlfn.MAXIFS($D$21:$D$50,$B$21:$B$50,A59)</f>
        <v/>
      </c>
      <c r="E59" s="21">
        <f t="array" ref="E59">IF(N(D59)&lt;=0,"—",INDEX($A$21:$A$50,MATCH(1,($B$21:$B$50&amp;""=A59)*($D$21:$D$50=D59),0))&amp;IF(COUNTIFS($B$21:$B$50,A59,$D$21:$D$50,D59)&gt;1," (tie)",""))</f>
        <v/>
      </c>
    </row>
    <row r="60">
      <c r="A60" s="29" t="inlineStr">
        <is>
          <t>4</t>
        </is>
      </c>
      <c r="C60" s="11">
        <f>SUMIFS(Donations!$D:$D,Donations!$I:$I,A60,Donations!$F:$F,"&gt;="&amp;'Daily Challenges'!$C$11,Donations!$F:$F,"&lt;="&amp;'Daily Challenges'!$D$11)</f>
        <v/>
      </c>
      <c r="D60" s="11">
        <f>_xlfn.MAXIFS($D$21:$D$50,$B$21:$B$50,A60)</f>
        <v/>
      </c>
      <c r="E60" s="21">
        <f t="array" ref="E60">IF(N(D60)&lt;=0,"—",INDEX($A$21:$A$50,MATCH(1,($B$21:$B$50&amp;""=A60)*($D$21:$D$50=D60),0))&amp;IF(COUNTIFS($B$21:$B$50,A60,$D$21:$D$50,D60)&gt;1," (tie)",""))</f>
        <v/>
      </c>
    </row>
    <row r="61">
      <c r="A61" s="29" t="inlineStr">
        <is>
          <t>5</t>
        </is>
      </c>
      <c r="C61" s="11">
        <f>SUMIFS(Donations!$D:$D,Donations!$I:$I,A61,Donations!$F:$F,"&gt;="&amp;'Daily Challenges'!$C$11,Donations!$F:$F,"&lt;="&amp;'Daily Challenges'!$D$11)</f>
        <v/>
      </c>
      <c r="D61" s="11">
        <f>_xlfn.MAXIFS($D$21:$D$50,$B$21:$B$50,A61)</f>
        <v/>
      </c>
      <c r="E61" s="21">
        <f t="array" ref="E61">IF(N(D61)&lt;=0,"—",INDEX($A$21:$A$50,MATCH(1,($B$21:$B$50&amp;""=A61)*($D$21:$D$50=D61),0))&amp;IF(COUNTIFS($B$21:$B$50,A61,$D$21:$D$50,D61)&gt;1," (tie)",""))</f>
        <v/>
      </c>
    </row>
    <row r="62">
      <c r="A62" s="29" t="inlineStr">
        <is>
          <t>6</t>
        </is>
      </c>
      <c r="C62" s="11">
        <f>SUMIFS(Donations!$D:$D,Donations!$I:$I,A62,Donations!$F:$F,"&gt;="&amp;'Daily Challenges'!$C$11,Donations!$F:$F,"&lt;="&amp;'Daily Challenges'!$D$11)</f>
        <v/>
      </c>
      <c r="D62" s="11">
        <f>_xlfn.MAXIFS($D$21:$D$50,$B$21:$B$50,A62)</f>
        <v/>
      </c>
      <c r="E62" s="21">
        <f t="array" ref="E62">IF(N(D62)&lt;=0,"—",INDEX($A$21:$A$50,MATCH(1,($B$21:$B$50&amp;""=A62)*($D$21:$D$50=D62),0))&amp;IF(COUNTIFS($B$21:$B$50,A62,$D$21:$D$50,D62)&gt;1," (tie)",""))</f>
        <v/>
      </c>
    </row>
    <row r="63">
      <c r="A63" s="29" t="inlineStr">
        <is>
          <t>7</t>
        </is>
      </c>
      <c r="C63" s="11">
        <f>SUMIFS(Donations!$D:$D,Donations!$I:$I,A63,Donations!$F:$F,"&gt;="&amp;'Daily Challenges'!$C$11,Donations!$F:$F,"&lt;="&amp;'Daily Challenges'!$D$11)</f>
        <v/>
      </c>
      <c r="D63" s="11">
        <f>_xlfn.MAXIFS($D$21:$D$50,$B$21:$B$50,A63)</f>
        <v/>
      </c>
      <c r="E63" s="21">
        <f t="array" ref="E63">IF(N(D63)&lt;=0,"—",INDEX($A$21:$A$50,MATCH(1,($B$21:$B$50&amp;""=A63)*($D$21:$D$50=D63),0))&amp;IF(COUNTIFS($B$21:$B$50,A63,$D$21:$D$50,D63)&gt;1," (tie)",""))</f>
        <v/>
      </c>
    </row>
    <row r="64">
      <c r="A64" s="29" t="inlineStr">
        <is>
          <t>8</t>
        </is>
      </c>
      <c r="C64" s="11">
        <f>SUMIFS(Donations!$D:$D,Donations!$I:$I,A64,Donations!$F:$F,"&gt;="&amp;'Daily Challenges'!$C$11,Donations!$F:$F,"&lt;="&amp;'Daily Challenges'!$D$11)</f>
        <v/>
      </c>
      <c r="D64" s="11">
        <f>_xlfn.MAXIFS($D$21:$D$50,$B$21:$B$50,A64)</f>
        <v/>
      </c>
      <c r="E64" s="21">
        <f t="array" ref="E64">IF(N(D64)&lt;=0,"—",INDEX($A$21:$A$50,MATCH(1,($B$21:$B$50&amp;""=A64)*($D$21:$D$50=D64),0))&amp;IF(COUNTIFS($B$21:$B$50,A64,$D$21:$D$50,D64)&gt;1," (tie)",""))</f>
        <v/>
      </c>
    </row>
  </sheetData>
  <mergeCells count="1">
    <mergeCell ref="A1:G1"/>
  </mergeCells>
  <conditionalFormatting sqref="F5:F16">
    <cfRule type="expression" priority="1" dxfId="2">
      <formula>LEFT(F5,3)="HIT"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2F6FD0"/>
    <outlinePr summaryBelow="1" summaryRight="1"/>
    <pageSetUpPr/>
  </sheetPr>
  <dimension ref="A1:I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4" customWidth="1" min="3" max="3"/>
    <col width="11" customWidth="1" min="4" max="4"/>
    <col width="11" customWidth="1" min="5" max="5"/>
    <col width="11" customWidth="1" min="6" max="6"/>
    <col width="26" customWidth="1" min="7" max="7"/>
    <col width="20" customWidth="1" min="8" max="8"/>
    <col width="9" customWidth="1" min="9" max="9"/>
  </cols>
  <sheetData>
    <row r="1" ht="32" customHeight="1">
      <c r="A1" s="7" t="inlineStr">
        <is>
          <t>Date</t>
        </is>
      </c>
      <c r="B1" s="7" t="inlineStr">
        <is>
          <t>Student (as on OneCause)</t>
        </is>
      </c>
      <c r="C1" s="7" t="inlineStr">
        <is>
          <t>Donor</t>
        </is>
      </c>
      <c r="D1" s="7" t="inlineStr">
        <is>
          <t>Amount</t>
        </is>
      </c>
      <c r="E1" s="7" t="inlineStr">
        <is>
          <t>Method</t>
        </is>
      </c>
      <c r="F1" s="30" t="inlineStr">
        <is>
          <t>Day (auto)</t>
        </is>
      </c>
      <c r="G1" s="30" t="inlineStr">
        <is>
          <t>Student on list (auto)</t>
        </is>
      </c>
      <c r="H1" s="30" t="inlineStr">
        <is>
          <t>Teacher (auto)</t>
        </is>
      </c>
      <c r="I1" s="30" t="inlineStr">
        <is>
          <t>Grade (auto)</t>
        </is>
      </c>
    </row>
    <row r="2">
      <c r="A2" s="31" t="n">
        <v>46339.45833333334</v>
      </c>
      <c r="B2" s="32" t="inlineStr">
        <is>
          <t>Daniel Martinez</t>
        </is>
      </c>
      <c r="C2" s="32" t="inlineStr">
        <is>
          <t>Ella Martinez</t>
        </is>
      </c>
      <c r="D2" s="33" t="n">
        <v>25</v>
      </c>
      <c r="E2" s="32" t="inlineStr">
        <is>
          <t>OneCause</t>
        </is>
      </c>
      <c r="F2" s="34">
        <f>IF(A2="","",IFERROR(INT(A2),"check date"))</f>
        <v/>
      </c>
      <c r="G2" s="35">
        <f>IF(B2="","",IFERROR(INDEX(Students!$A:$A,MATCH(TRIM(B2),Students!$A:$A,0)),"NOT ON LIST"))</f>
        <v/>
      </c>
      <c r="H2" s="35">
        <f>IF(OR(G2="",G2="NOT ON LIST"),"",VLOOKUP(G2,Students!$A:$C,2,FALSE))</f>
        <v/>
      </c>
      <c r="I2" s="35">
        <f>IF(OR(G2="",G2="NOT ON LIST"),"",VLOOKUP(G2,Students!$A:$C,3,FALSE)&amp;"")</f>
        <v/>
      </c>
    </row>
    <row r="3">
      <c r="A3" s="31" t="n">
        <v>46334.59375</v>
      </c>
      <c r="B3" s="32" t="inlineStr">
        <is>
          <t>Clara Flores</t>
        </is>
      </c>
      <c r="C3" s="32" t="inlineStr">
        <is>
          <t>Santiago Flores</t>
        </is>
      </c>
      <c r="D3" s="33" t="n">
        <v>25</v>
      </c>
      <c r="E3" s="32" t="inlineStr">
        <is>
          <t>OneCause</t>
        </is>
      </c>
      <c r="F3" s="34">
        <f>IF(A3="","",IFERROR(INT(A3),"check date"))</f>
        <v/>
      </c>
      <c r="G3" s="35">
        <f>IF(B3="","",IFERROR(INDEX(Students!$A:$A,MATCH(TRIM(B3),Students!$A:$A,0)),"NOT ON LIST"))</f>
        <v/>
      </c>
      <c r="H3" s="35">
        <f>IF(OR(G3="",G3="NOT ON LIST"),"",VLOOKUP(G3,Students!$A:$C,2,FALSE))</f>
        <v/>
      </c>
      <c r="I3" s="35">
        <f>IF(OR(G3="",G3="NOT ON LIST"),"",VLOOKUP(G3,Students!$A:$C,3,FALSE)&amp;"")</f>
        <v/>
      </c>
    </row>
    <row r="4">
      <c r="A4" s="31" t="n">
        <v>46325.76041666666</v>
      </c>
      <c r="B4" s="32" t="inlineStr">
        <is>
          <t>Adrian Nguyen</t>
        </is>
      </c>
      <c r="C4" s="32" t="inlineStr">
        <is>
          <t>Gabriel Nguyen</t>
        </is>
      </c>
      <c r="D4" s="33" t="n">
        <v>150</v>
      </c>
      <c r="E4" s="32" t="inlineStr">
        <is>
          <t>OneCause</t>
        </is>
      </c>
      <c r="F4" s="34">
        <f>IF(A4="","",IFERROR(INT(A4),"check date"))</f>
        <v/>
      </c>
      <c r="G4" s="35">
        <f>IF(B4="","",IFERROR(INDEX(Students!$A:$A,MATCH(TRIM(B4),Students!$A:$A,0)),"NOT ON LIST"))</f>
        <v/>
      </c>
      <c r="H4" s="35">
        <f>IF(OR(G4="",G4="NOT ON LIST"),"",VLOOKUP(G4,Students!$A:$C,2,FALSE))</f>
        <v/>
      </c>
      <c r="I4" s="35">
        <f>IF(OR(G4="",G4="NOT ON LIST"),"",VLOOKUP(G4,Students!$A:$C,3,FALSE)&amp;"")</f>
        <v/>
      </c>
    </row>
    <row r="5">
      <c r="A5" s="31" t="n">
        <v>46326.77083333334</v>
      </c>
      <c r="B5" s="32" t="inlineStr">
        <is>
          <t>Harper Morales</t>
        </is>
      </c>
      <c r="C5" s="32" t="inlineStr">
        <is>
          <t>Liam Morales</t>
        </is>
      </c>
      <c r="D5" s="33" t="n">
        <v>25</v>
      </c>
      <c r="E5" s="32" t="inlineStr">
        <is>
          <t>OneCause</t>
        </is>
      </c>
      <c r="F5" s="34">
        <f>IF(A5="","",IFERROR(INT(A5),"check date"))</f>
        <v/>
      </c>
      <c r="G5" s="35">
        <f>IF(B5="","",IFERROR(INDEX(Students!$A:$A,MATCH(TRIM(B5),Students!$A:$A,0)),"NOT ON LIST"))</f>
        <v/>
      </c>
      <c r="H5" s="35">
        <f>IF(OR(G5="",G5="NOT ON LIST"),"",VLOOKUP(G5,Students!$A:$C,2,FALSE))</f>
        <v/>
      </c>
      <c r="I5" s="35">
        <f>IF(OR(G5="",G5="NOT ON LIST"),"",VLOOKUP(G5,Students!$A:$C,3,FALSE)&amp;"")</f>
        <v/>
      </c>
    </row>
    <row r="6">
      <c r="A6" s="31" t="n">
        <v>46327.72916666666</v>
      </c>
      <c r="B6" s="32" t="inlineStr">
        <is>
          <t>Maya Patel</t>
        </is>
      </c>
      <c r="C6" s="32" t="inlineStr">
        <is>
          <t>Joseph Patel</t>
        </is>
      </c>
      <c r="D6" s="33" t="n">
        <v>150</v>
      </c>
      <c r="E6" s="32" t="inlineStr">
        <is>
          <t>OneCause</t>
        </is>
      </c>
      <c r="F6" s="34">
        <f>IF(A6="","",IFERROR(INT(A6),"check date"))</f>
        <v/>
      </c>
      <c r="G6" s="35">
        <f>IF(B6="","",IFERROR(INDEX(Students!$A:$A,MATCH(TRIM(B6),Students!$A:$A,0)),"NOT ON LIST"))</f>
        <v/>
      </c>
      <c r="H6" s="35">
        <f>IF(OR(G6="",G6="NOT ON LIST"),"",VLOOKUP(G6,Students!$A:$C,2,FALSE))</f>
        <v/>
      </c>
      <c r="I6" s="35">
        <f>IF(OR(G6="",G6="NOT ON LIST"),"",VLOOKUP(G6,Students!$A:$C,3,FALSE)&amp;"")</f>
        <v/>
      </c>
    </row>
    <row r="7">
      <c r="A7" s="31" t="n">
        <v>46326.47916666666</v>
      </c>
      <c r="B7" s="32" t="inlineStr">
        <is>
          <t>Santiago Alvarez</t>
        </is>
      </c>
      <c r="C7" s="32" t="inlineStr">
        <is>
          <t>Samuel Alvarez</t>
        </is>
      </c>
      <c r="D7" s="33" t="n">
        <v>100</v>
      </c>
      <c r="E7" s="32" t="inlineStr">
        <is>
          <t>OneCause</t>
        </is>
      </c>
      <c r="F7" s="34">
        <f>IF(A7="","",IFERROR(INT(A7),"check date"))</f>
        <v/>
      </c>
      <c r="G7" s="35">
        <f>IF(B7="","",IFERROR(INDEX(Students!$A:$A,MATCH(TRIM(B7),Students!$A:$A,0)),"NOT ON LIST"))</f>
        <v/>
      </c>
      <c r="H7" s="35">
        <f>IF(OR(G7="",G7="NOT ON LIST"),"",VLOOKUP(G7,Students!$A:$C,2,FALSE))</f>
        <v/>
      </c>
      <c r="I7" s="35">
        <f>IF(OR(G7="",G7="NOT ON LIST"),"",VLOOKUP(G7,Students!$A:$C,3,FALSE)&amp;"")</f>
        <v/>
      </c>
    </row>
    <row r="8">
      <c r="A8" s="31" t="n">
        <v>46335.38541666666</v>
      </c>
      <c r="B8" s="32" t="inlineStr">
        <is>
          <t>Amelia Vasquez</t>
        </is>
      </c>
      <c r="C8" s="32" t="inlineStr">
        <is>
          <t>Emma Vasquez</t>
        </is>
      </c>
      <c r="D8" s="33" t="n">
        <v>50</v>
      </c>
      <c r="E8" s="32" t="inlineStr">
        <is>
          <t>OneCause</t>
        </is>
      </c>
      <c r="F8" s="34">
        <f>IF(A8="","",IFERROR(INT(A8),"check date"))</f>
        <v/>
      </c>
      <c r="G8" s="35">
        <f>IF(B8="","",IFERROR(INDEX(Students!$A:$A,MATCH(TRIM(B8),Students!$A:$A,0)),"NOT ON LIST"))</f>
        <v/>
      </c>
      <c r="H8" s="35">
        <f>IF(OR(G8="",G8="NOT ON LIST"),"",VLOOKUP(G8,Students!$A:$C,2,FALSE))</f>
        <v/>
      </c>
      <c r="I8" s="35">
        <f>IF(OR(G8="",G8="NOT ON LIST"),"",VLOOKUP(G8,Students!$A:$C,3,FALSE)&amp;"")</f>
        <v/>
      </c>
    </row>
    <row r="9">
      <c r="A9" s="31" t="n">
        <v>46331.80208333334</v>
      </c>
      <c r="B9" s="32" t="inlineStr">
        <is>
          <t>Joseph Sanchez</t>
        </is>
      </c>
      <c r="C9" s="32" t="inlineStr">
        <is>
          <t>Diego Sanchez</t>
        </is>
      </c>
      <c r="D9" s="33" t="n">
        <v>50</v>
      </c>
      <c r="E9" s="32" t="inlineStr">
        <is>
          <t>OneCause</t>
        </is>
      </c>
      <c r="F9" s="34">
        <f>IF(A9="","",IFERROR(INT(A9),"check date"))</f>
        <v/>
      </c>
      <c r="G9" s="35">
        <f>IF(B9="","",IFERROR(INDEX(Students!$A:$A,MATCH(TRIM(B9),Students!$A:$A,0)),"NOT ON LIST"))</f>
        <v/>
      </c>
      <c r="H9" s="35">
        <f>IF(OR(G9="",G9="NOT ON LIST"),"",VLOOKUP(G9,Students!$A:$C,2,FALSE))</f>
        <v/>
      </c>
      <c r="I9" s="35">
        <f>IF(OR(G9="",G9="NOT ON LIST"),"",VLOOKUP(G9,Students!$A:$C,3,FALSE)&amp;"")</f>
        <v/>
      </c>
    </row>
    <row r="10">
      <c r="A10" s="31" t="n">
        <v>46332</v>
      </c>
      <c r="B10" s="32" t="inlineStr">
        <is>
          <t>Nicolas Cruz</t>
        </is>
      </c>
      <c r="C10" s="32" t="inlineStr">
        <is>
          <t>Joseph Cruz</t>
        </is>
      </c>
      <c r="D10" s="33" t="n">
        <v>50</v>
      </c>
      <c r="E10" s="32" t="inlineStr">
        <is>
          <t>Check</t>
        </is>
      </c>
      <c r="F10" s="34">
        <f>IF(A10="","",IFERROR(INT(A10),"check date"))</f>
        <v/>
      </c>
      <c r="G10" s="35">
        <f>IF(B10="","",IFERROR(INDEX(Students!$A:$A,MATCH(TRIM(B10),Students!$A:$A,0)),"NOT ON LIST"))</f>
        <v/>
      </c>
      <c r="H10" s="35">
        <f>IF(OR(G10="",G10="NOT ON LIST"),"",VLOOKUP(G10,Students!$A:$C,2,FALSE))</f>
        <v/>
      </c>
      <c r="I10" s="35">
        <f>IF(OR(G10="",G10="NOT ON LIST"),"",VLOOKUP(G10,Students!$A:$C,3,FALSE)&amp;"")</f>
        <v/>
      </c>
    </row>
    <row r="11">
      <c r="A11" s="31" t="n">
        <v>46329.57291666666</v>
      </c>
      <c r="B11" s="32" t="inlineStr">
        <is>
          <t>Mateo Sullivan</t>
        </is>
      </c>
      <c r="C11" s="32" t="inlineStr">
        <is>
          <t>Diego Sullivan</t>
        </is>
      </c>
      <c r="D11" s="33" t="n">
        <v>50</v>
      </c>
      <c r="E11" s="32" t="inlineStr">
        <is>
          <t>OneCause</t>
        </is>
      </c>
      <c r="F11" s="34">
        <f>IF(A11="","",IFERROR(INT(A11),"check date"))</f>
        <v/>
      </c>
      <c r="G11" s="35">
        <f>IF(B11="","",IFERROR(INDEX(Students!$A:$A,MATCH(TRIM(B11),Students!$A:$A,0)),"NOT ON LIST"))</f>
        <v/>
      </c>
      <c r="H11" s="35">
        <f>IF(OR(G11="",G11="NOT ON LIST"),"",VLOOKUP(G11,Students!$A:$C,2,FALSE))</f>
        <v/>
      </c>
      <c r="I11" s="35">
        <f>IF(OR(G11="",G11="NOT ON LIST"),"",VLOOKUP(G11,Students!$A:$C,3,FALSE)&amp;"")</f>
        <v/>
      </c>
    </row>
    <row r="12">
      <c r="A12" s="31" t="n">
        <v>46335.53125</v>
      </c>
      <c r="B12" s="32" t="inlineStr">
        <is>
          <t>Chloe Ortiz</t>
        </is>
      </c>
      <c r="C12" s="32" t="inlineStr">
        <is>
          <t>Isaac Ortiz</t>
        </is>
      </c>
      <c r="D12" s="33" t="n">
        <v>150</v>
      </c>
      <c r="E12" s="32" t="inlineStr">
        <is>
          <t>OneCause</t>
        </is>
      </c>
      <c r="F12" s="34">
        <f>IF(A12="","",IFERROR(INT(A12),"check date"))</f>
        <v/>
      </c>
      <c r="G12" s="35">
        <f>IF(B12="","",IFERROR(INDEX(Students!$A:$A,MATCH(TRIM(B12),Students!$A:$A,0)),"NOT ON LIST"))</f>
        <v/>
      </c>
      <c r="H12" s="35">
        <f>IF(OR(G12="",G12="NOT ON LIST"),"",VLOOKUP(G12,Students!$A:$C,2,FALSE))</f>
        <v/>
      </c>
      <c r="I12" s="35">
        <f>IF(OR(G12="",G12="NOT ON LIST"),"",VLOOKUP(G12,Students!$A:$C,3,FALSE)&amp;"")</f>
        <v/>
      </c>
    </row>
    <row r="13">
      <c r="A13" s="31" t="n">
        <v>46339.86458333334</v>
      </c>
      <c r="B13" s="32" t="inlineStr">
        <is>
          <t>Elijah Cruz</t>
        </is>
      </c>
      <c r="C13" s="32" t="inlineStr">
        <is>
          <t>Camila Cruz</t>
        </is>
      </c>
      <c r="D13" s="33" t="n">
        <v>150</v>
      </c>
      <c r="E13" s="32" t="inlineStr">
        <is>
          <t>OneCause</t>
        </is>
      </c>
      <c r="F13" s="34">
        <f>IF(A13="","",IFERROR(INT(A13),"check date"))</f>
        <v/>
      </c>
      <c r="G13" s="35">
        <f>IF(B13="","",IFERROR(INDEX(Students!$A:$A,MATCH(TRIM(B13),Students!$A:$A,0)),"NOT ON LIST"))</f>
        <v/>
      </c>
      <c r="H13" s="35">
        <f>IF(OR(G13="",G13="NOT ON LIST"),"",VLOOKUP(G13,Students!$A:$C,2,FALSE))</f>
        <v/>
      </c>
      <c r="I13" s="35">
        <f>IF(OR(G13="",G13="NOT ON LIST"),"",VLOOKUP(G13,Students!$A:$C,3,FALSE)&amp;"")</f>
        <v/>
      </c>
    </row>
    <row r="14">
      <c r="A14" s="31" t="n">
        <v>46339.84375</v>
      </c>
      <c r="B14" s="32" t="inlineStr">
        <is>
          <t>Noah Morales</t>
        </is>
      </c>
      <c r="C14" s="32" t="inlineStr">
        <is>
          <t>Gabriel Morales</t>
        </is>
      </c>
      <c r="D14" s="33" t="n">
        <v>20</v>
      </c>
      <c r="E14" s="32" t="inlineStr">
        <is>
          <t>OneCause</t>
        </is>
      </c>
      <c r="F14" s="34">
        <f>IF(A14="","",IFERROR(INT(A14),"check date"))</f>
        <v/>
      </c>
      <c r="G14" s="35">
        <f>IF(B14="","",IFERROR(INDEX(Students!$A:$A,MATCH(TRIM(B14),Students!$A:$A,0)),"NOT ON LIST"))</f>
        <v/>
      </c>
      <c r="H14" s="35">
        <f>IF(OR(G14="",G14="NOT ON LIST"),"",VLOOKUP(G14,Students!$A:$C,2,FALSE))</f>
        <v/>
      </c>
      <c r="I14" s="35">
        <f>IF(OR(G14="",G14="NOT ON LIST"),"",VLOOKUP(G14,Students!$A:$C,3,FALSE)&amp;"")</f>
        <v/>
      </c>
    </row>
    <row r="15">
      <c r="A15" s="31" t="n">
        <v>46328.52083333334</v>
      </c>
      <c r="B15" s="32" t="inlineStr">
        <is>
          <t>Diego O'Brien</t>
        </is>
      </c>
      <c r="C15" s="32" t="inlineStr">
        <is>
          <t>Evelyn O'Brien</t>
        </is>
      </c>
      <c r="D15" s="33" t="n">
        <v>75</v>
      </c>
      <c r="E15" s="32" t="inlineStr">
        <is>
          <t>OneCause</t>
        </is>
      </c>
      <c r="F15" s="34">
        <f>IF(A15="","",IFERROR(INT(A15),"check date"))</f>
        <v/>
      </c>
      <c r="G15" s="35">
        <f>IF(B15="","",IFERROR(INDEX(Students!$A:$A,MATCH(TRIM(B15),Students!$A:$A,0)),"NOT ON LIST"))</f>
        <v/>
      </c>
      <c r="H15" s="35">
        <f>IF(OR(G15="",G15="NOT ON LIST"),"",VLOOKUP(G15,Students!$A:$C,2,FALSE))</f>
        <v/>
      </c>
      <c r="I15" s="35">
        <f>IF(OR(G15="",G15="NOT ON LIST"),"",VLOOKUP(G15,Students!$A:$C,3,FALSE)&amp;"")</f>
        <v/>
      </c>
    </row>
    <row r="16">
      <c r="A16" s="31" t="n">
        <v>46325.90625</v>
      </c>
      <c r="B16" s="32" t="inlineStr">
        <is>
          <t>Mateo Martinez</t>
        </is>
      </c>
      <c r="C16" s="32" t="inlineStr">
        <is>
          <t>Nora Martinez</t>
        </is>
      </c>
      <c r="D16" s="33" t="n">
        <v>25</v>
      </c>
      <c r="E16" s="32" t="inlineStr">
        <is>
          <t>OneCause</t>
        </is>
      </c>
      <c r="F16" s="34">
        <f>IF(A16="","",IFERROR(INT(A16),"check date"))</f>
        <v/>
      </c>
      <c r="G16" s="35">
        <f>IF(B16="","",IFERROR(INDEX(Students!$A:$A,MATCH(TRIM(B16),Students!$A:$A,0)),"NOT ON LIST"))</f>
        <v/>
      </c>
      <c r="H16" s="35">
        <f>IF(OR(G16="",G16="NOT ON LIST"),"",VLOOKUP(G16,Students!$A:$C,2,FALSE))</f>
        <v/>
      </c>
      <c r="I16" s="35">
        <f>IF(OR(G16="",G16="NOT ON LIST"),"",VLOOKUP(G16,Students!$A:$C,3,FALSE)&amp;"")</f>
        <v/>
      </c>
    </row>
    <row r="17">
      <c r="A17" s="31" t="n">
        <v>46331.84375</v>
      </c>
      <c r="B17" s="32" t="inlineStr">
        <is>
          <t>Joseph O'Brien</t>
        </is>
      </c>
      <c r="C17" s="32" t="inlineStr">
        <is>
          <t>Ella O'Brien</t>
        </is>
      </c>
      <c r="D17" s="33" t="n">
        <v>25</v>
      </c>
      <c r="E17" s="32" t="inlineStr">
        <is>
          <t>OneCause</t>
        </is>
      </c>
      <c r="F17" s="34">
        <f>IF(A17="","",IFERROR(INT(A17),"check date"))</f>
        <v/>
      </c>
      <c r="G17" s="35">
        <f>IF(B17="","",IFERROR(INDEX(Students!$A:$A,MATCH(TRIM(B17),Students!$A:$A,0)),"NOT ON LIST"))</f>
        <v/>
      </c>
      <c r="H17" s="35">
        <f>IF(OR(G17="",G17="NOT ON LIST"),"",VLOOKUP(G17,Students!$A:$C,2,FALSE))</f>
        <v/>
      </c>
      <c r="I17" s="35">
        <f>IF(OR(G17="",G17="NOT ON LIST"),"",VLOOKUP(G17,Students!$A:$C,3,FALSE)&amp;"")</f>
        <v/>
      </c>
    </row>
    <row r="18">
      <c r="A18" s="31" t="n">
        <v>46329.375</v>
      </c>
      <c r="B18" s="32" t="inlineStr">
        <is>
          <t>Ella Gutierrez</t>
        </is>
      </c>
      <c r="C18" s="32" t="inlineStr">
        <is>
          <t>Harper Gutierrez</t>
        </is>
      </c>
      <c r="D18" s="33" t="n">
        <v>20</v>
      </c>
      <c r="E18" s="32" t="inlineStr">
        <is>
          <t>OneCause</t>
        </is>
      </c>
      <c r="F18" s="34">
        <f>IF(A18="","",IFERROR(INT(A18),"check date"))</f>
        <v/>
      </c>
      <c r="G18" s="35">
        <f>IF(B18="","",IFERROR(INDEX(Students!$A:$A,MATCH(TRIM(B18),Students!$A:$A,0)),"NOT ON LIST"))</f>
        <v/>
      </c>
      <c r="H18" s="35">
        <f>IF(OR(G18="",G18="NOT ON LIST"),"",VLOOKUP(G18,Students!$A:$C,2,FALSE))</f>
        <v/>
      </c>
      <c r="I18" s="35">
        <f>IF(OR(G18="",G18="NOT ON LIST"),"",VLOOKUP(G18,Students!$A:$C,3,FALSE)&amp;"")</f>
        <v/>
      </c>
    </row>
    <row r="19">
      <c r="A19" s="31" t="n">
        <v>46339.42708333334</v>
      </c>
      <c r="B19" s="32" t="inlineStr">
        <is>
          <t>Thomas Kelly</t>
        </is>
      </c>
      <c r="C19" s="32" t="inlineStr">
        <is>
          <t>Elena Kelly</t>
        </is>
      </c>
      <c r="D19" s="33" t="n">
        <v>25</v>
      </c>
      <c r="E19" s="32" t="inlineStr">
        <is>
          <t>OneCause</t>
        </is>
      </c>
      <c r="F19" s="34">
        <f>IF(A19="","",IFERROR(INT(A19),"check date"))</f>
        <v/>
      </c>
      <c r="G19" s="35">
        <f>IF(B19="","",IFERROR(INDEX(Students!$A:$A,MATCH(TRIM(B19),Students!$A:$A,0)),"NOT ON LIST"))</f>
        <v/>
      </c>
      <c r="H19" s="35">
        <f>IF(OR(G19="",G19="NOT ON LIST"),"",VLOOKUP(G19,Students!$A:$C,2,FALSE))</f>
        <v/>
      </c>
      <c r="I19" s="35">
        <f>IF(OR(G19="",G19="NOT ON LIST"),"",VLOOKUP(G19,Students!$A:$C,3,FALSE)&amp;"")</f>
        <v/>
      </c>
    </row>
    <row r="20">
      <c r="A20" s="31" t="n">
        <v>46330.3125</v>
      </c>
      <c r="B20" s="32" t="inlineStr">
        <is>
          <t>Emma Sanchez</t>
        </is>
      </c>
      <c r="C20" s="32" t="inlineStr">
        <is>
          <t>Evelyn Sanchez</t>
        </is>
      </c>
      <c r="D20" s="33" t="n">
        <v>25</v>
      </c>
      <c r="E20" s="32" t="inlineStr">
        <is>
          <t>OneCause</t>
        </is>
      </c>
      <c r="F20" s="34">
        <f>IF(A20="","",IFERROR(INT(A20),"check date"))</f>
        <v/>
      </c>
      <c r="G20" s="35">
        <f>IF(B20="","",IFERROR(INDEX(Students!$A:$A,MATCH(TRIM(B20),Students!$A:$A,0)),"NOT ON LIST"))</f>
        <v/>
      </c>
      <c r="H20" s="35">
        <f>IF(OR(G20="",G20="NOT ON LIST"),"",VLOOKUP(G20,Students!$A:$C,2,FALSE))</f>
        <v/>
      </c>
      <c r="I20" s="35">
        <f>IF(OR(G20="",G20="NOT ON LIST"),"",VLOOKUP(G20,Students!$A:$C,3,FALSE)&amp;"")</f>
        <v/>
      </c>
    </row>
    <row r="21">
      <c r="A21" s="31" t="n">
        <v>46339</v>
      </c>
      <c r="B21" s="32" t="inlineStr">
        <is>
          <t>Daniel Gomez</t>
        </is>
      </c>
      <c r="C21" s="32" t="inlineStr">
        <is>
          <t>Daniel Gomez</t>
        </is>
      </c>
      <c r="D21" s="33" t="n">
        <v>50</v>
      </c>
      <c r="E21" s="32" t="inlineStr">
        <is>
          <t>Check</t>
        </is>
      </c>
      <c r="F21" s="34">
        <f>IF(A21="","",IFERROR(INT(A21),"check date"))</f>
        <v/>
      </c>
      <c r="G21" s="35">
        <f>IF(B21="","",IFERROR(INDEX(Students!$A:$A,MATCH(TRIM(B21),Students!$A:$A,0)),"NOT ON LIST"))</f>
        <v/>
      </c>
      <c r="H21" s="35">
        <f>IF(OR(G21="",G21="NOT ON LIST"),"",VLOOKUP(G21,Students!$A:$C,2,FALSE))</f>
        <v/>
      </c>
      <c r="I21" s="35">
        <f>IF(OR(G21="",G21="NOT ON LIST"),"",VLOOKUP(G21,Students!$A:$C,3,FALSE)&amp;"")</f>
        <v/>
      </c>
    </row>
    <row r="22">
      <c r="A22" s="31" t="n">
        <v>46335.73958333334</v>
      </c>
      <c r="B22" s="32" t="inlineStr">
        <is>
          <t>Elena Murphy</t>
        </is>
      </c>
      <c r="C22" s="32" t="inlineStr">
        <is>
          <t>Harper Murphy</t>
        </is>
      </c>
      <c r="D22" s="33" t="n">
        <v>25</v>
      </c>
      <c r="E22" s="32" t="inlineStr">
        <is>
          <t>OneCause</t>
        </is>
      </c>
      <c r="F22" s="34">
        <f>IF(A22="","",IFERROR(INT(A22),"check date"))</f>
        <v/>
      </c>
      <c r="G22" s="35">
        <f>IF(B22="","",IFERROR(INDEX(Students!$A:$A,MATCH(TRIM(B22),Students!$A:$A,0)),"NOT ON LIST"))</f>
        <v/>
      </c>
      <c r="H22" s="35">
        <f>IF(OR(G22="",G22="NOT ON LIST"),"",VLOOKUP(G22,Students!$A:$C,2,FALSE))</f>
        <v/>
      </c>
      <c r="I22" s="35">
        <f>IF(OR(G22="",G22="NOT ON LIST"),"",VLOOKUP(G22,Students!$A:$C,3,FALSE)&amp;"")</f>
        <v/>
      </c>
    </row>
    <row r="23">
      <c r="A23" s="31" t="n">
        <v>46338.66666666666</v>
      </c>
      <c r="B23" s="32" t="inlineStr">
        <is>
          <t>Samuel Ramirez</t>
        </is>
      </c>
      <c r="C23" s="32" t="inlineStr">
        <is>
          <t>Thomas Ramirez</t>
        </is>
      </c>
      <c r="D23" s="33" t="n">
        <v>20</v>
      </c>
      <c r="E23" s="32" t="inlineStr">
        <is>
          <t>OneCause</t>
        </is>
      </c>
      <c r="F23" s="34">
        <f>IF(A23="","",IFERROR(INT(A23),"check date"))</f>
        <v/>
      </c>
      <c r="G23" s="35">
        <f>IF(B23="","",IFERROR(INDEX(Students!$A:$A,MATCH(TRIM(B23),Students!$A:$A,0)),"NOT ON LIST"))</f>
        <v/>
      </c>
      <c r="H23" s="35">
        <f>IF(OR(G23="",G23="NOT ON LIST"),"",VLOOKUP(G23,Students!$A:$C,2,FALSE))</f>
        <v/>
      </c>
      <c r="I23" s="35">
        <f>IF(OR(G23="",G23="NOT ON LIST"),"",VLOOKUP(G23,Students!$A:$C,3,FALSE)&amp;"")</f>
        <v/>
      </c>
    </row>
    <row r="24">
      <c r="A24" s="31" t="n">
        <v>46332.55208333334</v>
      </c>
      <c r="B24" s="32" t="inlineStr">
        <is>
          <t>Harper Johnson</t>
        </is>
      </c>
      <c r="C24" s="32" t="inlineStr">
        <is>
          <t>Nora Johnson</t>
        </is>
      </c>
      <c r="D24" s="33" t="n">
        <v>20</v>
      </c>
      <c r="E24" s="32" t="inlineStr">
        <is>
          <t>OneCause</t>
        </is>
      </c>
      <c r="F24" s="34">
        <f>IF(A24="","",IFERROR(INT(A24),"check date"))</f>
        <v/>
      </c>
      <c r="G24" s="35">
        <f>IF(B24="","",IFERROR(INDEX(Students!$A:$A,MATCH(TRIM(B24),Students!$A:$A,0)),"NOT ON LIST"))</f>
        <v/>
      </c>
      <c r="H24" s="35">
        <f>IF(OR(G24="",G24="NOT ON LIST"),"",VLOOKUP(G24,Students!$A:$C,2,FALSE))</f>
        <v/>
      </c>
      <c r="I24" s="35">
        <f>IF(OR(G24="",G24="NOT ON LIST"),"",VLOOKUP(G24,Students!$A:$C,3,FALSE)&amp;"")</f>
        <v/>
      </c>
    </row>
    <row r="25">
      <c r="A25" s="31" t="n">
        <v>46331</v>
      </c>
      <c r="B25" s="32" t="inlineStr">
        <is>
          <t>Adrian Gonzalez</t>
        </is>
      </c>
      <c r="C25" s="32" t="inlineStr">
        <is>
          <t>Luna Gonzalez</t>
        </is>
      </c>
      <c r="D25" s="33" t="n">
        <v>20</v>
      </c>
      <c r="E25" s="32" t="inlineStr">
        <is>
          <t>Check</t>
        </is>
      </c>
      <c r="F25" s="34">
        <f>IF(A25="","",IFERROR(INT(A25),"check date"))</f>
        <v/>
      </c>
      <c r="G25" s="35">
        <f>IF(B25="","",IFERROR(INDEX(Students!$A:$A,MATCH(TRIM(B25),Students!$A:$A,0)),"NOT ON LIST"))</f>
        <v/>
      </c>
      <c r="H25" s="35">
        <f>IF(OR(G25="",G25="NOT ON LIST"),"",VLOOKUP(G25,Students!$A:$C,2,FALSE))</f>
        <v/>
      </c>
      <c r="I25" s="35">
        <f>IF(OR(G25="",G25="NOT ON LIST"),"",VLOOKUP(G25,Students!$A:$C,3,FALSE)&amp;"")</f>
        <v/>
      </c>
    </row>
    <row r="26">
      <c r="A26" s="31" t="n">
        <v>46327.79166666666</v>
      </c>
      <c r="B26" s="32" t="inlineStr">
        <is>
          <t>Emma Perez</t>
        </is>
      </c>
      <c r="C26" s="32" t="inlineStr">
        <is>
          <t>Ava Perez</t>
        </is>
      </c>
      <c r="D26" s="33" t="n">
        <v>10</v>
      </c>
      <c r="E26" s="32" t="inlineStr">
        <is>
          <t>OneCause</t>
        </is>
      </c>
      <c r="F26" s="34">
        <f>IF(A26="","",IFERROR(INT(A26),"check date"))</f>
        <v/>
      </c>
      <c r="G26" s="35">
        <f>IF(B26="","",IFERROR(INDEX(Students!$A:$A,MATCH(TRIM(B26),Students!$A:$A,0)),"NOT ON LIST"))</f>
        <v/>
      </c>
      <c r="H26" s="35">
        <f>IF(OR(G26="",G26="NOT ON LIST"),"",VLOOKUP(G26,Students!$A:$C,2,FALSE))</f>
        <v/>
      </c>
      <c r="I26" s="35">
        <f>IF(OR(G26="",G26="NOT ON LIST"),"",VLOOKUP(G26,Students!$A:$C,3,FALSE)&amp;"")</f>
        <v/>
      </c>
    </row>
    <row r="27">
      <c r="A27" s="31" t="n">
        <v>46331.4375</v>
      </c>
      <c r="B27" s="32" t="inlineStr">
        <is>
          <t>Ava Murphy</t>
        </is>
      </c>
      <c r="C27" s="32" t="inlineStr">
        <is>
          <t>Samuel Murphy</t>
        </is>
      </c>
      <c r="D27" s="33" t="n">
        <v>50</v>
      </c>
      <c r="E27" s="32" t="inlineStr">
        <is>
          <t>OneCause</t>
        </is>
      </c>
      <c r="F27" s="34">
        <f>IF(A27="","",IFERROR(INT(A27),"check date"))</f>
        <v/>
      </c>
      <c r="G27" s="35">
        <f>IF(B27="","",IFERROR(INDEX(Students!$A:$A,MATCH(TRIM(B27),Students!$A:$A,0)),"NOT ON LIST"))</f>
        <v/>
      </c>
      <c r="H27" s="35">
        <f>IF(OR(G27="",G27="NOT ON LIST"),"",VLOOKUP(G27,Students!$A:$C,2,FALSE))</f>
        <v/>
      </c>
      <c r="I27" s="35">
        <f>IF(OR(G27="",G27="NOT ON LIST"),"",VLOOKUP(G27,Students!$A:$C,3,FALSE)&amp;"")</f>
        <v/>
      </c>
    </row>
    <row r="28">
      <c r="A28" s="31" t="n">
        <v>46336.34375</v>
      </c>
      <c r="B28" s="32" t="inlineStr">
        <is>
          <t>Zoe O'Brien</t>
        </is>
      </c>
      <c r="C28" s="32" t="inlineStr">
        <is>
          <t>Adrian O'Brien</t>
        </is>
      </c>
      <c r="D28" s="33" t="n">
        <v>40</v>
      </c>
      <c r="E28" s="32" t="inlineStr">
        <is>
          <t>OneCause</t>
        </is>
      </c>
      <c r="F28" s="34">
        <f>IF(A28="","",IFERROR(INT(A28),"check date"))</f>
        <v/>
      </c>
      <c r="G28" s="35">
        <f>IF(B28="","",IFERROR(INDEX(Students!$A:$A,MATCH(TRIM(B28),Students!$A:$A,0)),"NOT ON LIST"))</f>
        <v/>
      </c>
      <c r="H28" s="35">
        <f>IF(OR(G28="",G28="NOT ON LIST"),"",VLOOKUP(G28,Students!$A:$C,2,FALSE))</f>
        <v/>
      </c>
      <c r="I28" s="35">
        <f>IF(OR(G28="",G28="NOT ON LIST"),"",VLOOKUP(G28,Students!$A:$C,3,FALSE)&amp;"")</f>
        <v/>
      </c>
    </row>
    <row r="29">
      <c r="A29" s="31" t="n">
        <v>46332</v>
      </c>
      <c r="B29" s="32" t="inlineStr">
        <is>
          <t>Adrian Lopez</t>
        </is>
      </c>
      <c r="C29" s="32" t="inlineStr">
        <is>
          <t>Clara Lopez</t>
        </is>
      </c>
      <c r="D29" s="33" t="n">
        <v>50</v>
      </c>
      <c r="E29" s="32" t="inlineStr">
        <is>
          <t>Check</t>
        </is>
      </c>
      <c r="F29" s="34">
        <f>IF(A29="","",IFERROR(INT(A29),"check date"))</f>
        <v/>
      </c>
      <c r="G29" s="35">
        <f>IF(B29="","",IFERROR(INDEX(Students!$A:$A,MATCH(TRIM(B29),Students!$A:$A,0)),"NOT ON LIST"))</f>
        <v/>
      </c>
      <c r="H29" s="35">
        <f>IF(OR(G29="",G29="NOT ON LIST"),"",VLOOKUP(G29,Students!$A:$C,2,FALSE))</f>
        <v/>
      </c>
      <c r="I29" s="35">
        <f>IF(OR(G29="",G29="NOT ON LIST"),"",VLOOKUP(G29,Students!$A:$C,3,FALSE)&amp;"")</f>
        <v/>
      </c>
    </row>
    <row r="30">
      <c r="A30" s="31" t="n">
        <v>46337.83333333334</v>
      </c>
      <c r="B30" s="32" t="inlineStr">
        <is>
          <t>Liam Walsh</t>
        </is>
      </c>
      <c r="C30" s="32" t="inlineStr">
        <is>
          <t>Mateo Walsh</t>
        </is>
      </c>
      <c r="D30" s="33" t="n">
        <v>25</v>
      </c>
      <c r="E30" s="32" t="inlineStr">
        <is>
          <t>OneCause</t>
        </is>
      </c>
      <c r="F30" s="34">
        <f>IF(A30="","",IFERROR(INT(A30),"check date"))</f>
        <v/>
      </c>
      <c r="G30" s="35">
        <f>IF(B30="","",IFERROR(INDEX(Students!$A:$A,MATCH(TRIM(B30),Students!$A:$A,0)),"NOT ON LIST"))</f>
        <v/>
      </c>
      <c r="H30" s="35">
        <f>IF(OR(G30="",G30="NOT ON LIST"),"",VLOOKUP(G30,Students!$A:$C,2,FALSE))</f>
        <v/>
      </c>
      <c r="I30" s="35">
        <f>IF(OR(G30="",G30="NOT ON LIST"),"",VLOOKUP(G30,Students!$A:$C,3,FALSE)&amp;"")</f>
        <v/>
      </c>
    </row>
    <row r="31">
      <c r="A31" s="31" t="n">
        <v>46335.29166666666</v>
      </c>
      <c r="B31" s="32" t="inlineStr">
        <is>
          <t>Joseph O'Brien</t>
        </is>
      </c>
      <c r="C31" s="32" t="inlineStr">
        <is>
          <t>Clara O'Brien</t>
        </is>
      </c>
      <c r="D31" s="33" t="n">
        <v>50</v>
      </c>
      <c r="E31" s="32" t="inlineStr">
        <is>
          <t>OneCause</t>
        </is>
      </c>
      <c r="F31" s="34">
        <f>IF(A31="","",IFERROR(INT(A31),"check date"))</f>
        <v/>
      </c>
      <c r="G31" s="35">
        <f>IF(B31="","",IFERROR(INDEX(Students!$A:$A,MATCH(TRIM(B31),Students!$A:$A,0)),"NOT ON LIST"))</f>
        <v/>
      </c>
      <c r="H31" s="35">
        <f>IF(OR(G31="",G31="NOT ON LIST"),"",VLOOKUP(G31,Students!$A:$C,2,FALSE))</f>
        <v/>
      </c>
      <c r="I31" s="35">
        <f>IF(OR(G31="",G31="NOT ON LIST"),"",VLOOKUP(G31,Students!$A:$C,3,FALSE)&amp;"")</f>
        <v/>
      </c>
    </row>
    <row r="32">
      <c r="A32" s="31" t="n">
        <v>46335.51041666666</v>
      </c>
      <c r="B32" s="32" t="inlineStr">
        <is>
          <t>Clara Flores</t>
        </is>
      </c>
      <c r="C32" s="32" t="inlineStr">
        <is>
          <t>Lily Flores</t>
        </is>
      </c>
      <c r="D32" s="33" t="n">
        <v>20</v>
      </c>
      <c r="E32" s="32" t="inlineStr">
        <is>
          <t>OneCause</t>
        </is>
      </c>
      <c r="F32" s="34">
        <f>IF(A32="","",IFERROR(INT(A32),"check date"))</f>
        <v/>
      </c>
      <c r="G32" s="35">
        <f>IF(B32="","",IFERROR(INDEX(Students!$A:$A,MATCH(TRIM(B32),Students!$A:$A,0)),"NOT ON LIST"))</f>
        <v/>
      </c>
      <c r="H32" s="35">
        <f>IF(OR(G32="",G32="NOT ON LIST"),"",VLOOKUP(G32,Students!$A:$C,2,FALSE))</f>
        <v/>
      </c>
      <c r="I32" s="35">
        <f>IF(OR(G32="",G32="NOT ON LIST"),"",VLOOKUP(G32,Students!$A:$C,3,FALSE)&amp;"")</f>
        <v/>
      </c>
    </row>
    <row r="33">
      <c r="A33" s="31" t="n">
        <v>46338.83333333334</v>
      </c>
      <c r="B33" s="32" t="inlineStr">
        <is>
          <t>Ella Lopez</t>
        </is>
      </c>
      <c r="C33" s="32" t="inlineStr">
        <is>
          <t>Henry Lopez</t>
        </is>
      </c>
      <c r="D33" s="33" t="n">
        <v>50</v>
      </c>
      <c r="E33" s="32" t="inlineStr">
        <is>
          <t>OneCause</t>
        </is>
      </c>
      <c r="F33" s="34">
        <f>IF(A33="","",IFERROR(INT(A33),"check date"))</f>
        <v/>
      </c>
      <c r="G33" s="35">
        <f>IF(B33="","",IFERROR(INDEX(Students!$A:$A,MATCH(TRIM(B33),Students!$A:$A,0)),"NOT ON LIST"))</f>
        <v/>
      </c>
      <c r="H33" s="35">
        <f>IF(OR(G33="",G33="NOT ON LIST"),"",VLOOKUP(G33,Students!$A:$C,2,FALSE))</f>
        <v/>
      </c>
      <c r="I33" s="35">
        <f>IF(OR(G33="",G33="NOT ON LIST"),"",VLOOKUP(G33,Students!$A:$C,3,FALSE)&amp;"")</f>
        <v/>
      </c>
    </row>
    <row r="34">
      <c r="A34" s="31" t="n">
        <v>46326.84375</v>
      </c>
      <c r="B34" s="32" t="inlineStr">
        <is>
          <t>Isabella Nguyen</t>
        </is>
      </c>
      <c r="C34" s="32" t="inlineStr">
        <is>
          <t>Chloe Nguyen</t>
        </is>
      </c>
      <c r="D34" s="33" t="n">
        <v>40</v>
      </c>
      <c r="E34" s="32" t="inlineStr">
        <is>
          <t>OneCause</t>
        </is>
      </c>
      <c r="F34" s="34">
        <f>IF(A34="","",IFERROR(INT(A34),"check date"))</f>
        <v/>
      </c>
      <c r="G34" s="35">
        <f>IF(B34="","",IFERROR(INDEX(Students!$A:$A,MATCH(TRIM(B34),Students!$A:$A,0)),"NOT ON LIST"))</f>
        <v/>
      </c>
      <c r="H34" s="35">
        <f>IF(OR(G34="",G34="NOT ON LIST"),"",VLOOKUP(G34,Students!$A:$C,2,FALSE))</f>
        <v/>
      </c>
      <c r="I34" s="35">
        <f>IF(OR(G34="",G34="NOT ON LIST"),"",VLOOKUP(G34,Students!$A:$C,3,FALSE)&amp;"")</f>
        <v/>
      </c>
    </row>
    <row r="35">
      <c r="A35" s="31" t="n">
        <v>46329.39583333334</v>
      </c>
      <c r="B35" s="32" t="inlineStr">
        <is>
          <t>Julian Kim</t>
        </is>
      </c>
      <c r="C35" s="32" t="inlineStr">
        <is>
          <t>Gabriel Kim</t>
        </is>
      </c>
      <c r="D35" s="33" t="n">
        <v>25</v>
      </c>
      <c r="E35" s="32" t="inlineStr">
        <is>
          <t>OneCause</t>
        </is>
      </c>
      <c r="F35" s="34">
        <f>IF(A35="","",IFERROR(INT(A35),"check date"))</f>
        <v/>
      </c>
      <c r="G35" s="35">
        <f>IF(B35="","",IFERROR(INDEX(Students!$A:$A,MATCH(TRIM(B35),Students!$A:$A,0)),"NOT ON LIST"))</f>
        <v/>
      </c>
      <c r="H35" s="35">
        <f>IF(OR(G35="",G35="NOT ON LIST"),"",VLOOKUP(G35,Students!$A:$C,2,FALSE))</f>
        <v/>
      </c>
      <c r="I35" s="35">
        <f>IF(OR(G35="",G35="NOT ON LIST"),"",VLOOKUP(G35,Students!$A:$C,3,FALSE)&amp;"")</f>
        <v/>
      </c>
    </row>
    <row r="36">
      <c r="A36" s="31" t="n">
        <v>46332.36458333334</v>
      </c>
      <c r="B36" s="32" t="inlineStr">
        <is>
          <t>Thomas Ryan</t>
        </is>
      </c>
      <c r="C36" s="32" t="inlineStr">
        <is>
          <t>Olivia Ryan</t>
        </is>
      </c>
      <c r="D36" s="33" t="n">
        <v>50</v>
      </c>
      <c r="E36" s="32" t="inlineStr">
        <is>
          <t>OneCause</t>
        </is>
      </c>
      <c r="F36" s="34">
        <f>IF(A36="","",IFERROR(INT(A36),"check date"))</f>
        <v/>
      </c>
      <c r="G36" s="35">
        <f>IF(B36="","",IFERROR(INDEX(Students!$A:$A,MATCH(TRIM(B36),Students!$A:$A,0)),"NOT ON LIST"))</f>
        <v/>
      </c>
      <c r="H36" s="35">
        <f>IF(OR(G36="",G36="NOT ON LIST"),"",VLOOKUP(G36,Students!$A:$C,2,FALSE))</f>
        <v/>
      </c>
      <c r="I36" s="35">
        <f>IF(OR(G36="",G36="NOT ON LIST"),"",VLOOKUP(G36,Students!$A:$C,3,FALSE)&amp;"")</f>
        <v/>
      </c>
    </row>
    <row r="37">
      <c r="A37" s="31" t="n">
        <v>46330.86458333334</v>
      </c>
      <c r="B37" s="32" t="inlineStr">
        <is>
          <t>Luna Ryan</t>
        </is>
      </c>
      <c r="C37" s="32" t="inlineStr">
        <is>
          <t>Lily Ryan</t>
        </is>
      </c>
      <c r="D37" s="33" t="n">
        <v>50</v>
      </c>
      <c r="E37" s="32" t="inlineStr">
        <is>
          <t>OneCause</t>
        </is>
      </c>
      <c r="F37" s="34">
        <f>IF(A37="","",IFERROR(INT(A37),"check date"))</f>
        <v/>
      </c>
      <c r="G37" s="35">
        <f>IF(B37="","",IFERROR(INDEX(Students!$A:$A,MATCH(TRIM(B37),Students!$A:$A,0)),"NOT ON LIST"))</f>
        <v/>
      </c>
      <c r="H37" s="35">
        <f>IF(OR(G37="",G37="NOT ON LIST"),"",VLOOKUP(G37,Students!$A:$C,2,FALSE))</f>
        <v/>
      </c>
      <c r="I37" s="35">
        <f>IF(OR(G37="",G37="NOT ON LIST"),"",VLOOKUP(G37,Students!$A:$C,3,FALSE)&amp;"")</f>
        <v/>
      </c>
    </row>
    <row r="38">
      <c r="A38" s="31" t="n">
        <v>46339.47916666666</v>
      </c>
      <c r="B38" s="32" t="inlineStr">
        <is>
          <t>Emma Perez</t>
        </is>
      </c>
      <c r="C38" s="32" t="inlineStr">
        <is>
          <t>Lucas Perez</t>
        </is>
      </c>
      <c r="D38" s="33" t="n">
        <v>50</v>
      </c>
      <c r="E38" s="32" t="inlineStr">
        <is>
          <t>OneCause</t>
        </is>
      </c>
      <c r="F38" s="34">
        <f>IF(A38="","",IFERROR(INT(A38),"check date"))</f>
        <v/>
      </c>
      <c r="G38" s="35">
        <f>IF(B38="","",IFERROR(INDEX(Students!$A:$A,MATCH(TRIM(B38),Students!$A:$A,0)),"NOT ON LIST"))</f>
        <v/>
      </c>
      <c r="H38" s="35">
        <f>IF(OR(G38="",G38="NOT ON LIST"),"",VLOOKUP(G38,Students!$A:$C,2,FALSE))</f>
        <v/>
      </c>
      <c r="I38" s="35">
        <f>IF(OR(G38="",G38="NOT ON LIST"),"",VLOOKUP(G38,Students!$A:$C,3,FALSE)&amp;"")</f>
        <v/>
      </c>
    </row>
    <row r="39">
      <c r="A39" s="31" t="n">
        <v>46331</v>
      </c>
      <c r="B39" s="32" t="inlineStr">
        <is>
          <t>Daniel Johnson</t>
        </is>
      </c>
      <c r="C39" s="32" t="inlineStr">
        <is>
          <t>Luna Johnson</t>
        </is>
      </c>
      <c r="D39" s="33" t="n">
        <v>100</v>
      </c>
      <c r="E39" s="32" t="inlineStr">
        <is>
          <t>Cash</t>
        </is>
      </c>
      <c r="F39" s="34">
        <f>IF(A39="","",IFERROR(INT(A39),"check date"))</f>
        <v/>
      </c>
      <c r="G39" s="35">
        <f>IF(B39="","",IFERROR(INDEX(Students!$A:$A,MATCH(TRIM(B39),Students!$A:$A,0)),"NOT ON LIST"))</f>
        <v/>
      </c>
      <c r="H39" s="35">
        <f>IF(OR(G39="",G39="NOT ON LIST"),"",VLOOKUP(G39,Students!$A:$C,2,FALSE))</f>
        <v/>
      </c>
      <c r="I39" s="35">
        <f>IF(OR(G39="",G39="NOT ON LIST"),"",VLOOKUP(G39,Students!$A:$C,3,FALSE)&amp;"")</f>
        <v/>
      </c>
    </row>
    <row r="40">
      <c r="A40" s="31" t="n">
        <v>46329.48958333334</v>
      </c>
      <c r="B40" s="32" t="inlineStr">
        <is>
          <t>Henry Lopez</t>
        </is>
      </c>
      <c r="C40" s="32" t="inlineStr">
        <is>
          <t>Zoe Lopez</t>
        </is>
      </c>
      <c r="D40" s="33" t="n">
        <v>50</v>
      </c>
      <c r="E40" s="32" t="inlineStr">
        <is>
          <t>OneCause</t>
        </is>
      </c>
      <c r="F40" s="34">
        <f>IF(A40="","",IFERROR(INT(A40),"check date"))</f>
        <v/>
      </c>
      <c r="G40" s="35">
        <f>IF(B40="","",IFERROR(INDEX(Students!$A:$A,MATCH(TRIM(B40),Students!$A:$A,0)),"NOT ON LIST"))</f>
        <v/>
      </c>
      <c r="H40" s="35">
        <f>IF(OR(G40="",G40="NOT ON LIST"),"",VLOOKUP(G40,Students!$A:$C,2,FALSE))</f>
        <v/>
      </c>
      <c r="I40" s="35">
        <f>IF(OR(G40="",G40="NOT ON LIST"),"",VLOOKUP(G40,Students!$A:$C,3,FALSE)&amp;"")</f>
        <v/>
      </c>
    </row>
    <row r="41">
      <c r="A41" s="31" t="n">
        <v>46338.6875</v>
      </c>
      <c r="B41" s="32" t="inlineStr">
        <is>
          <t>Samuel Martinez</t>
        </is>
      </c>
      <c r="C41" s="32" t="inlineStr">
        <is>
          <t>Clara Martinez</t>
        </is>
      </c>
      <c r="D41" s="33" t="n">
        <v>40</v>
      </c>
      <c r="E41" s="32" t="inlineStr">
        <is>
          <t>OneCause</t>
        </is>
      </c>
      <c r="F41" s="34">
        <f>IF(A41="","",IFERROR(INT(A41),"check date"))</f>
        <v/>
      </c>
      <c r="G41" s="35">
        <f>IF(B41="","",IFERROR(INDEX(Students!$A:$A,MATCH(TRIM(B41),Students!$A:$A,0)),"NOT ON LIST"))</f>
        <v/>
      </c>
      <c r="H41" s="35">
        <f>IF(OR(G41="",G41="NOT ON LIST"),"",VLOOKUP(G41,Students!$A:$C,2,FALSE))</f>
        <v/>
      </c>
      <c r="I41" s="35">
        <f>IF(OR(G41="",G41="NOT ON LIST"),"",VLOOKUP(G41,Students!$A:$C,3,FALSE)&amp;"")</f>
        <v/>
      </c>
    </row>
    <row r="42">
      <c r="A42" s="31" t="n">
        <v>46335.6875</v>
      </c>
      <c r="B42" s="32" t="inlineStr">
        <is>
          <t>Evelyn Perez</t>
        </is>
      </c>
      <c r="C42" s="32" t="inlineStr">
        <is>
          <t>Elijah Perez</t>
        </is>
      </c>
      <c r="D42" s="33" t="n">
        <v>20</v>
      </c>
      <c r="E42" s="32" t="inlineStr">
        <is>
          <t>OneCause</t>
        </is>
      </c>
      <c r="F42" s="34">
        <f>IF(A42="","",IFERROR(INT(A42),"check date"))</f>
        <v/>
      </c>
      <c r="G42" s="35">
        <f>IF(B42="","",IFERROR(INDEX(Students!$A:$A,MATCH(TRIM(B42),Students!$A:$A,0)),"NOT ON LIST"))</f>
        <v/>
      </c>
      <c r="H42" s="35">
        <f>IF(OR(G42="",G42="NOT ON LIST"),"",VLOOKUP(G42,Students!$A:$C,2,FALSE))</f>
        <v/>
      </c>
      <c r="I42" s="35">
        <f>IF(OR(G42="",G42="NOT ON LIST"),"",VLOOKUP(G42,Students!$A:$C,3,FALSE)&amp;"")</f>
        <v/>
      </c>
    </row>
    <row r="43">
      <c r="A43" s="31" t="n">
        <v>46338</v>
      </c>
      <c r="B43" s="32" t="inlineStr">
        <is>
          <t>Nora Gomez</t>
        </is>
      </c>
      <c r="C43" s="32" t="inlineStr">
        <is>
          <t>Santiago Gomez</t>
        </is>
      </c>
      <c r="D43" s="33" t="n">
        <v>20</v>
      </c>
      <c r="E43" s="32" t="inlineStr">
        <is>
          <t>Check</t>
        </is>
      </c>
      <c r="F43" s="34">
        <f>IF(A43="","",IFERROR(INT(A43),"check date"))</f>
        <v/>
      </c>
      <c r="G43" s="35">
        <f>IF(B43="","",IFERROR(INDEX(Students!$A:$A,MATCH(TRIM(B43),Students!$A:$A,0)),"NOT ON LIST"))</f>
        <v/>
      </c>
      <c r="H43" s="35">
        <f>IF(OR(G43="",G43="NOT ON LIST"),"",VLOOKUP(G43,Students!$A:$C,2,FALSE))</f>
        <v/>
      </c>
      <c r="I43" s="35">
        <f>IF(OR(G43="",G43="NOT ON LIST"),"",VLOOKUP(G43,Students!$A:$C,3,FALSE)&amp;"")</f>
        <v/>
      </c>
    </row>
    <row r="44">
      <c r="A44" s="31" t="n">
        <v>46326.51041666666</v>
      </c>
      <c r="B44" s="32" t="inlineStr">
        <is>
          <t>Liam Walsh</t>
        </is>
      </c>
      <c r="C44" s="32" t="inlineStr">
        <is>
          <t>Maya Walsh</t>
        </is>
      </c>
      <c r="D44" s="33" t="n">
        <v>50</v>
      </c>
      <c r="E44" s="32" t="inlineStr">
        <is>
          <t>OneCause</t>
        </is>
      </c>
      <c r="F44" s="34">
        <f>IF(A44="","",IFERROR(INT(A44),"check date"))</f>
        <v/>
      </c>
      <c r="G44" s="35">
        <f>IF(B44="","",IFERROR(INDEX(Students!$A:$A,MATCH(TRIM(B44),Students!$A:$A,0)),"NOT ON LIST"))</f>
        <v/>
      </c>
      <c r="H44" s="35">
        <f>IF(OR(G44="",G44="NOT ON LIST"),"",VLOOKUP(G44,Students!$A:$C,2,FALSE))</f>
        <v/>
      </c>
      <c r="I44" s="35">
        <f>IF(OR(G44="",G44="NOT ON LIST"),"",VLOOKUP(G44,Students!$A:$C,3,FALSE)&amp;"")</f>
        <v/>
      </c>
    </row>
    <row r="45">
      <c r="A45" s="31" t="n">
        <v>46328.36458333334</v>
      </c>
      <c r="B45" s="32" t="inlineStr">
        <is>
          <t>Clara Flores</t>
        </is>
      </c>
      <c r="C45" s="32" t="inlineStr">
        <is>
          <t>Henry Flores</t>
        </is>
      </c>
      <c r="D45" s="33" t="n">
        <v>25</v>
      </c>
      <c r="E45" s="32" t="inlineStr">
        <is>
          <t>OneCause</t>
        </is>
      </c>
      <c r="F45" s="34">
        <f>IF(A45="","",IFERROR(INT(A45),"check date"))</f>
        <v/>
      </c>
      <c r="G45" s="35">
        <f>IF(B45="","",IFERROR(INDEX(Students!$A:$A,MATCH(TRIM(B45),Students!$A:$A,0)),"NOT ON LIST"))</f>
        <v/>
      </c>
      <c r="H45" s="35">
        <f>IF(OR(G45="",G45="NOT ON LIST"),"",VLOOKUP(G45,Students!$A:$C,2,FALSE))</f>
        <v/>
      </c>
      <c r="I45" s="35">
        <f>IF(OR(G45="",G45="NOT ON LIST"),"",VLOOKUP(G45,Students!$A:$C,3,FALSE)&amp;"")</f>
        <v/>
      </c>
    </row>
    <row r="46">
      <c r="A46" s="31" t="n">
        <v>46325</v>
      </c>
      <c r="B46" s="32" t="inlineStr">
        <is>
          <t>Ava Ramos</t>
        </is>
      </c>
      <c r="C46" s="32" t="inlineStr">
        <is>
          <t>Maya Ramos</t>
        </is>
      </c>
      <c r="D46" s="33" t="n">
        <v>50</v>
      </c>
      <c r="E46" s="32" t="inlineStr">
        <is>
          <t>Cash</t>
        </is>
      </c>
      <c r="F46" s="34">
        <f>IF(A46="","",IFERROR(INT(A46),"check date"))</f>
        <v/>
      </c>
      <c r="G46" s="35">
        <f>IF(B46="","",IFERROR(INDEX(Students!$A:$A,MATCH(TRIM(B46),Students!$A:$A,0)),"NOT ON LIST"))</f>
        <v/>
      </c>
      <c r="H46" s="35">
        <f>IF(OR(G46="",G46="NOT ON LIST"),"",VLOOKUP(G46,Students!$A:$C,2,FALSE))</f>
        <v/>
      </c>
      <c r="I46" s="35">
        <f>IF(OR(G46="",G46="NOT ON LIST"),"",VLOOKUP(G46,Students!$A:$C,3,FALSE)&amp;"")</f>
        <v/>
      </c>
    </row>
    <row r="47">
      <c r="A47" s="31" t="n">
        <v>46335.58333333334</v>
      </c>
      <c r="B47" s="32" t="inlineStr">
        <is>
          <t>Liam Nguyen</t>
        </is>
      </c>
      <c r="C47" s="32" t="inlineStr">
        <is>
          <t>Valentina Nguyen</t>
        </is>
      </c>
      <c r="D47" s="33" t="n">
        <v>10</v>
      </c>
      <c r="E47" s="32" t="inlineStr">
        <is>
          <t>OneCause</t>
        </is>
      </c>
      <c r="F47" s="34">
        <f>IF(A47="","",IFERROR(INT(A47),"check date"))</f>
        <v/>
      </c>
      <c r="G47" s="35">
        <f>IF(B47="","",IFERROR(INDEX(Students!$A:$A,MATCH(TRIM(B47),Students!$A:$A,0)),"NOT ON LIST"))</f>
        <v/>
      </c>
      <c r="H47" s="35">
        <f>IF(OR(G47="",G47="NOT ON LIST"),"",VLOOKUP(G47,Students!$A:$C,2,FALSE))</f>
        <v/>
      </c>
      <c r="I47" s="35">
        <f>IF(OR(G47="",G47="NOT ON LIST"),"",VLOOKUP(G47,Students!$A:$C,3,FALSE)&amp;"")</f>
        <v/>
      </c>
    </row>
    <row r="48">
      <c r="A48" s="31" t="n">
        <v>46339</v>
      </c>
      <c r="B48" s="32" t="inlineStr">
        <is>
          <t>Amelia Lopez</t>
        </is>
      </c>
      <c r="C48" s="32" t="inlineStr">
        <is>
          <t>David Lopez</t>
        </is>
      </c>
      <c r="D48" s="33" t="n">
        <v>50</v>
      </c>
      <c r="E48" s="32" t="inlineStr">
        <is>
          <t>Check</t>
        </is>
      </c>
      <c r="F48" s="34">
        <f>IF(A48="","",IFERROR(INT(A48),"check date"))</f>
        <v/>
      </c>
      <c r="G48" s="35">
        <f>IF(B48="","",IFERROR(INDEX(Students!$A:$A,MATCH(TRIM(B48),Students!$A:$A,0)),"NOT ON LIST"))</f>
        <v/>
      </c>
      <c r="H48" s="35">
        <f>IF(OR(G48="",G48="NOT ON LIST"),"",VLOOKUP(G48,Students!$A:$C,2,FALSE))</f>
        <v/>
      </c>
      <c r="I48" s="35">
        <f>IF(OR(G48="",G48="NOT ON LIST"),"",VLOOKUP(G48,Students!$A:$C,3,FALSE)&amp;"")</f>
        <v/>
      </c>
    </row>
    <row r="49">
      <c r="A49" s="31" t="n">
        <v>46338.42708333334</v>
      </c>
      <c r="B49" s="32" t="inlineStr">
        <is>
          <t>Thomas Ortiz</t>
        </is>
      </c>
      <c r="C49" s="32" t="inlineStr">
        <is>
          <t>Lily Ortiz</t>
        </is>
      </c>
      <c r="D49" s="33" t="n">
        <v>25</v>
      </c>
      <c r="E49" s="32" t="inlineStr">
        <is>
          <t>OneCause</t>
        </is>
      </c>
      <c r="F49" s="34">
        <f>IF(A49="","",IFERROR(INT(A49),"check date"))</f>
        <v/>
      </c>
      <c r="G49" s="35">
        <f>IF(B49="","",IFERROR(INDEX(Students!$A:$A,MATCH(TRIM(B49),Students!$A:$A,0)),"NOT ON LIST"))</f>
        <v/>
      </c>
      <c r="H49" s="35">
        <f>IF(OR(G49="",G49="NOT ON LIST"),"",VLOOKUP(G49,Students!$A:$C,2,FALSE))</f>
        <v/>
      </c>
      <c r="I49" s="35">
        <f>IF(OR(G49="",G49="NOT ON LIST"),"",VLOOKUP(G49,Students!$A:$C,3,FALSE)&amp;"")</f>
        <v/>
      </c>
    </row>
    <row r="50">
      <c r="A50" s="31" t="n">
        <v>46339.5625</v>
      </c>
      <c r="B50" s="32" t="inlineStr">
        <is>
          <t>Isabella Smith</t>
        </is>
      </c>
      <c r="C50" s="32" t="inlineStr">
        <is>
          <t>Zoe Smith</t>
        </is>
      </c>
      <c r="D50" s="33" t="n">
        <v>100</v>
      </c>
      <c r="E50" s="32" t="inlineStr">
        <is>
          <t>OneCause</t>
        </is>
      </c>
      <c r="F50" s="34">
        <f>IF(A50="","",IFERROR(INT(A50),"check date"))</f>
        <v/>
      </c>
      <c r="G50" s="35">
        <f>IF(B50="","",IFERROR(INDEX(Students!$A:$A,MATCH(TRIM(B50),Students!$A:$A,0)),"NOT ON LIST"))</f>
        <v/>
      </c>
      <c r="H50" s="35">
        <f>IF(OR(G50="",G50="NOT ON LIST"),"",VLOOKUP(G50,Students!$A:$C,2,FALSE))</f>
        <v/>
      </c>
      <c r="I50" s="35">
        <f>IF(OR(G50="",G50="NOT ON LIST"),"",VLOOKUP(G50,Students!$A:$C,3,FALSE)&amp;"")</f>
        <v/>
      </c>
    </row>
    <row r="51">
      <c r="A51" s="31" t="n">
        <v>46338.78125</v>
      </c>
      <c r="B51" s="32" t="inlineStr">
        <is>
          <t>Mateo Vasquez</t>
        </is>
      </c>
      <c r="C51" s="32" t="inlineStr">
        <is>
          <t>Isabella Vasquez</t>
        </is>
      </c>
      <c r="D51" s="33" t="n">
        <v>25</v>
      </c>
      <c r="E51" s="32" t="inlineStr">
        <is>
          <t>OneCause</t>
        </is>
      </c>
      <c r="F51" s="34">
        <f>IF(A51="","",IFERROR(INT(A51),"check date"))</f>
        <v/>
      </c>
      <c r="G51" s="35">
        <f>IF(B51="","",IFERROR(INDEX(Students!$A:$A,MATCH(TRIM(B51),Students!$A:$A,0)),"NOT ON LIST"))</f>
        <v/>
      </c>
      <c r="H51" s="35">
        <f>IF(OR(G51="",G51="NOT ON LIST"),"",VLOOKUP(G51,Students!$A:$C,2,FALSE))</f>
        <v/>
      </c>
      <c r="I51" s="35">
        <f>IF(OR(G51="",G51="NOT ON LIST"),"",VLOOKUP(G51,Students!$A:$C,3,FALSE)&amp;"")</f>
        <v/>
      </c>
    </row>
    <row r="52">
      <c r="A52" s="31" t="n">
        <v>46325.60416666666</v>
      </c>
      <c r="B52" s="32" t="inlineStr">
        <is>
          <t>Elijah Murphy</t>
        </is>
      </c>
      <c r="C52" s="32" t="inlineStr">
        <is>
          <t>Maya Murphy</t>
        </is>
      </c>
      <c r="D52" s="33" t="n">
        <v>100</v>
      </c>
      <c r="E52" s="32" t="inlineStr">
        <is>
          <t>OneCause</t>
        </is>
      </c>
      <c r="F52" s="34">
        <f>IF(A52="","",IFERROR(INT(A52),"check date"))</f>
        <v/>
      </c>
      <c r="G52" s="35">
        <f>IF(B52="","",IFERROR(INDEX(Students!$A:$A,MATCH(TRIM(B52),Students!$A:$A,0)),"NOT ON LIST"))</f>
        <v/>
      </c>
      <c r="H52" s="35">
        <f>IF(OR(G52="",G52="NOT ON LIST"),"",VLOOKUP(G52,Students!$A:$C,2,FALSE))</f>
        <v/>
      </c>
      <c r="I52" s="35">
        <f>IF(OR(G52="",G52="NOT ON LIST"),"",VLOOKUP(G52,Students!$A:$C,3,FALSE)&amp;"")</f>
        <v/>
      </c>
    </row>
    <row r="53">
      <c r="A53" s="31" t="n">
        <v>46339.46875</v>
      </c>
      <c r="B53" s="32" t="inlineStr">
        <is>
          <t>Clara Mendoza</t>
        </is>
      </c>
      <c r="C53" s="32" t="inlineStr">
        <is>
          <t>Elena Mendoza</t>
        </is>
      </c>
      <c r="D53" s="33" t="n">
        <v>20</v>
      </c>
      <c r="E53" s="32" t="inlineStr">
        <is>
          <t>OneCause</t>
        </is>
      </c>
      <c r="F53" s="34">
        <f>IF(A53="","",IFERROR(INT(A53),"check date"))</f>
        <v/>
      </c>
      <c r="G53" s="35">
        <f>IF(B53="","",IFERROR(INDEX(Students!$A:$A,MATCH(TRIM(B53),Students!$A:$A,0)),"NOT ON LIST"))</f>
        <v/>
      </c>
      <c r="H53" s="35">
        <f>IF(OR(G53="",G53="NOT ON LIST"),"",VLOOKUP(G53,Students!$A:$C,2,FALSE))</f>
        <v/>
      </c>
      <c r="I53" s="35">
        <f>IF(OR(G53="",G53="NOT ON LIST"),"",VLOOKUP(G53,Students!$A:$C,3,FALSE)&amp;"")</f>
        <v/>
      </c>
    </row>
    <row r="54">
      <c r="A54" s="31" t="n">
        <v>46338.80208333334</v>
      </c>
      <c r="B54" s="32" t="inlineStr">
        <is>
          <t>James Garcia</t>
        </is>
      </c>
      <c r="C54" s="32" t="inlineStr">
        <is>
          <t>Lucas Garcia</t>
        </is>
      </c>
      <c r="D54" s="33" t="n">
        <v>50</v>
      </c>
      <c r="E54" s="32" t="inlineStr">
        <is>
          <t>OneCause</t>
        </is>
      </c>
      <c r="F54" s="34">
        <f>IF(A54="","",IFERROR(INT(A54),"check date"))</f>
        <v/>
      </c>
      <c r="G54" s="35">
        <f>IF(B54="","",IFERROR(INDEX(Students!$A:$A,MATCH(TRIM(B54),Students!$A:$A,0)),"NOT ON LIST"))</f>
        <v/>
      </c>
      <c r="H54" s="35">
        <f>IF(OR(G54="",G54="NOT ON LIST"),"",VLOOKUP(G54,Students!$A:$C,2,FALSE))</f>
        <v/>
      </c>
      <c r="I54" s="35">
        <f>IF(OR(G54="",G54="NOT ON LIST"),"",VLOOKUP(G54,Students!$A:$C,3,FALSE)&amp;"")</f>
        <v/>
      </c>
    </row>
    <row r="55">
      <c r="A55" s="31" t="n">
        <v>46339.47916666666</v>
      </c>
      <c r="B55" s="32" t="inlineStr">
        <is>
          <t>Lily Morales</t>
        </is>
      </c>
      <c r="C55" s="32" t="inlineStr">
        <is>
          <t>Harper Morales</t>
        </is>
      </c>
      <c r="D55" s="33" t="n">
        <v>25</v>
      </c>
      <c r="E55" s="32" t="inlineStr">
        <is>
          <t>OneCause</t>
        </is>
      </c>
      <c r="F55" s="34">
        <f>IF(A55="","",IFERROR(INT(A55),"check date"))</f>
        <v/>
      </c>
      <c r="G55" s="35">
        <f>IF(B55="","",IFERROR(INDEX(Students!$A:$A,MATCH(TRIM(B55),Students!$A:$A,0)),"NOT ON LIST"))</f>
        <v/>
      </c>
      <c r="H55" s="35">
        <f>IF(OR(G55="",G55="NOT ON LIST"),"",VLOOKUP(G55,Students!$A:$C,2,FALSE))</f>
        <v/>
      </c>
      <c r="I55" s="35">
        <f>IF(OR(G55="",G55="NOT ON LIST"),"",VLOOKUP(G55,Students!$A:$C,3,FALSE)&amp;"")</f>
        <v/>
      </c>
    </row>
    <row r="56">
      <c r="A56" s="31" t="n">
        <v>46336.53125</v>
      </c>
      <c r="B56" s="32" t="inlineStr">
        <is>
          <t>Joseph Ruiz</t>
        </is>
      </c>
      <c r="C56" s="32" t="inlineStr">
        <is>
          <t>Daniel Ruiz</t>
        </is>
      </c>
      <c r="D56" s="33" t="n">
        <v>100</v>
      </c>
      <c r="E56" s="32" t="inlineStr">
        <is>
          <t>OneCause</t>
        </is>
      </c>
      <c r="F56" s="34">
        <f>IF(A56="","",IFERROR(INT(A56),"check date"))</f>
        <v/>
      </c>
      <c r="G56" s="35">
        <f>IF(B56="","",IFERROR(INDEX(Students!$A:$A,MATCH(TRIM(B56),Students!$A:$A,0)),"NOT ON LIST"))</f>
        <v/>
      </c>
      <c r="H56" s="35">
        <f>IF(OR(G56="",G56="NOT ON LIST"),"",VLOOKUP(G56,Students!$A:$C,2,FALSE))</f>
        <v/>
      </c>
      <c r="I56" s="35">
        <f>IF(OR(G56="",G56="NOT ON LIST"),"",VLOOKUP(G56,Students!$A:$C,3,FALSE)&amp;"")</f>
        <v/>
      </c>
    </row>
    <row r="57">
      <c r="A57" s="31" t="n">
        <v>46338.48958333334</v>
      </c>
      <c r="B57" s="32" t="inlineStr">
        <is>
          <t>Liam Sullivan</t>
        </is>
      </c>
      <c r="C57" s="32" t="inlineStr">
        <is>
          <t>Olivia Sullivan</t>
        </is>
      </c>
      <c r="D57" s="33" t="n">
        <v>50</v>
      </c>
      <c r="E57" s="32" t="inlineStr">
        <is>
          <t>OneCause</t>
        </is>
      </c>
      <c r="F57" s="34">
        <f>IF(A57="","",IFERROR(INT(A57),"check date"))</f>
        <v/>
      </c>
      <c r="G57" s="35">
        <f>IF(B57="","",IFERROR(INDEX(Students!$A:$A,MATCH(TRIM(B57),Students!$A:$A,0)),"NOT ON LIST"))</f>
        <v/>
      </c>
      <c r="H57" s="35">
        <f>IF(OR(G57="",G57="NOT ON LIST"),"",VLOOKUP(G57,Students!$A:$C,2,FALSE))</f>
        <v/>
      </c>
      <c r="I57" s="35">
        <f>IF(OR(G57="",G57="NOT ON LIST"),"",VLOOKUP(G57,Students!$A:$C,3,FALSE)&amp;"")</f>
        <v/>
      </c>
    </row>
    <row r="58">
      <c r="A58" s="31" t="n">
        <v>46338.5</v>
      </c>
      <c r="B58" s="32" t="inlineStr">
        <is>
          <t>Ella Gutierrez</t>
        </is>
      </c>
      <c r="C58" s="32" t="inlineStr">
        <is>
          <t>Maya Gutierrez</t>
        </is>
      </c>
      <c r="D58" s="33" t="n">
        <v>10</v>
      </c>
      <c r="E58" s="32" t="inlineStr">
        <is>
          <t>OneCause</t>
        </is>
      </c>
      <c r="F58" s="34">
        <f>IF(A58="","",IFERROR(INT(A58),"check date"))</f>
        <v/>
      </c>
      <c r="G58" s="35">
        <f>IF(B58="","",IFERROR(INDEX(Students!$A:$A,MATCH(TRIM(B58),Students!$A:$A,0)),"NOT ON LIST"))</f>
        <v/>
      </c>
      <c r="H58" s="35">
        <f>IF(OR(G58="",G58="NOT ON LIST"),"",VLOOKUP(G58,Students!$A:$C,2,FALSE))</f>
        <v/>
      </c>
      <c r="I58" s="35">
        <f>IF(OR(G58="",G58="NOT ON LIST"),"",VLOOKUP(G58,Students!$A:$C,3,FALSE)&amp;"")</f>
        <v/>
      </c>
    </row>
    <row r="59">
      <c r="A59" s="31" t="n">
        <v>46338</v>
      </c>
      <c r="B59" s="32" t="inlineStr">
        <is>
          <t>Elena Walsh</t>
        </is>
      </c>
      <c r="C59" s="32" t="inlineStr">
        <is>
          <t>Daniel Walsh</t>
        </is>
      </c>
      <c r="D59" s="33" t="n">
        <v>40</v>
      </c>
      <c r="E59" s="32" t="inlineStr">
        <is>
          <t>Check</t>
        </is>
      </c>
      <c r="F59" s="34">
        <f>IF(A59="","",IFERROR(INT(A59),"check date"))</f>
        <v/>
      </c>
      <c r="G59" s="35">
        <f>IF(B59="","",IFERROR(INDEX(Students!$A:$A,MATCH(TRIM(B59),Students!$A:$A,0)),"NOT ON LIST"))</f>
        <v/>
      </c>
      <c r="H59" s="35">
        <f>IF(OR(G59="",G59="NOT ON LIST"),"",VLOOKUP(G59,Students!$A:$C,2,FALSE))</f>
        <v/>
      </c>
      <c r="I59" s="35">
        <f>IF(OR(G59="",G59="NOT ON LIST"),"",VLOOKUP(G59,Students!$A:$C,3,FALSE)&amp;"")</f>
        <v/>
      </c>
    </row>
    <row r="60">
      <c r="A60" s="31" t="n">
        <v>46328.70833333334</v>
      </c>
      <c r="B60" s="32" t="inlineStr">
        <is>
          <t>Ella Torres</t>
        </is>
      </c>
      <c r="C60" s="32" t="inlineStr">
        <is>
          <t>Aria Torres</t>
        </is>
      </c>
      <c r="D60" s="33" t="n">
        <v>75</v>
      </c>
      <c r="E60" s="32" t="inlineStr">
        <is>
          <t>OneCause</t>
        </is>
      </c>
      <c r="F60" s="34">
        <f>IF(A60="","",IFERROR(INT(A60),"check date"))</f>
        <v/>
      </c>
      <c r="G60" s="35">
        <f>IF(B60="","",IFERROR(INDEX(Students!$A:$A,MATCH(TRIM(B60),Students!$A:$A,0)),"NOT ON LIST"))</f>
        <v/>
      </c>
      <c r="H60" s="35">
        <f>IF(OR(G60="",G60="NOT ON LIST"),"",VLOOKUP(G60,Students!$A:$C,2,FALSE))</f>
        <v/>
      </c>
      <c r="I60" s="35">
        <f>IF(OR(G60="",G60="NOT ON LIST"),"",VLOOKUP(G60,Students!$A:$C,3,FALSE)&amp;"")</f>
        <v/>
      </c>
    </row>
    <row r="61">
      <c r="A61" s="31" t="n">
        <v>46334.67708333334</v>
      </c>
      <c r="B61" s="32" t="inlineStr">
        <is>
          <t>Amelia Martinez</t>
        </is>
      </c>
      <c r="C61" s="32" t="inlineStr">
        <is>
          <t>Diego Martinez</t>
        </is>
      </c>
      <c r="D61" s="33" t="n">
        <v>20</v>
      </c>
      <c r="E61" s="32" t="inlineStr">
        <is>
          <t>OneCause</t>
        </is>
      </c>
      <c r="F61" s="34">
        <f>IF(A61="","",IFERROR(INT(A61),"check date"))</f>
        <v/>
      </c>
      <c r="G61" s="35">
        <f>IF(B61="","",IFERROR(INDEX(Students!$A:$A,MATCH(TRIM(B61),Students!$A:$A,0)),"NOT ON LIST"))</f>
        <v/>
      </c>
      <c r="H61" s="35">
        <f>IF(OR(G61="",G61="NOT ON LIST"),"",VLOOKUP(G61,Students!$A:$C,2,FALSE))</f>
        <v/>
      </c>
      <c r="I61" s="35">
        <f>IF(OR(G61="",G61="NOT ON LIST"),"",VLOOKUP(G61,Students!$A:$C,3,FALSE)&amp;"")</f>
        <v/>
      </c>
    </row>
    <row r="62">
      <c r="A62" s="31" t="n">
        <v>46339.57291666666</v>
      </c>
      <c r="B62" s="32" t="inlineStr">
        <is>
          <t>Clara Kelly</t>
        </is>
      </c>
      <c r="C62" s="32" t="inlineStr">
        <is>
          <t>Luna Kelly</t>
        </is>
      </c>
      <c r="D62" s="33" t="n">
        <v>20</v>
      </c>
      <c r="E62" s="32" t="inlineStr">
        <is>
          <t>OneCause</t>
        </is>
      </c>
      <c r="F62" s="34">
        <f>IF(A62="","",IFERROR(INT(A62),"check date"))</f>
        <v/>
      </c>
      <c r="G62" s="35">
        <f>IF(B62="","",IFERROR(INDEX(Students!$A:$A,MATCH(TRIM(B62),Students!$A:$A,0)),"NOT ON LIST"))</f>
        <v/>
      </c>
      <c r="H62" s="35">
        <f>IF(OR(G62="",G62="NOT ON LIST"),"",VLOOKUP(G62,Students!$A:$C,2,FALSE))</f>
        <v/>
      </c>
      <c r="I62" s="35">
        <f>IF(OR(G62="",G62="NOT ON LIST"),"",VLOOKUP(G62,Students!$A:$C,3,FALSE)&amp;"")</f>
        <v/>
      </c>
    </row>
    <row r="63">
      <c r="A63" s="31" t="n">
        <v>46325.42708333334</v>
      </c>
      <c r="B63" s="32" t="inlineStr">
        <is>
          <t>Isaac Byrne</t>
        </is>
      </c>
      <c r="C63" s="32" t="inlineStr">
        <is>
          <t>Evelyn Byrne</t>
        </is>
      </c>
      <c r="D63" s="33" t="n">
        <v>75</v>
      </c>
      <c r="E63" s="32" t="inlineStr">
        <is>
          <t>OneCause</t>
        </is>
      </c>
      <c r="F63" s="34">
        <f>IF(A63="","",IFERROR(INT(A63),"check date"))</f>
        <v/>
      </c>
      <c r="G63" s="35">
        <f>IF(B63="","",IFERROR(INDEX(Students!$A:$A,MATCH(TRIM(B63),Students!$A:$A,0)),"NOT ON LIST"))</f>
        <v/>
      </c>
      <c r="H63" s="35">
        <f>IF(OR(G63="",G63="NOT ON LIST"),"",VLOOKUP(G63,Students!$A:$C,2,FALSE))</f>
        <v/>
      </c>
      <c r="I63" s="35">
        <f>IF(OR(G63="",G63="NOT ON LIST"),"",VLOOKUP(G63,Students!$A:$C,3,FALSE)&amp;"")</f>
        <v/>
      </c>
    </row>
    <row r="64">
      <c r="A64" s="31" t="n">
        <v>46334.75</v>
      </c>
      <c r="B64" s="32" t="inlineStr">
        <is>
          <t>Isabella Johnson</t>
        </is>
      </c>
      <c r="C64" s="32" t="inlineStr">
        <is>
          <t>David Johnson</t>
        </is>
      </c>
      <c r="D64" s="33" t="n">
        <v>100</v>
      </c>
      <c r="E64" s="32" t="inlineStr">
        <is>
          <t>OneCause</t>
        </is>
      </c>
      <c r="F64" s="34">
        <f>IF(A64="","",IFERROR(INT(A64),"check date"))</f>
        <v/>
      </c>
      <c r="G64" s="35">
        <f>IF(B64="","",IFERROR(INDEX(Students!$A:$A,MATCH(TRIM(B64),Students!$A:$A,0)),"NOT ON LIST"))</f>
        <v/>
      </c>
      <c r="H64" s="35">
        <f>IF(OR(G64="",G64="NOT ON LIST"),"",VLOOKUP(G64,Students!$A:$C,2,FALSE))</f>
        <v/>
      </c>
      <c r="I64" s="35">
        <f>IF(OR(G64="",G64="NOT ON LIST"),"",VLOOKUP(G64,Students!$A:$C,3,FALSE)&amp;"")</f>
        <v/>
      </c>
    </row>
    <row r="65">
      <c r="A65" s="31" t="n">
        <v>46334</v>
      </c>
      <c r="B65" s="32" t="inlineStr">
        <is>
          <t>Liam Ruiz</t>
        </is>
      </c>
      <c r="C65" s="32" t="inlineStr">
        <is>
          <t>Ava Ruiz</t>
        </is>
      </c>
      <c r="D65" s="33" t="n">
        <v>150</v>
      </c>
      <c r="E65" s="32" t="inlineStr">
        <is>
          <t>Check</t>
        </is>
      </c>
      <c r="F65" s="34">
        <f>IF(A65="","",IFERROR(INT(A65),"check date"))</f>
        <v/>
      </c>
      <c r="G65" s="35">
        <f>IF(B65="","",IFERROR(INDEX(Students!$A:$A,MATCH(TRIM(B65),Students!$A:$A,0)),"NOT ON LIST"))</f>
        <v/>
      </c>
      <c r="H65" s="35">
        <f>IF(OR(G65="",G65="NOT ON LIST"),"",VLOOKUP(G65,Students!$A:$C,2,FALSE))</f>
        <v/>
      </c>
      <c r="I65" s="35">
        <f>IF(OR(G65="",G65="NOT ON LIST"),"",VLOOKUP(G65,Students!$A:$C,3,FALSE)&amp;"")</f>
        <v/>
      </c>
    </row>
    <row r="66">
      <c r="A66" s="31" t="n">
        <v>46338.48958333334</v>
      </c>
      <c r="B66" s="32" t="inlineStr">
        <is>
          <t>Aria Ryan</t>
        </is>
      </c>
      <c r="C66" s="32" t="inlineStr">
        <is>
          <t>Gabriel Ryan</t>
        </is>
      </c>
      <c r="D66" s="33" t="n">
        <v>20</v>
      </c>
      <c r="E66" s="32" t="inlineStr">
        <is>
          <t>OneCause</t>
        </is>
      </c>
      <c r="F66" s="34">
        <f>IF(A66="","",IFERROR(INT(A66),"check date"))</f>
        <v/>
      </c>
      <c r="G66" s="35">
        <f>IF(B66="","",IFERROR(INDEX(Students!$A:$A,MATCH(TRIM(B66),Students!$A:$A,0)),"NOT ON LIST"))</f>
        <v/>
      </c>
      <c r="H66" s="35">
        <f>IF(OR(G66="",G66="NOT ON LIST"),"",VLOOKUP(G66,Students!$A:$C,2,FALSE))</f>
        <v/>
      </c>
      <c r="I66" s="35">
        <f>IF(OR(G66="",G66="NOT ON LIST"),"",VLOOKUP(G66,Students!$A:$C,3,FALSE)&amp;"")</f>
        <v/>
      </c>
    </row>
    <row r="67">
      <c r="A67" s="31" t="n">
        <v>46338.45833333334</v>
      </c>
      <c r="B67" s="32" t="inlineStr">
        <is>
          <t>Nora Torres</t>
        </is>
      </c>
      <c r="C67" s="32" t="inlineStr">
        <is>
          <t>Grace Torres</t>
        </is>
      </c>
      <c r="D67" s="33" t="n">
        <v>50</v>
      </c>
      <c r="E67" s="32" t="inlineStr">
        <is>
          <t>OneCause</t>
        </is>
      </c>
      <c r="F67" s="34">
        <f>IF(A67="","",IFERROR(INT(A67),"check date"))</f>
        <v/>
      </c>
      <c r="G67" s="35">
        <f>IF(B67="","",IFERROR(INDEX(Students!$A:$A,MATCH(TRIM(B67),Students!$A:$A,0)),"NOT ON LIST"))</f>
        <v/>
      </c>
      <c r="H67" s="35">
        <f>IF(OR(G67="",G67="NOT ON LIST"),"",VLOOKUP(G67,Students!$A:$C,2,FALSE))</f>
        <v/>
      </c>
      <c r="I67" s="35">
        <f>IF(OR(G67="",G67="NOT ON LIST"),"",VLOOKUP(G67,Students!$A:$C,3,FALSE)&amp;"")</f>
        <v/>
      </c>
    </row>
    <row r="68">
      <c r="A68" s="31" t="n">
        <v>46335.76041666666</v>
      </c>
      <c r="B68" s="32" t="inlineStr">
        <is>
          <t>Ava Gomez</t>
        </is>
      </c>
      <c r="C68" s="32" t="inlineStr">
        <is>
          <t>Mateo Gomez</t>
        </is>
      </c>
      <c r="D68" s="33" t="n">
        <v>75</v>
      </c>
      <c r="E68" s="32" t="inlineStr">
        <is>
          <t>OneCause</t>
        </is>
      </c>
      <c r="F68" s="34">
        <f>IF(A68="","",IFERROR(INT(A68),"check date"))</f>
        <v/>
      </c>
      <c r="G68" s="35">
        <f>IF(B68="","",IFERROR(INDEX(Students!$A:$A,MATCH(TRIM(B68),Students!$A:$A,0)),"NOT ON LIST"))</f>
        <v/>
      </c>
      <c r="H68" s="35">
        <f>IF(OR(G68="",G68="NOT ON LIST"),"",VLOOKUP(G68,Students!$A:$C,2,FALSE))</f>
        <v/>
      </c>
      <c r="I68" s="35">
        <f>IF(OR(G68="",G68="NOT ON LIST"),"",VLOOKUP(G68,Students!$A:$C,3,FALSE)&amp;"")</f>
        <v/>
      </c>
    </row>
    <row r="69">
      <c r="A69" s="31" t="n">
        <v>46332.82291666666</v>
      </c>
      <c r="B69" s="32" t="inlineStr">
        <is>
          <t>Aria Gonzalez</t>
        </is>
      </c>
      <c r="C69" s="32" t="inlineStr">
        <is>
          <t>Harper Gonzalez</t>
        </is>
      </c>
      <c r="D69" s="33" t="n">
        <v>25</v>
      </c>
      <c r="E69" s="32" t="inlineStr">
        <is>
          <t>OneCause</t>
        </is>
      </c>
      <c r="F69" s="34">
        <f>IF(A69="","",IFERROR(INT(A69),"check date"))</f>
        <v/>
      </c>
      <c r="G69" s="35">
        <f>IF(B69="","",IFERROR(INDEX(Students!$A:$A,MATCH(TRIM(B69),Students!$A:$A,0)),"NOT ON LIST"))</f>
        <v/>
      </c>
      <c r="H69" s="35">
        <f>IF(OR(G69="",G69="NOT ON LIST"),"",VLOOKUP(G69,Students!$A:$C,2,FALSE))</f>
        <v/>
      </c>
      <c r="I69" s="35">
        <f>IF(OR(G69="",G69="NOT ON LIST"),"",VLOOKUP(G69,Students!$A:$C,3,FALSE)&amp;"")</f>
        <v/>
      </c>
    </row>
    <row r="70">
      <c r="A70" s="31" t="n">
        <v>46332.375</v>
      </c>
      <c r="B70" s="32" t="inlineStr">
        <is>
          <t>Evelyn Alvarez</t>
        </is>
      </c>
      <c r="C70" s="32" t="inlineStr">
        <is>
          <t>Thomas Alvarez</t>
        </is>
      </c>
      <c r="D70" s="33" t="n">
        <v>20</v>
      </c>
      <c r="E70" s="32" t="inlineStr">
        <is>
          <t>OneCause</t>
        </is>
      </c>
      <c r="F70" s="34">
        <f>IF(A70="","",IFERROR(INT(A70),"check date"))</f>
        <v/>
      </c>
      <c r="G70" s="35">
        <f>IF(B70="","",IFERROR(INDEX(Students!$A:$A,MATCH(TRIM(B70),Students!$A:$A,0)),"NOT ON LIST"))</f>
        <v/>
      </c>
      <c r="H70" s="35">
        <f>IF(OR(G70="",G70="NOT ON LIST"),"",VLOOKUP(G70,Students!$A:$C,2,FALSE))</f>
        <v/>
      </c>
      <c r="I70" s="35">
        <f>IF(OR(G70="",G70="NOT ON LIST"),"",VLOOKUP(G70,Students!$A:$C,3,FALSE)&amp;"")</f>
        <v/>
      </c>
    </row>
    <row r="71">
      <c r="A71" s="31" t="n">
        <v>46337.76041666666</v>
      </c>
      <c r="B71" s="32" t="inlineStr">
        <is>
          <t>Mia Garcia</t>
        </is>
      </c>
      <c r="C71" s="32" t="inlineStr">
        <is>
          <t>Joseph Garcia</t>
        </is>
      </c>
      <c r="D71" s="33" t="n">
        <v>50</v>
      </c>
      <c r="E71" s="32" t="inlineStr">
        <is>
          <t>OneCause</t>
        </is>
      </c>
      <c r="F71" s="34">
        <f>IF(A71="","",IFERROR(INT(A71),"check date"))</f>
        <v/>
      </c>
      <c r="G71" s="35">
        <f>IF(B71="","",IFERROR(INDEX(Students!$A:$A,MATCH(TRIM(B71),Students!$A:$A,0)),"NOT ON LIST"))</f>
        <v/>
      </c>
      <c r="H71" s="35">
        <f>IF(OR(G71="",G71="NOT ON LIST"),"",VLOOKUP(G71,Students!$A:$C,2,FALSE))</f>
        <v/>
      </c>
      <c r="I71" s="35">
        <f>IF(OR(G71="",G71="NOT ON LIST"),"",VLOOKUP(G71,Students!$A:$C,3,FALSE)&amp;"")</f>
        <v/>
      </c>
    </row>
    <row r="72">
      <c r="A72" s="31" t="n">
        <v>46336.61458333334</v>
      </c>
      <c r="B72" s="32" t="inlineStr">
        <is>
          <t>Valentina Smith</t>
        </is>
      </c>
      <c r="C72" s="32" t="inlineStr">
        <is>
          <t>Leo Smith</t>
        </is>
      </c>
      <c r="D72" s="33" t="n">
        <v>25</v>
      </c>
      <c r="E72" s="32" t="inlineStr">
        <is>
          <t>OneCause</t>
        </is>
      </c>
      <c r="F72" s="34">
        <f>IF(A72="","",IFERROR(INT(A72),"check date"))</f>
        <v/>
      </c>
      <c r="G72" s="35">
        <f>IF(B72="","",IFERROR(INDEX(Students!$A:$A,MATCH(TRIM(B72),Students!$A:$A,0)),"NOT ON LIST"))</f>
        <v/>
      </c>
      <c r="H72" s="35">
        <f>IF(OR(G72="",G72="NOT ON LIST"),"",VLOOKUP(G72,Students!$A:$C,2,FALSE))</f>
        <v/>
      </c>
      <c r="I72" s="35">
        <f>IF(OR(G72="",G72="NOT ON LIST"),"",VLOOKUP(G72,Students!$A:$C,3,FALSE)&amp;"")</f>
        <v/>
      </c>
    </row>
    <row r="73">
      <c r="A73" s="31" t="n">
        <v>46336</v>
      </c>
      <c r="B73" s="32" t="inlineStr">
        <is>
          <t>Gabriel Flores</t>
        </is>
      </c>
      <c r="C73" s="32" t="inlineStr">
        <is>
          <t>Leo Flores</t>
        </is>
      </c>
      <c r="D73" s="33" t="n">
        <v>25</v>
      </c>
      <c r="E73" s="32" t="inlineStr">
        <is>
          <t>Check</t>
        </is>
      </c>
      <c r="F73" s="34">
        <f>IF(A73="","",IFERROR(INT(A73),"check date"))</f>
        <v/>
      </c>
      <c r="G73" s="35">
        <f>IF(B73="","",IFERROR(INDEX(Students!$A:$A,MATCH(TRIM(B73),Students!$A:$A,0)),"NOT ON LIST"))</f>
        <v/>
      </c>
      <c r="H73" s="35">
        <f>IF(OR(G73="",G73="NOT ON LIST"),"",VLOOKUP(G73,Students!$A:$C,2,FALSE))</f>
        <v/>
      </c>
      <c r="I73" s="35">
        <f>IF(OR(G73="",G73="NOT ON LIST"),"",VLOOKUP(G73,Students!$A:$C,3,FALSE)&amp;"")</f>
        <v/>
      </c>
    </row>
    <row r="74">
      <c r="A74" s="31" t="n">
        <v>46336.41666666666</v>
      </c>
      <c r="B74" s="32" t="inlineStr">
        <is>
          <t>Luna Sanchez</t>
        </is>
      </c>
      <c r="C74" s="32" t="inlineStr">
        <is>
          <t>Sofia Sanchez</t>
        </is>
      </c>
      <c r="D74" s="33" t="n">
        <v>25</v>
      </c>
      <c r="E74" s="32" t="inlineStr">
        <is>
          <t>OneCause</t>
        </is>
      </c>
      <c r="F74" s="34">
        <f>IF(A74="","",IFERROR(INT(A74),"check date"))</f>
        <v/>
      </c>
      <c r="G74" s="35">
        <f>IF(B74="","",IFERROR(INDEX(Students!$A:$A,MATCH(TRIM(B74),Students!$A:$A,0)),"NOT ON LIST"))</f>
        <v/>
      </c>
      <c r="H74" s="35">
        <f>IF(OR(G74="",G74="NOT ON LIST"),"",VLOOKUP(G74,Students!$A:$C,2,FALSE))</f>
        <v/>
      </c>
      <c r="I74" s="35">
        <f>IF(OR(G74="",G74="NOT ON LIST"),"",VLOOKUP(G74,Students!$A:$C,3,FALSE)&amp;"")</f>
        <v/>
      </c>
    </row>
    <row r="75">
      <c r="A75" s="31" t="n">
        <v>46337</v>
      </c>
      <c r="B75" s="32" t="inlineStr">
        <is>
          <t>Liam Castillo</t>
        </is>
      </c>
      <c r="C75" s="32" t="inlineStr">
        <is>
          <t>Nora Castillo</t>
        </is>
      </c>
      <c r="D75" s="33" t="n">
        <v>100</v>
      </c>
      <c r="E75" s="32" t="inlineStr">
        <is>
          <t>Check</t>
        </is>
      </c>
      <c r="F75" s="34">
        <f>IF(A75="","",IFERROR(INT(A75),"check date"))</f>
        <v/>
      </c>
      <c r="G75" s="35">
        <f>IF(B75="","",IFERROR(INDEX(Students!$A:$A,MATCH(TRIM(B75),Students!$A:$A,0)),"NOT ON LIST"))</f>
        <v/>
      </c>
      <c r="H75" s="35">
        <f>IF(OR(G75="",G75="NOT ON LIST"),"",VLOOKUP(G75,Students!$A:$C,2,FALSE))</f>
        <v/>
      </c>
      <c r="I75" s="35">
        <f>IF(OR(G75="",G75="NOT ON LIST"),"",VLOOKUP(G75,Students!$A:$C,3,FALSE)&amp;"")</f>
        <v/>
      </c>
    </row>
    <row r="76">
      <c r="A76" s="31" t="n">
        <v>46336.77083333334</v>
      </c>
      <c r="B76" s="32" t="inlineStr">
        <is>
          <t>Benjamin Cruz</t>
        </is>
      </c>
      <c r="C76" s="32" t="inlineStr">
        <is>
          <t>Nicolas Cruz</t>
        </is>
      </c>
      <c r="D76" s="33" t="n">
        <v>150</v>
      </c>
      <c r="E76" s="32" t="inlineStr">
        <is>
          <t>OneCause</t>
        </is>
      </c>
      <c r="F76" s="34">
        <f>IF(A76="","",IFERROR(INT(A76),"check date"))</f>
        <v/>
      </c>
      <c r="G76" s="35">
        <f>IF(B76="","",IFERROR(INDEX(Students!$A:$A,MATCH(TRIM(B76),Students!$A:$A,0)),"NOT ON LIST"))</f>
        <v/>
      </c>
      <c r="H76" s="35">
        <f>IF(OR(G76="",G76="NOT ON LIST"),"",VLOOKUP(G76,Students!$A:$C,2,FALSE))</f>
        <v/>
      </c>
      <c r="I76" s="35">
        <f>IF(OR(G76="",G76="NOT ON LIST"),"",VLOOKUP(G76,Students!$A:$C,3,FALSE)&amp;"")</f>
        <v/>
      </c>
    </row>
    <row r="77">
      <c r="A77" s="31" t="n">
        <v>46338.69791666666</v>
      </c>
      <c r="B77" s="32" t="inlineStr">
        <is>
          <t>Aria Ramirez</t>
        </is>
      </c>
      <c r="C77" s="32" t="inlineStr">
        <is>
          <t>Chloe Ramirez</t>
        </is>
      </c>
      <c r="D77" s="33" t="n">
        <v>150</v>
      </c>
      <c r="E77" s="32" t="inlineStr">
        <is>
          <t>OneCause</t>
        </is>
      </c>
      <c r="F77" s="34">
        <f>IF(A77="","",IFERROR(INT(A77),"check date"))</f>
        <v/>
      </c>
      <c r="G77" s="35">
        <f>IF(B77="","",IFERROR(INDEX(Students!$A:$A,MATCH(TRIM(B77),Students!$A:$A,0)),"NOT ON LIST"))</f>
        <v/>
      </c>
      <c r="H77" s="35">
        <f>IF(OR(G77="",G77="NOT ON LIST"),"",VLOOKUP(G77,Students!$A:$C,2,FALSE))</f>
        <v/>
      </c>
      <c r="I77" s="35">
        <f>IF(OR(G77="",G77="NOT ON LIST"),"",VLOOKUP(G77,Students!$A:$C,3,FALSE)&amp;"")</f>
        <v/>
      </c>
    </row>
    <row r="78">
      <c r="A78" s="31" t="n">
        <v>46331.42708333334</v>
      </c>
      <c r="B78" s="32" t="inlineStr">
        <is>
          <t>Mia Ortiz</t>
        </is>
      </c>
      <c r="C78" s="32" t="inlineStr">
        <is>
          <t>Julian Ortiz</t>
        </is>
      </c>
      <c r="D78" s="33" t="n">
        <v>75</v>
      </c>
      <c r="E78" s="32" t="inlineStr">
        <is>
          <t>OneCause</t>
        </is>
      </c>
      <c r="F78" s="34">
        <f>IF(A78="","",IFERROR(INT(A78),"check date"))</f>
        <v/>
      </c>
      <c r="G78" s="35">
        <f>IF(B78="","",IFERROR(INDEX(Students!$A:$A,MATCH(TRIM(B78),Students!$A:$A,0)),"NOT ON LIST"))</f>
        <v/>
      </c>
      <c r="H78" s="35">
        <f>IF(OR(G78="",G78="NOT ON LIST"),"",VLOOKUP(G78,Students!$A:$C,2,FALSE))</f>
        <v/>
      </c>
      <c r="I78" s="35">
        <f>IF(OR(G78="",G78="NOT ON LIST"),"",VLOOKUP(G78,Students!$A:$C,3,FALSE)&amp;"")</f>
        <v/>
      </c>
    </row>
    <row r="79">
      <c r="A79" s="31" t="n">
        <v>46337.72916666666</v>
      </c>
      <c r="B79" s="32" t="inlineStr">
        <is>
          <t>Adrian Nguyen</t>
        </is>
      </c>
      <c r="C79" s="32" t="inlineStr">
        <is>
          <t>Lily Nguyen</t>
        </is>
      </c>
      <c r="D79" s="33" t="n">
        <v>50</v>
      </c>
      <c r="E79" s="32" t="inlineStr">
        <is>
          <t>OneCause</t>
        </is>
      </c>
      <c r="F79" s="34">
        <f>IF(A79="","",IFERROR(INT(A79),"check date"))</f>
        <v/>
      </c>
      <c r="G79" s="35">
        <f>IF(B79="","",IFERROR(INDEX(Students!$A:$A,MATCH(TRIM(B79),Students!$A:$A,0)),"NOT ON LIST"))</f>
        <v/>
      </c>
      <c r="H79" s="35">
        <f>IF(OR(G79="",G79="NOT ON LIST"),"",VLOOKUP(G79,Students!$A:$C,2,FALSE))</f>
        <v/>
      </c>
      <c r="I79" s="35">
        <f>IF(OR(G79="",G79="NOT ON LIST"),"",VLOOKUP(G79,Students!$A:$C,3,FALSE)&amp;"")</f>
        <v/>
      </c>
    </row>
    <row r="80">
      <c r="A80" s="31" t="n">
        <v>46339</v>
      </c>
      <c r="B80" s="32" t="inlineStr">
        <is>
          <t>Camila Reyes</t>
        </is>
      </c>
      <c r="C80" s="32" t="inlineStr">
        <is>
          <t>Elijah Reyes</t>
        </is>
      </c>
      <c r="D80" s="33" t="n">
        <v>25</v>
      </c>
      <c r="E80" s="32" t="inlineStr">
        <is>
          <t>Cash</t>
        </is>
      </c>
      <c r="F80" s="34">
        <f>IF(A80="","",IFERROR(INT(A80),"check date"))</f>
        <v/>
      </c>
      <c r="G80" s="35">
        <f>IF(B80="","",IFERROR(INDEX(Students!$A:$A,MATCH(TRIM(B80),Students!$A:$A,0)),"NOT ON LIST"))</f>
        <v/>
      </c>
      <c r="H80" s="35">
        <f>IF(OR(G80="",G80="NOT ON LIST"),"",VLOOKUP(G80,Students!$A:$C,2,FALSE))</f>
        <v/>
      </c>
      <c r="I80" s="35">
        <f>IF(OR(G80="",G80="NOT ON LIST"),"",VLOOKUP(G80,Students!$A:$C,3,FALSE)&amp;"")</f>
        <v/>
      </c>
    </row>
    <row r="81">
      <c r="A81" s="31" t="n">
        <v>46330.46875</v>
      </c>
      <c r="B81" s="32" t="inlineStr">
        <is>
          <t>Lily Walsh</t>
        </is>
      </c>
      <c r="C81" s="32" t="inlineStr">
        <is>
          <t>Chloe Walsh</t>
        </is>
      </c>
      <c r="D81" s="33" t="n">
        <v>10</v>
      </c>
      <c r="E81" s="32" t="inlineStr">
        <is>
          <t>OneCause</t>
        </is>
      </c>
      <c r="F81" s="34">
        <f>IF(A81="","",IFERROR(INT(A81),"check date"))</f>
        <v/>
      </c>
      <c r="G81" s="35">
        <f>IF(B81="","",IFERROR(INDEX(Students!$A:$A,MATCH(TRIM(B81),Students!$A:$A,0)),"NOT ON LIST"))</f>
        <v/>
      </c>
      <c r="H81" s="35">
        <f>IF(OR(G81="",G81="NOT ON LIST"),"",VLOOKUP(G81,Students!$A:$C,2,FALSE))</f>
        <v/>
      </c>
      <c r="I81" s="35">
        <f>IF(OR(G81="",G81="NOT ON LIST"),"",VLOOKUP(G81,Students!$A:$C,3,FALSE)&amp;"")</f>
        <v/>
      </c>
    </row>
    <row r="82">
      <c r="A82" s="31" t="n">
        <v>46338.80208333334</v>
      </c>
      <c r="B82" s="32" t="inlineStr">
        <is>
          <t>Mateo Gonzalez</t>
        </is>
      </c>
      <c r="C82" s="32" t="inlineStr">
        <is>
          <t>Julian Gonzalez</t>
        </is>
      </c>
      <c r="D82" s="33" t="n">
        <v>100</v>
      </c>
      <c r="E82" s="32" t="inlineStr">
        <is>
          <t>OneCause</t>
        </is>
      </c>
      <c r="F82" s="34">
        <f>IF(A82="","",IFERROR(INT(A82),"check date"))</f>
        <v/>
      </c>
      <c r="G82" s="35">
        <f>IF(B82="","",IFERROR(INDEX(Students!$A:$A,MATCH(TRIM(B82),Students!$A:$A,0)),"NOT ON LIST"))</f>
        <v/>
      </c>
      <c r="H82" s="35">
        <f>IF(OR(G82="",G82="NOT ON LIST"),"",VLOOKUP(G82,Students!$A:$C,2,FALSE))</f>
        <v/>
      </c>
      <c r="I82" s="35">
        <f>IF(OR(G82="",G82="NOT ON LIST"),"",VLOOKUP(G82,Students!$A:$C,3,FALSE)&amp;"")</f>
        <v/>
      </c>
    </row>
    <row r="83">
      <c r="A83" s="31" t="n">
        <v>46338.44791666666</v>
      </c>
      <c r="B83" s="32" t="inlineStr">
        <is>
          <t>Ava Garcia</t>
        </is>
      </c>
      <c r="C83" s="32" t="inlineStr">
        <is>
          <t>James Garcia</t>
        </is>
      </c>
      <c r="D83" s="33" t="n">
        <v>50</v>
      </c>
      <c r="E83" s="32" t="inlineStr">
        <is>
          <t>OneCause</t>
        </is>
      </c>
      <c r="F83" s="34">
        <f>IF(A83="","",IFERROR(INT(A83),"check date"))</f>
        <v/>
      </c>
      <c r="G83" s="35">
        <f>IF(B83="","",IFERROR(INDEX(Students!$A:$A,MATCH(TRIM(B83),Students!$A:$A,0)),"NOT ON LIST"))</f>
        <v/>
      </c>
      <c r="H83" s="35">
        <f>IF(OR(G83="",G83="NOT ON LIST"),"",VLOOKUP(G83,Students!$A:$C,2,FALSE))</f>
        <v/>
      </c>
      <c r="I83" s="35">
        <f>IF(OR(G83="",G83="NOT ON LIST"),"",VLOOKUP(G83,Students!$A:$C,3,FALSE)&amp;"")</f>
        <v/>
      </c>
    </row>
    <row r="84">
      <c r="A84" s="31" t="n">
        <v>46326.30208333334</v>
      </c>
      <c r="B84" s="32" t="inlineStr">
        <is>
          <t>Mateo Martinez</t>
        </is>
      </c>
      <c r="C84" s="32" t="inlineStr">
        <is>
          <t>Elijah Martinez</t>
        </is>
      </c>
      <c r="D84" s="33" t="n">
        <v>100</v>
      </c>
      <c r="E84" s="32" t="inlineStr">
        <is>
          <t>OneCause</t>
        </is>
      </c>
      <c r="F84" s="34">
        <f>IF(A84="","",IFERROR(INT(A84),"check date"))</f>
        <v/>
      </c>
      <c r="G84" s="35">
        <f>IF(B84="","",IFERROR(INDEX(Students!$A:$A,MATCH(TRIM(B84),Students!$A:$A,0)),"NOT ON LIST"))</f>
        <v/>
      </c>
      <c r="H84" s="35">
        <f>IF(OR(G84="",G84="NOT ON LIST"),"",VLOOKUP(G84,Students!$A:$C,2,FALSE))</f>
        <v/>
      </c>
      <c r="I84" s="35">
        <f>IF(OR(G84="",G84="NOT ON LIST"),"",VLOOKUP(G84,Students!$A:$C,3,FALSE)&amp;"")</f>
        <v/>
      </c>
    </row>
    <row r="85">
      <c r="A85" s="31" t="n">
        <v>46336.55208333334</v>
      </c>
      <c r="B85" s="32" t="inlineStr">
        <is>
          <t>Elena Castillo</t>
        </is>
      </c>
      <c r="C85" s="32" t="inlineStr">
        <is>
          <t>David Castillo</t>
        </is>
      </c>
      <c r="D85" s="33" t="n">
        <v>20</v>
      </c>
      <c r="E85" s="32" t="inlineStr">
        <is>
          <t>OneCause</t>
        </is>
      </c>
      <c r="F85" s="34">
        <f>IF(A85="","",IFERROR(INT(A85),"check date"))</f>
        <v/>
      </c>
      <c r="G85" s="35">
        <f>IF(B85="","",IFERROR(INDEX(Students!$A:$A,MATCH(TRIM(B85),Students!$A:$A,0)),"NOT ON LIST"))</f>
        <v/>
      </c>
      <c r="H85" s="35">
        <f>IF(OR(G85="",G85="NOT ON LIST"),"",VLOOKUP(G85,Students!$A:$C,2,FALSE))</f>
        <v/>
      </c>
      <c r="I85" s="35">
        <f>IF(OR(G85="",G85="NOT ON LIST"),"",VLOOKUP(G85,Students!$A:$C,3,FALSE)&amp;"")</f>
        <v/>
      </c>
    </row>
    <row r="86">
      <c r="A86" s="31" t="n">
        <v>46332</v>
      </c>
      <c r="B86" s="32" t="inlineStr">
        <is>
          <t>Aria Johnson</t>
        </is>
      </c>
      <c r="C86" s="32" t="inlineStr">
        <is>
          <t>Evelyn Johnson</t>
        </is>
      </c>
      <c r="D86" s="33" t="n">
        <v>100</v>
      </c>
      <c r="E86" s="32" t="inlineStr">
        <is>
          <t>Cash</t>
        </is>
      </c>
      <c r="F86" s="34">
        <f>IF(A86="","",IFERROR(INT(A86),"check date"))</f>
        <v/>
      </c>
      <c r="G86" s="35">
        <f>IF(B86="","",IFERROR(INDEX(Students!$A:$A,MATCH(TRIM(B86),Students!$A:$A,0)),"NOT ON LIST"))</f>
        <v/>
      </c>
      <c r="H86" s="35">
        <f>IF(OR(G86="",G86="NOT ON LIST"),"",VLOOKUP(G86,Students!$A:$C,2,FALSE))</f>
        <v/>
      </c>
      <c r="I86" s="35">
        <f>IF(OR(G86="",G86="NOT ON LIST"),"",VLOOKUP(G86,Students!$A:$C,3,FALSE)&amp;"")</f>
        <v/>
      </c>
    </row>
    <row r="87">
      <c r="A87" s="31" t="n">
        <v>46328.66666666666</v>
      </c>
      <c r="B87" s="32" t="inlineStr">
        <is>
          <t>Leo Ramirez</t>
        </is>
      </c>
      <c r="C87" s="32" t="inlineStr">
        <is>
          <t>Diego Ramirez</t>
        </is>
      </c>
      <c r="D87" s="33" t="n">
        <v>50</v>
      </c>
      <c r="E87" s="32" t="inlineStr">
        <is>
          <t>OneCause</t>
        </is>
      </c>
      <c r="F87" s="34">
        <f>IF(A87="","",IFERROR(INT(A87),"check date"))</f>
        <v/>
      </c>
      <c r="G87" s="35">
        <f>IF(B87="","",IFERROR(INDEX(Students!$A:$A,MATCH(TRIM(B87),Students!$A:$A,0)),"NOT ON LIST"))</f>
        <v/>
      </c>
      <c r="H87" s="35">
        <f>IF(OR(G87="",G87="NOT ON LIST"),"",VLOOKUP(G87,Students!$A:$C,2,FALSE))</f>
        <v/>
      </c>
      <c r="I87" s="35">
        <f>IF(OR(G87="",G87="NOT ON LIST"),"",VLOOKUP(G87,Students!$A:$C,3,FALSE)&amp;"")</f>
        <v/>
      </c>
    </row>
    <row r="88">
      <c r="A88" s="31" t="n">
        <v>46339.65625</v>
      </c>
      <c r="B88" s="32" t="inlineStr">
        <is>
          <t>Grace Murphy</t>
        </is>
      </c>
      <c r="C88" s="32" t="inlineStr">
        <is>
          <t>Valentina Murphy</t>
        </is>
      </c>
      <c r="D88" s="33" t="n">
        <v>75</v>
      </c>
      <c r="E88" s="32" t="inlineStr">
        <is>
          <t>OneCause</t>
        </is>
      </c>
      <c r="F88" s="34">
        <f>IF(A88="","",IFERROR(INT(A88),"check date"))</f>
        <v/>
      </c>
      <c r="G88" s="35">
        <f>IF(B88="","",IFERROR(INDEX(Students!$A:$A,MATCH(TRIM(B88),Students!$A:$A,0)),"NOT ON LIST"))</f>
        <v/>
      </c>
      <c r="H88" s="35">
        <f>IF(OR(G88="",G88="NOT ON LIST"),"",VLOOKUP(G88,Students!$A:$C,2,FALSE))</f>
        <v/>
      </c>
      <c r="I88" s="35">
        <f>IF(OR(G88="",G88="NOT ON LIST"),"",VLOOKUP(G88,Students!$A:$C,3,FALSE)&amp;"")</f>
        <v/>
      </c>
    </row>
    <row r="89">
      <c r="A89" s="31" t="n">
        <v>46336.71875</v>
      </c>
      <c r="B89" s="32" t="inlineStr">
        <is>
          <t>Emma O'Brien</t>
        </is>
      </c>
      <c r="C89" s="32" t="inlineStr">
        <is>
          <t>Elijah O'Brien</t>
        </is>
      </c>
      <c r="D89" s="33" t="n">
        <v>50</v>
      </c>
      <c r="E89" s="32" t="inlineStr">
        <is>
          <t>OneCause</t>
        </is>
      </c>
      <c r="F89" s="34">
        <f>IF(A89="","",IFERROR(INT(A89),"check date"))</f>
        <v/>
      </c>
      <c r="G89" s="35">
        <f>IF(B89="","",IFERROR(INDEX(Students!$A:$A,MATCH(TRIM(B89),Students!$A:$A,0)),"NOT ON LIST"))</f>
        <v/>
      </c>
      <c r="H89" s="35">
        <f>IF(OR(G89="",G89="NOT ON LIST"),"",VLOOKUP(G89,Students!$A:$C,2,FALSE))</f>
        <v/>
      </c>
      <c r="I89" s="35">
        <f>IF(OR(G89="",G89="NOT ON LIST"),"",VLOOKUP(G89,Students!$A:$C,3,FALSE)&amp;"")</f>
        <v/>
      </c>
    </row>
    <row r="90">
      <c r="A90" s="31" t="n">
        <v>46329.8125</v>
      </c>
      <c r="B90" s="32" t="inlineStr">
        <is>
          <t>Adrian Nguyen</t>
        </is>
      </c>
      <c r="C90" s="32" t="inlineStr">
        <is>
          <t>Maya Nguyen</t>
        </is>
      </c>
      <c r="D90" s="33" t="n">
        <v>50</v>
      </c>
      <c r="E90" s="32" t="inlineStr">
        <is>
          <t>OneCause</t>
        </is>
      </c>
      <c r="F90" s="34">
        <f>IF(A90="","",IFERROR(INT(A90),"check date"))</f>
        <v/>
      </c>
      <c r="G90" s="35">
        <f>IF(B90="","",IFERROR(INDEX(Students!$A:$A,MATCH(TRIM(B90),Students!$A:$A,0)),"NOT ON LIST"))</f>
        <v/>
      </c>
      <c r="H90" s="35">
        <f>IF(OR(G90="",G90="NOT ON LIST"),"",VLOOKUP(G90,Students!$A:$C,2,FALSE))</f>
        <v/>
      </c>
      <c r="I90" s="35">
        <f>IF(OR(G90="",G90="NOT ON LIST"),"",VLOOKUP(G90,Students!$A:$C,3,FALSE)&amp;"")</f>
        <v/>
      </c>
    </row>
    <row r="91">
      <c r="A91" s="31" t="n">
        <v>46329.66666666666</v>
      </c>
      <c r="B91" s="32" t="inlineStr">
        <is>
          <t>Lily Walsh</t>
        </is>
      </c>
      <c r="C91" s="32" t="inlineStr">
        <is>
          <t>Elijah Walsh</t>
        </is>
      </c>
      <c r="D91" s="33" t="n">
        <v>10</v>
      </c>
      <c r="E91" s="32" t="inlineStr">
        <is>
          <t>OneCause</t>
        </is>
      </c>
      <c r="F91" s="34">
        <f>IF(A91="","",IFERROR(INT(A91),"check date"))</f>
        <v/>
      </c>
      <c r="G91" s="35">
        <f>IF(B91="","",IFERROR(INDEX(Students!$A:$A,MATCH(TRIM(B91),Students!$A:$A,0)),"NOT ON LIST"))</f>
        <v/>
      </c>
      <c r="H91" s="35">
        <f>IF(OR(G91="",G91="NOT ON LIST"),"",VLOOKUP(G91,Students!$A:$C,2,FALSE))</f>
        <v/>
      </c>
      <c r="I91" s="35">
        <f>IF(OR(G91="",G91="NOT ON LIST"),"",VLOOKUP(G91,Students!$A:$C,3,FALSE)&amp;"")</f>
        <v/>
      </c>
    </row>
    <row r="92">
      <c r="A92" s="31" t="n">
        <v>46338.70833333334</v>
      </c>
      <c r="B92" s="32" t="inlineStr">
        <is>
          <t>Santiago Ruiz</t>
        </is>
      </c>
      <c r="C92" s="32" t="inlineStr">
        <is>
          <t>Thomas Ruiz</t>
        </is>
      </c>
      <c r="D92" s="33" t="n">
        <v>50</v>
      </c>
      <c r="E92" s="32" t="inlineStr">
        <is>
          <t>OneCause</t>
        </is>
      </c>
      <c r="F92" s="34">
        <f>IF(A92="","",IFERROR(INT(A92),"check date"))</f>
        <v/>
      </c>
      <c r="G92" s="35">
        <f>IF(B92="","",IFERROR(INDEX(Students!$A:$A,MATCH(TRIM(B92),Students!$A:$A,0)),"NOT ON LIST"))</f>
        <v/>
      </c>
      <c r="H92" s="35">
        <f>IF(OR(G92="",G92="NOT ON LIST"),"",VLOOKUP(G92,Students!$A:$C,2,FALSE))</f>
        <v/>
      </c>
      <c r="I92" s="35">
        <f>IF(OR(G92="",G92="NOT ON LIST"),"",VLOOKUP(G92,Students!$A:$C,3,FALSE)&amp;"")</f>
        <v/>
      </c>
    </row>
    <row r="93">
      <c r="A93" s="31" t="n">
        <v>46336.8125</v>
      </c>
      <c r="B93" s="32" t="inlineStr">
        <is>
          <t>Benjamin Murphy</t>
        </is>
      </c>
      <c r="C93" s="32" t="inlineStr">
        <is>
          <t>Elena Murphy</t>
        </is>
      </c>
      <c r="D93" s="33" t="n">
        <v>50</v>
      </c>
      <c r="E93" s="32" t="inlineStr">
        <is>
          <t>OneCause</t>
        </is>
      </c>
      <c r="F93" s="34">
        <f>IF(A93="","",IFERROR(INT(A93),"check date"))</f>
        <v/>
      </c>
      <c r="G93" s="35">
        <f>IF(B93="","",IFERROR(INDEX(Students!$A:$A,MATCH(TRIM(B93),Students!$A:$A,0)),"NOT ON LIST"))</f>
        <v/>
      </c>
      <c r="H93" s="35">
        <f>IF(OR(G93="",G93="NOT ON LIST"),"",VLOOKUP(G93,Students!$A:$C,2,FALSE))</f>
        <v/>
      </c>
      <c r="I93" s="35">
        <f>IF(OR(G93="",G93="NOT ON LIST"),"",VLOOKUP(G93,Students!$A:$C,3,FALSE)&amp;"")</f>
        <v/>
      </c>
    </row>
    <row r="94">
      <c r="A94" s="31" t="n">
        <v>46330</v>
      </c>
      <c r="B94" s="32" t="inlineStr">
        <is>
          <t>Isabella Sanchez</t>
        </is>
      </c>
      <c r="C94" s="32" t="inlineStr">
        <is>
          <t>Gabriel Sanchez</t>
        </is>
      </c>
      <c r="D94" s="33" t="n">
        <v>50</v>
      </c>
      <c r="E94" s="32" t="inlineStr">
        <is>
          <t>Check</t>
        </is>
      </c>
      <c r="F94" s="34">
        <f>IF(A94="","",IFERROR(INT(A94),"check date"))</f>
        <v/>
      </c>
      <c r="G94" s="35">
        <f>IF(B94="","",IFERROR(INDEX(Students!$A:$A,MATCH(TRIM(B94),Students!$A:$A,0)),"NOT ON LIST"))</f>
        <v/>
      </c>
      <c r="H94" s="35">
        <f>IF(OR(G94="",G94="NOT ON LIST"),"",VLOOKUP(G94,Students!$A:$C,2,FALSE))</f>
        <v/>
      </c>
      <c r="I94" s="35">
        <f>IF(OR(G94="",G94="NOT ON LIST"),"",VLOOKUP(G94,Students!$A:$C,3,FALSE)&amp;"")</f>
        <v/>
      </c>
    </row>
    <row r="95">
      <c r="A95" s="31" t="n">
        <v>46330</v>
      </c>
      <c r="B95" s="32" t="inlineStr">
        <is>
          <t>Clara Kelly</t>
        </is>
      </c>
      <c r="C95" s="32" t="inlineStr">
        <is>
          <t>Adrian Kelly</t>
        </is>
      </c>
      <c r="D95" s="33" t="n">
        <v>75</v>
      </c>
      <c r="E95" s="32" t="inlineStr">
        <is>
          <t>Check</t>
        </is>
      </c>
      <c r="F95" s="34">
        <f>IF(A95="","",IFERROR(INT(A95),"check date"))</f>
        <v/>
      </c>
      <c r="G95" s="35">
        <f>IF(B95="","",IFERROR(INDEX(Students!$A:$A,MATCH(TRIM(B95),Students!$A:$A,0)),"NOT ON LIST"))</f>
        <v/>
      </c>
      <c r="H95" s="35">
        <f>IF(OR(G95="",G95="NOT ON LIST"),"",VLOOKUP(G95,Students!$A:$C,2,FALSE))</f>
        <v/>
      </c>
      <c r="I95" s="35">
        <f>IF(OR(G95="",G95="NOT ON LIST"),"",VLOOKUP(G95,Students!$A:$C,3,FALSE)&amp;"")</f>
        <v/>
      </c>
    </row>
    <row r="96">
      <c r="A96" s="31" t="n">
        <v>46332.79166666666</v>
      </c>
      <c r="B96" s="32" t="inlineStr">
        <is>
          <t>Henry Patel</t>
        </is>
      </c>
      <c r="C96" s="32" t="inlineStr">
        <is>
          <t>Henry Patel</t>
        </is>
      </c>
      <c r="D96" s="33" t="n">
        <v>25</v>
      </c>
      <c r="E96" s="32" t="inlineStr">
        <is>
          <t>OneCause</t>
        </is>
      </c>
      <c r="F96" s="34">
        <f>IF(A96="","",IFERROR(INT(A96),"check date"))</f>
        <v/>
      </c>
      <c r="G96" s="35">
        <f>IF(B96="","",IFERROR(INDEX(Students!$A:$A,MATCH(TRIM(B96),Students!$A:$A,0)),"NOT ON LIST"))</f>
        <v/>
      </c>
      <c r="H96" s="35">
        <f>IF(OR(G96="",G96="NOT ON LIST"),"",VLOOKUP(G96,Students!$A:$C,2,FALSE))</f>
        <v/>
      </c>
      <c r="I96" s="35">
        <f>IF(OR(G96="",G96="NOT ON LIST"),"",VLOOKUP(G96,Students!$A:$C,3,FALSE)&amp;"")</f>
        <v/>
      </c>
    </row>
    <row r="97">
      <c r="A97" s="31" t="n">
        <v>46333.85416666666</v>
      </c>
      <c r="B97" s="32" t="inlineStr">
        <is>
          <t>Adrian Kelly</t>
        </is>
      </c>
      <c r="C97" s="32" t="inlineStr">
        <is>
          <t>Santiago Kelly</t>
        </is>
      </c>
      <c r="D97" s="33" t="n">
        <v>50</v>
      </c>
      <c r="E97" s="32" t="inlineStr">
        <is>
          <t>OneCause</t>
        </is>
      </c>
      <c r="F97" s="34">
        <f>IF(A97="","",IFERROR(INT(A97),"check date"))</f>
        <v/>
      </c>
      <c r="G97" s="35">
        <f>IF(B97="","",IFERROR(INDEX(Students!$A:$A,MATCH(TRIM(B97),Students!$A:$A,0)),"NOT ON LIST"))</f>
        <v/>
      </c>
      <c r="H97" s="35">
        <f>IF(OR(G97="",G97="NOT ON LIST"),"",VLOOKUP(G97,Students!$A:$C,2,FALSE))</f>
        <v/>
      </c>
      <c r="I97" s="35">
        <f>IF(OR(G97="",G97="NOT ON LIST"),"",VLOOKUP(G97,Students!$A:$C,3,FALSE)&amp;"")</f>
        <v/>
      </c>
    </row>
    <row r="98">
      <c r="A98" s="31" t="n">
        <v>46325</v>
      </c>
      <c r="B98" s="32" t="inlineStr">
        <is>
          <t>Zoe Murphy</t>
        </is>
      </c>
      <c r="C98" s="32" t="inlineStr">
        <is>
          <t>Maya Murphy</t>
        </is>
      </c>
      <c r="D98" s="33" t="n">
        <v>100</v>
      </c>
      <c r="E98" s="32" t="inlineStr">
        <is>
          <t>Cash</t>
        </is>
      </c>
      <c r="F98" s="34">
        <f>IF(A98="","",IFERROR(INT(A98),"check date"))</f>
        <v/>
      </c>
      <c r="G98" s="35">
        <f>IF(B98="","",IFERROR(INDEX(Students!$A:$A,MATCH(TRIM(B98),Students!$A:$A,0)),"NOT ON LIST"))</f>
        <v/>
      </c>
      <c r="H98" s="35">
        <f>IF(OR(G98="",G98="NOT ON LIST"),"",VLOOKUP(G98,Students!$A:$C,2,FALSE))</f>
        <v/>
      </c>
      <c r="I98" s="35">
        <f>IF(OR(G98="",G98="NOT ON LIST"),"",VLOOKUP(G98,Students!$A:$C,3,FALSE)&amp;"")</f>
        <v/>
      </c>
    </row>
    <row r="99">
      <c r="A99" s="31" t="n">
        <v>46329</v>
      </c>
      <c r="B99" s="32" t="inlineStr">
        <is>
          <t>Henry Martinez</t>
        </is>
      </c>
      <c r="C99" s="32" t="inlineStr">
        <is>
          <t>Camila Martinez</t>
        </is>
      </c>
      <c r="D99" s="33" t="n">
        <v>100</v>
      </c>
      <c r="E99" s="32" t="inlineStr">
        <is>
          <t>Check</t>
        </is>
      </c>
      <c r="F99" s="34">
        <f>IF(A99="","",IFERROR(INT(A99),"check date"))</f>
        <v/>
      </c>
      <c r="G99" s="35">
        <f>IF(B99="","",IFERROR(INDEX(Students!$A:$A,MATCH(TRIM(B99),Students!$A:$A,0)),"NOT ON LIST"))</f>
        <v/>
      </c>
      <c r="H99" s="35">
        <f>IF(OR(G99="",G99="NOT ON LIST"),"",VLOOKUP(G99,Students!$A:$C,2,FALSE))</f>
        <v/>
      </c>
      <c r="I99" s="35">
        <f>IF(OR(G99="",G99="NOT ON LIST"),"",VLOOKUP(G99,Students!$A:$C,3,FALSE)&amp;"")</f>
        <v/>
      </c>
    </row>
    <row r="100">
      <c r="A100" s="31" t="n">
        <v>46339.52083333334</v>
      </c>
      <c r="B100" s="32" t="inlineStr">
        <is>
          <t>Evelyn Alvarez</t>
        </is>
      </c>
      <c r="C100" s="32" t="inlineStr">
        <is>
          <t>Santiago Alvarez</t>
        </is>
      </c>
      <c r="D100" s="33" t="n">
        <v>50</v>
      </c>
      <c r="E100" s="32" t="inlineStr">
        <is>
          <t>OneCause</t>
        </is>
      </c>
      <c r="F100" s="34">
        <f>IF(A100="","",IFERROR(INT(A100),"check date"))</f>
        <v/>
      </c>
      <c r="G100" s="35">
        <f>IF(B100="","",IFERROR(INDEX(Students!$A:$A,MATCH(TRIM(B100),Students!$A:$A,0)),"NOT ON LIST"))</f>
        <v/>
      </c>
      <c r="H100" s="35">
        <f>IF(OR(G100="",G100="NOT ON LIST"),"",VLOOKUP(G100,Students!$A:$C,2,FALSE))</f>
        <v/>
      </c>
      <c r="I100" s="35">
        <f>IF(OR(G100="",G100="NOT ON LIST"),"",VLOOKUP(G100,Students!$A:$C,3,FALSE)&amp;"")</f>
        <v/>
      </c>
    </row>
    <row r="101">
      <c r="A101" s="31" t="n">
        <v>46325.83333333334</v>
      </c>
      <c r="B101" s="32" t="inlineStr">
        <is>
          <t>Evelyn Ortiz</t>
        </is>
      </c>
      <c r="C101" s="32" t="inlineStr">
        <is>
          <t>Diego Ortiz</t>
        </is>
      </c>
      <c r="D101" s="33" t="n">
        <v>150</v>
      </c>
      <c r="E101" s="32" t="inlineStr">
        <is>
          <t>OneCause</t>
        </is>
      </c>
      <c r="F101" s="34">
        <f>IF(A101="","",IFERROR(INT(A101),"check date"))</f>
        <v/>
      </c>
      <c r="G101" s="35">
        <f>IF(B101="","",IFERROR(INDEX(Students!$A:$A,MATCH(TRIM(B101),Students!$A:$A,0)),"NOT ON LIST"))</f>
        <v/>
      </c>
      <c r="H101" s="35">
        <f>IF(OR(G101="",G101="NOT ON LIST"),"",VLOOKUP(G101,Students!$A:$C,2,FALSE))</f>
        <v/>
      </c>
      <c r="I101" s="35">
        <f>IF(OR(G101="",G101="NOT ON LIST"),"",VLOOKUP(G101,Students!$A:$C,3,FALSE)&amp;"")</f>
        <v/>
      </c>
    </row>
    <row r="102">
      <c r="A102" s="31" t="n">
        <v>46330.875</v>
      </c>
      <c r="B102" s="32" t="inlineStr">
        <is>
          <t>Evelyn Vasquez</t>
        </is>
      </c>
      <c r="C102" s="32" t="inlineStr">
        <is>
          <t>Leo Vasquez</t>
        </is>
      </c>
      <c r="D102" s="33" t="n">
        <v>50</v>
      </c>
      <c r="E102" s="32" t="inlineStr">
        <is>
          <t>OneCause</t>
        </is>
      </c>
      <c r="F102" s="34">
        <f>IF(A102="","",IFERROR(INT(A102),"check date"))</f>
        <v/>
      </c>
      <c r="G102" s="35">
        <f>IF(B102="","",IFERROR(INDEX(Students!$A:$A,MATCH(TRIM(B102),Students!$A:$A,0)),"NOT ON LIST"))</f>
        <v/>
      </c>
      <c r="H102" s="35">
        <f>IF(OR(G102="",G102="NOT ON LIST"),"",VLOOKUP(G102,Students!$A:$C,2,FALSE))</f>
        <v/>
      </c>
      <c r="I102" s="35">
        <f>IF(OR(G102="",G102="NOT ON LIST"),"",VLOOKUP(G102,Students!$A:$C,3,FALSE)&amp;"")</f>
        <v/>
      </c>
    </row>
    <row r="103">
      <c r="A103" s="31" t="n">
        <v>46339.66666666666</v>
      </c>
      <c r="B103" s="32" t="inlineStr">
        <is>
          <t>Nora Patel</t>
        </is>
      </c>
      <c r="C103" s="32" t="inlineStr">
        <is>
          <t>James Patel</t>
        </is>
      </c>
      <c r="D103" s="33" t="n">
        <v>50</v>
      </c>
      <c r="E103" s="32" t="inlineStr">
        <is>
          <t>OneCause</t>
        </is>
      </c>
      <c r="F103" s="34">
        <f>IF(A103="","",IFERROR(INT(A103),"check date"))</f>
        <v/>
      </c>
      <c r="G103" s="35">
        <f>IF(B103="","",IFERROR(INDEX(Students!$A:$A,MATCH(TRIM(B103),Students!$A:$A,0)),"NOT ON LIST"))</f>
        <v/>
      </c>
      <c r="H103" s="35">
        <f>IF(OR(G103="",G103="NOT ON LIST"),"",VLOOKUP(G103,Students!$A:$C,2,FALSE))</f>
        <v/>
      </c>
      <c r="I103" s="35">
        <f>IF(OR(G103="",G103="NOT ON LIST"),"",VLOOKUP(G103,Students!$A:$C,3,FALSE)&amp;"")</f>
        <v/>
      </c>
    </row>
    <row r="104">
      <c r="A104" s="31" t="n">
        <v>46338.66666666666</v>
      </c>
      <c r="B104" s="32" t="inlineStr">
        <is>
          <t>Mia Vasquez</t>
        </is>
      </c>
      <c r="C104" s="32" t="inlineStr">
        <is>
          <t>Gabriel Vasquez</t>
        </is>
      </c>
      <c r="D104" s="33" t="n">
        <v>20</v>
      </c>
      <c r="E104" s="32" t="inlineStr">
        <is>
          <t>OneCause</t>
        </is>
      </c>
      <c r="F104" s="34">
        <f>IF(A104="","",IFERROR(INT(A104),"check date"))</f>
        <v/>
      </c>
      <c r="G104" s="35">
        <f>IF(B104="","",IFERROR(INDEX(Students!$A:$A,MATCH(TRIM(B104),Students!$A:$A,0)),"NOT ON LIST"))</f>
        <v/>
      </c>
      <c r="H104" s="35">
        <f>IF(OR(G104="",G104="NOT ON LIST"),"",VLOOKUP(G104,Students!$A:$C,2,FALSE))</f>
        <v/>
      </c>
      <c r="I104" s="35">
        <f>IF(OR(G104="",G104="NOT ON LIST"),"",VLOOKUP(G104,Students!$A:$C,3,FALSE)&amp;"")</f>
        <v/>
      </c>
    </row>
    <row r="105">
      <c r="A105" s="31" t="n">
        <v>46336.57291666666</v>
      </c>
      <c r="B105" s="32" t="inlineStr">
        <is>
          <t>Noah Ramirez</t>
        </is>
      </c>
      <c r="C105" s="32" t="inlineStr">
        <is>
          <t>Camila Ramirez</t>
        </is>
      </c>
      <c r="D105" s="33" t="n">
        <v>150</v>
      </c>
      <c r="E105" s="32" t="inlineStr">
        <is>
          <t>OneCause</t>
        </is>
      </c>
      <c r="F105" s="34">
        <f>IF(A105="","",IFERROR(INT(A105),"check date"))</f>
        <v/>
      </c>
      <c r="G105" s="35">
        <f>IF(B105="","",IFERROR(INDEX(Students!$A:$A,MATCH(TRIM(B105),Students!$A:$A,0)),"NOT ON LIST"))</f>
        <v/>
      </c>
      <c r="H105" s="35">
        <f>IF(OR(G105="",G105="NOT ON LIST"),"",VLOOKUP(G105,Students!$A:$C,2,FALSE))</f>
        <v/>
      </c>
      <c r="I105" s="35">
        <f>IF(OR(G105="",G105="NOT ON LIST"),"",VLOOKUP(G105,Students!$A:$C,3,FALSE)&amp;"")</f>
        <v/>
      </c>
    </row>
    <row r="106">
      <c r="A106" s="31" t="n">
        <v>46331.83333333334</v>
      </c>
      <c r="B106" s="32" t="inlineStr">
        <is>
          <t>Evelyn Martinez</t>
        </is>
      </c>
      <c r="C106" s="32" t="inlineStr">
        <is>
          <t>Valentina Martinez</t>
        </is>
      </c>
      <c r="D106" s="33" t="n">
        <v>25</v>
      </c>
      <c r="E106" s="32" t="inlineStr">
        <is>
          <t>OneCause</t>
        </is>
      </c>
      <c r="F106" s="34">
        <f>IF(A106="","",IFERROR(INT(A106),"check date"))</f>
        <v/>
      </c>
      <c r="G106" s="35">
        <f>IF(B106="","",IFERROR(INDEX(Students!$A:$A,MATCH(TRIM(B106),Students!$A:$A,0)),"NOT ON LIST"))</f>
        <v/>
      </c>
      <c r="H106" s="35">
        <f>IF(OR(G106="",G106="NOT ON LIST"),"",VLOOKUP(G106,Students!$A:$C,2,FALSE))</f>
        <v/>
      </c>
      <c r="I106" s="35">
        <f>IF(OR(G106="",G106="NOT ON LIST"),"",VLOOKUP(G106,Students!$A:$C,3,FALSE)&amp;"")</f>
        <v/>
      </c>
    </row>
    <row r="107">
      <c r="A107" s="31" t="n">
        <v>46334.88541666666</v>
      </c>
      <c r="B107" s="32" t="inlineStr">
        <is>
          <t>Adrian Gonzalez</t>
        </is>
      </c>
      <c r="C107" s="32" t="inlineStr">
        <is>
          <t>James Gonzalez</t>
        </is>
      </c>
      <c r="D107" s="33" t="n">
        <v>20</v>
      </c>
      <c r="E107" s="32" t="inlineStr">
        <is>
          <t>OneCause</t>
        </is>
      </c>
      <c r="F107" s="34">
        <f>IF(A107="","",IFERROR(INT(A107),"check date"))</f>
        <v/>
      </c>
      <c r="G107" s="35">
        <f>IF(B107="","",IFERROR(INDEX(Students!$A:$A,MATCH(TRIM(B107),Students!$A:$A,0)),"NOT ON LIST"))</f>
        <v/>
      </c>
      <c r="H107" s="35">
        <f>IF(OR(G107="",G107="NOT ON LIST"),"",VLOOKUP(G107,Students!$A:$C,2,FALSE))</f>
        <v/>
      </c>
      <c r="I107" s="35">
        <f>IF(OR(G107="",G107="NOT ON LIST"),"",VLOOKUP(G107,Students!$A:$C,3,FALSE)&amp;"")</f>
        <v/>
      </c>
    </row>
    <row r="108">
      <c r="A108" s="31" t="n">
        <v>46333.44791666666</v>
      </c>
      <c r="B108" s="32" t="inlineStr">
        <is>
          <t>Adrian Byrne</t>
        </is>
      </c>
      <c r="C108" s="32" t="inlineStr">
        <is>
          <t>Luna Byrne</t>
        </is>
      </c>
      <c r="D108" s="33" t="n">
        <v>40</v>
      </c>
      <c r="E108" s="32" t="inlineStr">
        <is>
          <t>OneCause</t>
        </is>
      </c>
      <c r="F108" s="34">
        <f>IF(A108="","",IFERROR(INT(A108),"check date"))</f>
        <v/>
      </c>
      <c r="G108" s="35">
        <f>IF(B108="","",IFERROR(INDEX(Students!$A:$A,MATCH(TRIM(B108),Students!$A:$A,0)),"NOT ON LIST"))</f>
        <v/>
      </c>
      <c r="H108" s="35">
        <f>IF(OR(G108="",G108="NOT ON LIST"),"",VLOOKUP(G108,Students!$A:$C,2,FALSE))</f>
        <v/>
      </c>
      <c r="I108" s="35">
        <f>IF(OR(G108="",G108="NOT ON LIST"),"",VLOOKUP(G108,Students!$A:$C,3,FALSE)&amp;"")</f>
        <v/>
      </c>
    </row>
    <row r="109">
      <c r="A109" s="31" t="n">
        <v>46337.38541666666</v>
      </c>
      <c r="B109" s="32" t="inlineStr">
        <is>
          <t>Evelyn Torres</t>
        </is>
      </c>
      <c r="C109" s="32" t="inlineStr">
        <is>
          <t>Joseph Torres</t>
        </is>
      </c>
      <c r="D109" s="33" t="n">
        <v>75</v>
      </c>
      <c r="E109" s="32" t="inlineStr">
        <is>
          <t>OneCause</t>
        </is>
      </c>
      <c r="F109" s="34">
        <f>IF(A109="","",IFERROR(INT(A109),"check date"))</f>
        <v/>
      </c>
      <c r="G109" s="35">
        <f>IF(B109="","",IFERROR(INDEX(Students!$A:$A,MATCH(TRIM(B109),Students!$A:$A,0)),"NOT ON LIST"))</f>
        <v/>
      </c>
      <c r="H109" s="35">
        <f>IF(OR(G109="",G109="NOT ON LIST"),"",VLOOKUP(G109,Students!$A:$C,2,FALSE))</f>
        <v/>
      </c>
      <c r="I109" s="35">
        <f>IF(OR(G109="",G109="NOT ON LIST"),"",VLOOKUP(G109,Students!$A:$C,3,FALSE)&amp;"")</f>
        <v/>
      </c>
    </row>
    <row r="110">
      <c r="A110" s="31" t="n">
        <v>46336.41666666666</v>
      </c>
      <c r="B110" s="32" t="inlineStr">
        <is>
          <t>Zoe Murphy</t>
        </is>
      </c>
      <c r="C110" s="32" t="inlineStr">
        <is>
          <t>Chloe Murphy</t>
        </is>
      </c>
      <c r="D110" s="33" t="n">
        <v>100</v>
      </c>
      <c r="E110" s="32" t="inlineStr">
        <is>
          <t>OneCause</t>
        </is>
      </c>
      <c r="F110" s="34">
        <f>IF(A110="","",IFERROR(INT(A110),"check date"))</f>
        <v/>
      </c>
      <c r="G110" s="35">
        <f>IF(B110="","",IFERROR(INDEX(Students!$A:$A,MATCH(TRIM(B110),Students!$A:$A,0)),"NOT ON LIST"))</f>
        <v/>
      </c>
      <c r="H110" s="35">
        <f>IF(OR(G110="",G110="NOT ON LIST"),"",VLOOKUP(G110,Students!$A:$C,2,FALSE))</f>
        <v/>
      </c>
      <c r="I110" s="35">
        <f>IF(OR(G110="",G110="NOT ON LIST"),"",VLOOKUP(G110,Students!$A:$C,3,FALSE)&amp;"")</f>
        <v/>
      </c>
    </row>
    <row r="111">
      <c r="A111" s="31" t="n">
        <v>46338.71875</v>
      </c>
      <c r="B111" s="32" t="inlineStr">
        <is>
          <t>Emma Walsh</t>
        </is>
      </c>
      <c r="C111" s="32" t="inlineStr">
        <is>
          <t>Thomas Walsh</t>
        </is>
      </c>
      <c r="D111" s="33" t="n">
        <v>20</v>
      </c>
      <c r="E111" s="32" t="inlineStr">
        <is>
          <t>OneCause</t>
        </is>
      </c>
      <c r="F111" s="34">
        <f>IF(A111="","",IFERROR(INT(A111),"check date"))</f>
        <v/>
      </c>
      <c r="G111" s="35">
        <f>IF(B111="","",IFERROR(INDEX(Students!$A:$A,MATCH(TRIM(B111),Students!$A:$A,0)),"NOT ON LIST"))</f>
        <v/>
      </c>
      <c r="H111" s="35">
        <f>IF(OR(G111="",G111="NOT ON LIST"),"",VLOOKUP(G111,Students!$A:$C,2,FALSE))</f>
        <v/>
      </c>
      <c r="I111" s="35">
        <f>IF(OR(G111="",G111="NOT ON LIST"),"",VLOOKUP(G111,Students!$A:$C,3,FALSE)&amp;"")</f>
        <v/>
      </c>
    </row>
    <row r="112">
      <c r="A112" s="31" t="n">
        <v>46336.58333333334</v>
      </c>
      <c r="B112" s="32" t="inlineStr">
        <is>
          <t>Lucas Ruiz</t>
        </is>
      </c>
      <c r="C112" s="32" t="inlineStr">
        <is>
          <t>Camila Ruiz</t>
        </is>
      </c>
      <c r="D112" s="33" t="n">
        <v>25</v>
      </c>
      <c r="E112" s="32" t="inlineStr">
        <is>
          <t>OneCause</t>
        </is>
      </c>
      <c r="F112" s="34">
        <f>IF(A112="","",IFERROR(INT(A112),"check date"))</f>
        <v/>
      </c>
      <c r="G112" s="35">
        <f>IF(B112="","",IFERROR(INDEX(Students!$A:$A,MATCH(TRIM(B112),Students!$A:$A,0)),"NOT ON LIST"))</f>
        <v/>
      </c>
      <c r="H112" s="35">
        <f>IF(OR(G112="",G112="NOT ON LIST"),"",VLOOKUP(G112,Students!$A:$C,2,FALSE))</f>
        <v/>
      </c>
      <c r="I112" s="35">
        <f>IF(OR(G112="",G112="NOT ON LIST"),"",VLOOKUP(G112,Students!$A:$C,3,FALSE)&amp;"")</f>
        <v/>
      </c>
    </row>
    <row r="113">
      <c r="A113" s="31" t="n">
        <v>46335.72916666666</v>
      </c>
      <c r="B113" s="32" t="inlineStr">
        <is>
          <t>Clara Flores</t>
        </is>
      </c>
      <c r="C113" s="32" t="inlineStr">
        <is>
          <t>Isabella Flores</t>
        </is>
      </c>
      <c r="D113" s="33" t="n">
        <v>75</v>
      </c>
      <c r="E113" s="32" t="inlineStr">
        <is>
          <t>OneCause</t>
        </is>
      </c>
      <c r="F113" s="34">
        <f>IF(A113="","",IFERROR(INT(A113),"check date"))</f>
        <v/>
      </c>
      <c r="G113" s="35">
        <f>IF(B113="","",IFERROR(INDEX(Students!$A:$A,MATCH(TRIM(B113),Students!$A:$A,0)),"NOT ON LIST"))</f>
        <v/>
      </c>
      <c r="H113" s="35">
        <f>IF(OR(G113="",G113="NOT ON LIST"),"",VLOOKUP(G113,Students!$A:$C,2,FALSE))</f>
        <v/>
      </c>
      <c r="I113" s="35">
        <f>IF(OR(G113="",G113="NOT ON LIST"),"",VLOOKUP(G113,Students!$A:$C,3,FALSE)&amp;"")</f>
        <v/>
      </c>
    </row>
    <row r="114">
      <c r="A114" s="31" t="n">
        <v>46335.60416666666</v>
      </c>
      <c r="B114" s="32" t="inlineStr">
        <is>
          <t>Diego Johnson</t>
        </is>
      </c>
      <c r="C114" s="32" t="inlineStr">
        <is>
          <t>Evelyn Johnson</t>
        </is>
      </c>
      <c r="D114" s="33" t="n">
        <v>75</v>
      </c>
      <c r="E114" s="32" t="inlineStr">
        <is>
          <t>OneCause</t>
        </is>
      </c>
      <c r="F114" s="34">
        <f>IF(A114="","",IFERROR(INT(A114),"check date"))</f>
        <v/>
      </c>
      <c r="G114" s="35">
        <f>IF(B114="","",IFERROR(INDEX(Students!$A:$A,MATCH(TRIM(B114),Students!$A:$A,0)),"NOT ON LIST"))</f>
        <v/>
      </c>
      <c r="H114" s="35">
        <f>IF(OR(G114="",G114="NOT ON LIST"),"",VLOOKUP(G114,Students!$A:$C,2,FALSE))</f>
        <v/>
      </c>
      <c r="I114" s="35">
        <f>IF(OR(G114="",G114="NOT ON LIST"),"",VLOOKUP(G114,Students!$A:$C,3,FALSE)&amp;"")</f>
        <v/>
      </c>
    </row>
    <row r="115">
      <c r="A115" s="31" t="n">
        <v>46339</v>
      </c>
      <c r="B115" s="32" t="inlineStr">
        <is>
          <t>Isabella Nguyen</t>
        </is>
      </c>
      <c r="C115" s="32" t="inlineStr">
        <is>
          <t>Benjamin Nguyen</t>
        </is>
      </c>
      <c r="D115" s="33" t="n">
        <v>100</v>
      </c>
      <c r="E115" s="32" t="inlineStr">
        <is>
          <t>Cash</t>
        </is>
      </c>
      <c r="F115" s="34">
        <f>IF(A115="","",IFERROR(INT(A115),"check date"))</f>
        <v/>
      </c>
      <c r="G115" s="35">
        <f>IF(B115="","",IFERROR(INDEX(Students!$A:$A,MATCH(TRIM(B115),Students!$A:$A,0)),"NOT ON LIST"))</f>
        <v/>
      </c>
      <c r="H115" s="35">
        <f>IF(OR(G115="",G115="NOT ON LIST"),"",VLOOKUP(G115,Students!$A:$C,2,FALSE))</f>
        <v/>
      </c>
      <c r="I115" s="35">
        <f>IF(OR(G115="",G115="NOT ON LIST"),"",VLOOKUP(G115,Students!$A:$C,3,FALSE)&amp;"")</f>
        <v/>
      </c>
    </row>
    <row r="116">
      <c r="A116" s="31" t="n">
        <v>46336.39583333334</v>
      </c>
      <c r="B116" s="32" t="inlineStr">
        <is>
          <t>Lucas Ruiz</t>
        </is>
      </c>
      <c r="C116" s="32" t="inlineStr">
        <is>
          <t>Aria Ruiz</t>
        </is>
      </c>
      <c r="D116" s="33" t="n">
        <v>100</v>
      </c>
      <c r="E116" s="32" t="inlineStr">
        <is>
          <t>OneCause</t>
        </is>
      </c>
      <c r="F116" s="34">
        <f>IF(A116="","",IFERROR(INT(A116),"check date"))</f>
        <v/>
      </c>
      <c r="G116" s="35">
        <f>IF(B116="","",IFERROR(INDEX(Students!$A:$A,MATCH(TRIM(B116),Students!$A:$A,0)),"NOT ON LIST"))</f>
        <v/>
      </c>
      <c r="H116" s="35">
        <f>IF(OR(G116="",G116="NOT ON LIST"),"",VLOOKUP(G116,Students!$A:$C,2,FALSE))</f>
        <v/>
      </c>
      <c r="I116" s="35">
        <f>IF(OR(G116="",G116="NOT ON LIST"),"",VLOOKUP(G116,Students!$A:$C,3,FALSE)&amp;"")</f>
        <v/>
      </c>
    </row>
    <row r="117">
      <c r="A117" s="31" t="n">
        <v>46339</v>
      </c>
      <c r="B117" s="32" t="inlineStr">
        <is>
          <t>Mateo Martinez</t>
        </is>
      </c>
      <c r="C117" s="32" t="inlineStr">
        <is>
          <t>Elena Martinez</t>
        </is>
      </c>
      <c r="D117" s="33" t="n">
        <v>25</v>
      </c>
      <c r="E117" s="32" t="inlineStr">
        <is>
          <t>Check</t>
        </is>
      </c>
      <c r="F117" s="34">
        <f>IF(A117="","",IFERROR(INT(A117),"check date"))</f>
        <v/>
      </c>
      <c r="G117" s="35">
        <f>IF(B117="","",IFERROR(INDEX(Students!$A:$A,MATCH(TRIM(B117),Students!$A:$A,0)),"NOT ON LIST"))</f>
        <v/>
      </c>
      <c r="H117" s="35">
        <f>IF(OR(G117="",G117="NOT ON LIST"),"",VLOOKUP(G117,Students!$A:$C,2,FALSE))</f>
        <v/>
      </c>
      <c r="I117" s="35">
        <f>IF(OR(G117="",G117="NOT ON LIST"),"",VLOOKUP(G117,Students!$A:$C,3,FALSE)&amp;"")</f>
        <v/>
      </c>
    </row>
    <row r="118">
      <c r="A118" s="31" t="n">
        <v>46338.48958333334</v>
      </c>
      <c r="B118" s="32" t="inlineStr">
        <is>
          <t>Evelyn Gomez</t>
        </is>
      </c>
      <c r="C118" s="32" t="inlineStr">
        <is>
          <t>Camila Gomez</t>
        </is>
      </c>
      <c r="D118" s="33" t="n">
        <v>25</v>
      </c>
      <c r="E118" s="32" t="inlineStr">
        <is>
          <t>OneCause</t>
        </is>
      </c>
      <c r="F118" s="34">
        <f>IF(A118="","",IFERROR(INT(A118),"check date"))</f>
        <v/>
      </c>
      <c r="G118" s="35">
        <f>IF(B118="","",IFERROR(INDEX(Students!$A:$A,MATCH(TRIM(B118),Students!$A:$A,0)),"NOT ON LIST"))</f>
        <v/>
      </c>
      <c r="H118" s="35">
        <f>IF(OR(G118="",G118="NOT ON LIST"),"",VLOOKUP(G118,Students!$A:$C,2,FALSE))</f>
        <v/>
      </c>
      <c r="I118" s="35">
        <f>IF(OR(G118="",G118="NOT ON LIST"),"",VLOOKUP(G118,Students!$A:$C,3,FALSE)&amp;"")</f>
        <v/>
      </c>
    </row>
    <row r="119">
      <c r="A119" s="31" t="n">
        <v>46327.40625</v>
      </c>
      <c r="B119" s="32" t="inlineStr">
        <is>
          <t>Zoe Murphy</t>
        </is>
      </c>
      <c r="C119" s="32" t="inlineStr">
        <is>
          <t>Chloe Murphy</t>
        </is>
      </c>
      <c r="D119" s="33" t="n">
        <v>20</v>
      </c>
      <c r="E119" s="32" t="inlineStr">
        <is>
          <t>OneCause</t>
        </is>
      </c>
      <c r="F119" s="34">
        <f>IF(A119="","",IFERROR(INT(A119),"check date"))</f>
        <v/>
      </c>
      <c r="G119" s="35">
        <f>IF(B119="","",IFERROR(INDEX(Students!$A:$A,MATCH(TRIM(B119),Students!$A:$A,0)),"NOT ON LIST"))</f>
        <v/>
      </c>
      <c r="H119" s="35">
        <f>IF(OR(G119="",G119="NOT ON LIST"),"",VLOOKUP(G119,Students!$A:$C,2,FALSE))</f>
        <v/>
      </c>
      <c r="I119" s="35">
        <f>IF(OR(G119="",G119="NOT ON LIST"),"",VLOOKUP(G119,Students!$A:$C,3,FALSE)&amp;"")</f>
        <v/>
      </c>
    </row>
    <row r="120">
      <c r="A120" s="31" t="n">
        <v>46335.65625</v>
      </c>
      <c r="B120" s="32" t="inlineStr">
        <is>
          <t>Olivia Cruz</t>
        </is>
      </c>
      <c r="C120" s="32" t="inlineStr">
        <is>
          <t>Henry Cruz</t>
        </is>
      </c>
      <c r="D120" s="33" t="n">
        <v>50</v>
      </c>
      <c r="E120" s="32" t="inlineStr">
        <is>
          <t>OneCause</t>
        </is>
      </c>
      <c r="F120" s="34">
        <f>IF(A120="","",IFERROR(INT(A120),"check date"))</f>
        <v/>
      </c>
      <c r="G120" s="35">
        <f>IF(B120="","",IFERROR(INDEX(Students!$A:$A,MATCH(TRIM(B120),Students!$A:$A,0)),"NOT ON LIST"))</f>
        <v/>
      </c>
      <c r="H120" s="35">
        <f>IF(OR(G120="",G120="NOT ON LIST"),"",VLOOKUP(G120,Students!$A:$C,2,FALSE))</f>
        <v/>
      </c>
      <c r="I120" s="35">
        <f>IF(OR(G120="",G120="NOT ON LIST"),"",VLOOKUP(G120,Students!$A:$C,3,FALSE)&amp;"")</f>
        <v/>
      </c>
    </row>
    <row r="121">
      <c r="A121" s="31" t="n">
        <v>46329.59375</v>
      </c>
      <c r="B121" s="32" t="inlineStr">
        <is>
          <t>Ella Lopez</t>
        </is>
      </c>
      <c r="C121" s="32" t="inlineStr">
        <is>
          <t>Luna Lopez</t>
        </is>
      </c>
      <c r="D121" s="33" t="n">
        <v>25</v>
      </c>
      <c r="E121" s="32" t="inlineStr">
        <is>
          <t>OneCause</t>
        </is>
      </c>
      <c r="F121" s="34">
        <f>IF(A121="","",IFERROR(INT(A121),"check date"))</f>
        <v/>
      </c>
      <c r="G121" s="35">
        <f>IF(B121="","",IFERROR(INDEX(Students!$A:$A,MATCH(TRIM(B121),Students!$A:$A,0)),"NOT ON LIST"))</f>
        <v/>
      </c>
      <c r="H121" s="35">
        <f>IF(OR(G121="",G121="NOT ON LIST"),"",VLOOKUP(G121,Students!$A:$C,2,FALSE))</f>
        <v/>
      </c>
      <c r="I121" s="35">
        <f>IF(OR(G121="",G121="NOT ON LIST"),"",VLOOKUP(G121,Students!$A:$C,3,FALSE)&amp;"")</f>
        <v/>
      </c>
    </row>
    <row r="122">
      <c r="A122" s="31" t="n">
        <v>46326.69791666666</v>
      </c>
      <c r="B122" s="32" t="inlineStr">
        <is>
          <t>Daniel Cruz</t>
        </is>
      </c>
      <c r="C122" s="32" t="inlineStr">
        <is>
          <t>Grace Cruz</t>
        </is>
      </c>
      <c r="D122" s="33" t="n">
        <v>50</v>
      </c>
      <c r="E122" s="32" t="inlineStr">
        <is>
          <t>OneCause</t>
        </is>
      </c>
      <c r="F122" s="34">
        <f>IF(A122="","",IFERROR(INT(A122),"check date"))</f>
        <v/>
      </c>
      <c r="G122" s="35">
        <f>IF(B122="","",IFERROR(INDEX(Students!$A:$A,MATCH(TRIM(B122),Students!$A:$A,0)),"NOT ON LIST"))</f>
        <v/>
      </c>
      <c r="H122" s="35">
        <f>IF(OR(G122="",G122="NOT ON LIST"),"",VLOOKUP(G122,Students!$A:$C,2,FALSE))</f>
        <v/>
      </c>
      <c r="I122" s="35">
        <f>IF(OR(G122="",G122="NOT ON LIST"),"",VLOOKUP(G122,Students!$A:$C,3,FALSE)&amp;"")</f>
        <v/>
      </c>
    </row>
    <row r="123">
      <c r="A123" s="31" t="n">
        <v>46331.78125</v>
      </c>
      <c r="B123" s="32" t="inlineStr">
        <is>
          <t>Mia Kim</t>
        </is>
      </c>
      <c r="C123" s="32" t="inlineStr">
        <is>
          <t>Evelyn Kim</t>
        </is>
      </c>
      <c r="D123" s="33" t="n">
        <v>20</v>
      </c>
      <c r="E123" s="32" t="inlineStr">
        <is>
          <t>OneCause</t>
        </is>
      </c>
      <c r="F123" s="34">
        <f>IF(A123="","",IFERROR(INT(A123),"check date"))</f>
        <v/>
      </c>
      <c r="G123" s="35">
        <f>IF(B123="","",IFERROR(INDEX(Students!$A:$A,MATCH(TRIM(B123),Students!$A:$A,0)),"NOT ON LIST"))</f>
        <v/>
      </c>
      <c r="H123" s="35">
        <f>IF(OR(G123="",G123="NOT ON LIST"),"",VLOOKUP(G123,Students!$A:$C,2,FALSE))</f>
        <v/>
      </c>
      <c r="I123" s="35">
        <f>IF(OR(G123="",G123="NOT ON LIST"),"",VLOOKUP(G123,Students!$A:$C,3,FALSE)&amp;"")</f>
        <v/>
      </c>
    </row>
    <row r="124">
      <c r="A124" s="31" t="n">
        <v>46338.34375</v>
      </c>
      <c r="B124" s="32" t="inlineStr">
        <is>
          <t>Chloe Patel</t>
        </is>
      </c>
      <c r="C124" s="32" t="inlineStr">
        <is>
          <t>Maya Patel</t>
        </is>
      </c>
      <c r="D124" s="33" t="n">
        <v>50</v>
      </c>
      <c r="E124" s="32" t="inlineStr">
        <is>
          <t>OneCause</t>
        </is>
      </c>
      <c r="F124" s="34">
        <f>IF(A124="","",IFERROR(INT(A124),"check date"))</f>
        <v/>
      </c>
      <c r="G124" s="35">
        <f>IF(B124="","",IFERROR(INDEX(Students!$A:$A,MATCH(TRIM(B124),Students!$A:$A,0)),"NOT ON LIST"))</f>
        <v/>
      </c>
      <c r="H124" s="35">
        <f>IF(OR(G124="",G124="NOT ON LIST"),"",VLOOKUP(G124,Students!$A:$C,2,FALSE))</f>
        <v/>
      </c>
      <c r="I124" s="35">
        <f>IF(OR(G124="",G124="NOT ON LIST"),"",VLOOKUP(G124,Students!$A:$C,3,FALSE)&amp;"")</f>
        <v/>
      </c>
    </row>
    <row r="125">
      <c r="A125" s="31" t="n">
        <v>46332.5</v>
      </c>
      <c r="B125" s="32" t="inlineStr">
        <is>
          <t>Evelyn Alvarez</t>
        </is>
      </c>
      <c r="C125" s="32" t="inlineStr">
        <is>
          <t>Amelia Alvarez</t>
        </is>
      </c>
      <c r="D125" s="33" t="n">
        <v>50</v>
      </c>
      <c r="E125" s="32" t="inlineStr">
        <is>
          <t>OneCause</t>
        </is>
      </c>
      <c r="F125" s="34">
        <f>IF(A125="","",IFERROR(INT(A125),"check date"))</f>
        <v/>
      </c>
      <c r="G125" s="35">
        <f>IF(B125="","",IFERROR(INDEX(Students!$A:$A,MATCH(TRIM(B125),Students!$A:$A,0)),"NOT ON LIST"))</f>
        <v/>
      </c>
      <c r="H125" s="35">
        <f>IF(OR(G125="",G125="NOT ON LIST"),"",VLOOKUP(G125,Students!$A:$C,2,FALSE))</f>
        <v/>
      </c>
      <c r="I125" s="35">
        <f>IF(OR(G125="",G125="NOT ON LIST"),"",VLOOKUP(G125,Students!$A:$C,3,FALSE)&amp;"")</f>
        <v/>
      </c>
    </row>
    <row r="126">
      <c r="A126" s="31" t="n">
        <v>46328</v>
      </c>
      <c r="B126" s="32" t="inlineStr">
        <is>
          <t>Samuel Perez</t>
        </is>
      </c>
      <c r="C126" s="32" t="inlineStr">
        <is>
          <t>Leo Perez</t>
        </is>
      </c>
      <c r="D126" s="33" t="n">
        <v>10</v>
      </c>
      <c r="E126" s="32" t="inlineStr">
        <is>
          <t>Check</t>
        </is>
      </c>
      <c r="F126" s="34">
        <f>IF(A126="","",IFERROR(INT(A126),"check date"))</f>
        <v/>
      </c>
      <c r="G126" s="35">
        <f>IF(B126="","",IFERROR(INDEX(Students!$A:$A,MATCH(TRIM(B126),Students!$A:$A,0)),"NOT ON LIST"))</f>
        <v/>
      </c>
      <c r="H126" s="35">
        <f>IF(OR(G126="",G126="NOT ON LIST"),"",VLOOKUP(G126,Students!$A:$C,2,FALSE))</f>
        <v/>
      </c>
      <c r="I126" s="35">
        <f>IF(OR(G126="",G126="NOT ON LIST"),"",VLOOKUP(G126,Students!$A:$C,3,FALSE)&amp;"")</f>
        <v/>
      </c>
    </row>
    <row r="127">
      <c r="A127" s="31" t="n">
        <v>46335.4375</v>
      </c>
      <c r="B127" s="32" t="inlineStr">
        <is>
          <t>Amelia Vasquez</t>
        </is>
      </c>
      <c r="C127" s="32" t="inlineStr">
        <is>
          <t>Adrian Vasquez</t>
        </is>
      </c>
      <c r="D127" s="33" t="n">
        <v>50</v>
      </c>
      <c r="E127" s="32" t="inlineStr">
        <is>
          <t>OneCause</t>
        </is>
      </c>
      <c r="F127" s="34">
        <f>IF(A127="","",IFERROR(INT(A127),"check date"))</f>
        <v/>
      </c>
      <c r="G127" s="35">
        <f>IF(B127="","",IFERROR(INDEX(Students!$A:$A,MATCH(TRIM(B127),Students!$A:$A,0)),"NOT ON LIST"))</f>
        <v/>
      </c>
      <c r="H127" s="35">
        <f>IF(OR(G127="",G127="NOT ON LIST"),"",VLOOKUP(G127,Students!$A:$C,2,FALSE))</f>
        <v/>
      </c>
      <c r="I127" s="35">
        <f>IF(OR(G127="",G127="NOT ON LIST"),"",VLOOKUP(G127,Students!$A:$C,3,FALSE)&amp;"")</f>
        <v/>
      </c>
    </row>
    <row r="128">
      <c r="A128" s="31" t="n">
        <v>46328.875</v>
      </c>
      <c r="B128" s="32" t="inlineStr">
        <is>
          <t>Lucas Mendoza</t>
        </is>
      </c>
      <c r="C128" s="32" t="inlineStr">
        <is>
          <t>Henry Mendoza</t>
        </is>
      </c>
      <c r="D128" s="33" t="n">
        <v>10</v>
      </c>
      <c r="E128" s="32" t="inlineStr">
        <is>
          <t>OneCause</t>
        </is>
      </c>
      <c r="F128" s="34">
        <f>IF(A128="","",IFERROR(INT(A128),"check date"))</f>
        <v/>
      </c>
      <c r="G128" s="35">
        <f>IF(B128="","",IFERROR(INDEX(Students!$A:$A,MATCH(TRIM(B128),Students!$A:$A,0)),"NOT ON LIST"))</f>
        <v/>
      </c>
      <c r="H128" s="35">
        <f>IF(OR(G128="",G128="NOT ON LIST"),"",VLOOKUP(G128,Students!$A:$C,2,FALSE))</f>
        <v/>
      </c>
      <c r="I128" s="35">
        <f>IF(OR(G128="",G128="NOT ON LIST"),"",VLOOKUP(G128,Students!$A:$C,3,FALSE)&amp;"")</f>
        <v/>
      </c>
    </row>
    <row r="129">
      <c r="A129" s="31" t="n">
        <v>46337</v>
      </c>
      <c r="B129" s="32" t="inlineStr">
        <is>
          <t>Samuel Ramirez</t>
        </is>
      </c>
      <c r="C129" s="32" t="inlineStr">
        <is>
          <t>Diego Ramirez</t>
        </is>
      </c>
      <c r="D129" s="33" t="n">
        <v>150</v>
      </c>
      <c r="E129" s="32" t="inlineStr">
        <is>
          <t>Check</t>
        </is>
      </c>
      <c r="F129" s="34">
        <f>IF(A129="","",IFERROR(INT(A129),"check date"))</f>
        <v/>
      </c>
      <c r="G129" s="35">
        <f>IF(B129="","",IFERROR(INDEX(Students!$A:$A,MATCH(TRIM(B129),Students!$A:$A,0)),"NOT ON LIST"))</f>
        <v/>
      </c>
      <c r="H129" s="35">
        <f>IF(OR(G129="",G129="NOT ON LIST"),"",VLOOKUP(G129,Students!$A:$C,2,FALSE))</f>
        <v/>
      </c>
      <c r="I129" s="35">
        <f>IF(OR(G129="",G129="NOT ON LIST"),"",VLOOKUP(G129,Students!$A:$C,3,FALSE)&amp;"")</f>
        <v/>
      </c>
    </row>
    <row r="130">
      <c r="A130" s="31" t="n">
        <v>46335.90625</v>
      </c>
      <c r="B130" s="32" t="inlineStr">
        <is>
          <t>Grace Garcia</t>
        </is>
      </c>
      <c r="C130" s="32" t="inlineStr">
        <is>
          <t>Emma Garcia</t>
        </is>
      </c>
      <c r="D130" s="33" t="n">
        <v>75</v>
      </c>
      <c r="E130" s="32" t="inlineStr">
        <is>
          <t>OneCause</t>
        </is>
      </c>
      <c r="F130" s="34">
        <f>IF(A130="","",IFERROR(INT(A130),"check date"))</f>
        <v/>
      </c>
      <c r="G130" s="35">
        <f>IF(B130="","",IFERROR(INDEX(Students!$A:$A,MATCH(TRIM(B130),Students!$A:$A,0)),"NOT ON LIST"))</f>
        <v/>
      </c>
      <c r="H130" s="35">
        <f>IF(OR(G130="",G130="NOT ON LIST"),"",VLOOKUP(G130,Students!$A:$C,2,FALSE))</f>
        <v/>
      </c>
      <c r="I130" s="35">
        <f>IF(OR(G130="",G130="NOT ON LIST"),"",VLOOKUP(G130,Students!$A:$C,3,FALSE)&amp;"")</f>
        <v/>
      </c>
    </row>
    <row r="131">
      <c r="A131" s="31" t="n">
        <v>46326</v>
      </c>
      <c r="B131" s="32" t="inlineStr">
        <is>
          <t>Grace Gomez</t>
        </is>
      </c>
      <c r="C131" s="32" t="inlineStr">
        <is>
          <t>Amelia Gomez</t>
        </is>
      </c>
      <c r="D131" s="33" t="n">
        <v>50</v>
      </c>
      <c r="E131" s="32" t="inlineStr">
        <is>
          <t>Cash</t>
        </is>
      </c>
      <c r="F131" s="34">
        <f>IF(A131="","",IFERROR(INT(A131),"check date"))</f>
        <v/>
      </c>
      <c r="G131" s="35">
        <f>IF(B131="","",IFERROR(INDEX(Students!$A:$A,MATCH(TRIM(B131),Students!$A:$A,0)),"NOT ON LIST"))</f>
        <v/>
      </c>
      <c r="H131" s="35">
        <f>IF(OR(G131="",G131="NOT ON LIST"),"",VLOOKUP(G131,Students!$A:$C,2,FALSE))</f>
        <v/>
      </c>
      <c r="I131" s="35">
        <f>IF(OR(G131="",G131="NOT ON LIST"),"",VLOOKUP(G131,Students!$A:$C,3,FALSE)&amp;"")</f>
        <v/>
      </c>
    </row>
    <row r="132">
      <c r="A132" s="31" t="n">
        <v>46327.55208333334</v>
      </c>
      <c r="B132" s="32" t="inlineStr">
        <is>
          <t>Lily Morales</t>
        </is>
      </c>
      <c r="C132" s="32" t="inlineStr">
        <is>
          <t>Liam Morales</t>
        </is>
      </c>
      <c r="D132" s="33" t="n">
        <v>25</v>
      </c>
      <c r="E132" s="32" t="inlineStr">
        <is>
          <t>OneCause</t>
        </is>
      </c>
      <c r="F132" s="34">
        <f>IF(A132="","",IFERROR(INT(A132),"check date"))</f>
        <v/>
      </c>
      <c r="G132" s="35">
        <f>IF(B132="","",IFERROR(INDEX(Students!$A:$A,MATCH(TRIM(B132),Students!$A:$A,0)),"NOT ON LIST"))</f>
        <v/>
      </c>
      <c r="H132" s="35">
        <f>IF(OR(G132="",G132="NOT ON LIST"),"",VLOOKUP(G132,Students!$A:$C,2,FALSE))</f>
        <v/>
      </c>
      <c r="I132" s="35">
        <f>IF(OR(G132="",G132="NOT ON LIST"),"",VLOOKUP(G132,Students!$A:$C,3,FALSE)&amp;"")</f>
        <v/>
      </c>
    </row>
    <row r="133">
      <c r="A133" s="31" t="n">
        <v>46333</v>
      </c>
      <c r="B133" s="32" t="inlineStr">
        <is>
          <t>Leo Gutierrez</t>
        </is>
      </c>
      <c r="C133" s="32" t="inlineStr">
        <is>
          <t>Evelyn Gutierrez</t>
        </is>
      </c>
      <c r="D133" s="33" t="n">
        <v>40</v>
      </c>
      <c r="E133" s="32" t="inlineStr">
        <is>
          <t>Cash</t>
        </is>
      </c>
      <c r="F133" s="34">
        <f>IF(A133="","",IFERROR(INT(A133),"check date"))</f>
        <v/>
      </c>
      <c r="G133" s="35">
        <f>IF(B133="","",IFERROR(INDEX(Students!$A:$A,MATCH(TRIM(B133),Students!$A:$A,0)),"NOT ON LIST"))</f>
        <v/>
      </c>
      <c r="H133" s="35">
        <f>IF(OR(G133="",G133="NOT ON LIST"),"",VLOOKUP(G133,Students!$A:$C,2,FALSE))</f>
        <v/>
      </c>
      <c r="I133" s="35">
        <f>IF(OR(G133="",G133="NOT ON LIST"),"",VLOOKUP(G133,Students!$A:$C,3,FALSE)&amp;"")</f>
        <v/>
      </c>
    </row>
    <row r="134">
      <c r="A134" s="31" t="n">
        <v>46335</v>
      </c>
      <c r="B134" s="32" t="inlineStr">
        <is>
          <t>James Martinez</t>
        </is>
      </c>
      <c r="C134" s="32" t="inlineStr">
        <is>
          <t>Lily Martinez</t>
        </is>
      </c>
      <c r="D134" s="33" t="n">
        <v>20</v>
      </c>
      <c r="E134" s="32" t="inlineStr">
        <is>
          <t>Cash</t>
        </is>
      </c>
      <c r="F134" s="34">
        <f>IF(A134="","",IFERROR(INT(A134),"check date"))</f>
        <v/>
      </c>
      <c r="G134" s="35">
        <f>IF(B134="","",IFERROR(INDEX(Students!$A:$A,MATCH(TRIM(B134),Students!$A:$A,0)),"NOT ON LIST"))</f>
        <v/>
      </c>
      <c r="H134" s="35">
        <f>IF(OR(G134="",G134="NOT ON LIST"),"",VLOOKUP(G134,Students!$A:$C,2,FALSE))</f>
        <v/>
      </c>
      <c r="I134" s="35">
        <f>IF(OR(G134="",G134="NOT ON LIST"),"",VLOOKUP(G134,Students!$A:$C,3,FALSE)&amp;"")</f>
        <v/>
      </c>
    </row>
    <row r="135">
      <c r="A135" s="31" t="n">
        <v>46325.36458333334</v>
      </c>
      <c r="B135" s="32" t="inlineStr">
        <is>
          <t>James Ruiz</t>
        </is>
      </c>
      <c r="C135" s="32" t="inlineStr">
        <is>
          <t>Isabella Ruiz</t>
        </is>
      </c>
      <c r="D135" s="33" t="n">
        <v>20</v>
      </c>
      <c r="E135" s="32" t="inlineStr">
        <is>
          <t>OneCause</t>
        </is>
      </c>
      <c r="F135" s="34">
        <f>IF(A135="","",IFERROR(INT(A135),"check date"))</f>
        <v/>
      </c>
      <c r="G135" s="35">
        <f>IF(B135="","",IFERROR(INDEX(Students!$A:$A,MATCH(TRIM(B135),Students!$A:$A,0)),"NOT ON LIST"))</f>
        <v/>
      </c>
      <c r="H135" s="35">
        <f>IF(OR(G135="",G135="NOT ON LIST"),"",VLOOKUP(G135,Students!$A:$C,2,FALSE))</f>
        <v/>
      </c>
      <c r="I135" s="35">
        <f>IF(OR(G135="",G135="NOT ON LIST"),"",VLOOKUP(G135,Students!$A:$C,3,FALSE)&amp;"")</f>
        <v/>
      </c>
    </row>
    <row r="136">
      <c r="A136" s="31" t="n">
        <v>46330.69791666666</v>
      </c>
      <c r="B136" s="32" t="inlineStr">
        <is>
          <t>Nicolas Chavez</t>
        </is>
      </c>
      <c r="C136" s="32" t="inlineStr">
        <is>
          <t>Luna Chavez</t>
        </is>
      </c>
      <c r="D136" s="33" t="n">
        <v>25</v>
      </c>
      <c r="E136" s="32" t="inlineStr">
        <is>
          <t>OneCause</t>
        </is>
      </c>
      <c r="F136" s="34">
        <f>IF(A136="","",IFERROR(INT(A136),"check date"))</f>
        <v/>
      </c>
      <c r="G136" s="35">
        <f>IF(B136="","",IFERROR(INDEX(Students!$A:$A,MATCH(TRIM(B136),Students!$A:$A,0)),"NOT ON LIST"))</f>
        <v/>
      </c>
      <c r="H136" s="35">
        <f>IF(OR(G136="",G136="NOT ON LIST"),"",VLOOKUP(G136,Students!$A:$C,2,FALSE))</f>
        <v/>
      </c>
      <c r="I136" s="35">
        <f>IF(OR(G136="",G136="NOT ON LIST"),"",VLOOKUP(G136,Students!$A:$C,3,FALSE)&amp;"")</f>
        <v/>
      </c>
    </row>
    <row r="137">
      <c r="A137" s="31" t="n">
        <v>46328</v>
      </c>
      <c r="B137" s="32" t="inlineStr">
        <is>
          <t>Lucas Garcia</t>
        </is>
      </c>
      <c r="C137" s="32" t="inlineStr">
        <is>
          <t>Aria Garcia</t>
        </is>
      </c>
      <c r="D137" s="33" t="n">
        <v>75</v>
      </c>
      <c r="E137" s="32" t="inlineStr">
        <is>
          <t>Cash</t>
        </is>
      </c>
      <c r="F137" s="34">
        <f>IF(A137="","",IFERROR(INT(A137),"check date"))</f>
        <v/>
      </c>
      <c r="G137" s="35">
        <f>IF(B137="","",IFERROR(INDEX(Students!$A:$A,MATCH(TRIM(B137),Students!$A:$A,0)),"NOT ON LIST"))</f>
        <v/>
      </c>
      <c r="H137" s="35">
        <f>IF(OR(G137="",G137="NOT ON LIST"),"",VLOOKUP(G137,Students!$A:$C,2,FALSE))</f>
        <v/>
      </c>
      <c r="I137" s="35">
        <f>IF(OR(G137="",G137="NOT ON LIST"),"",VLOOKUP(G137,Students!$A:$C,3,FALSE)&amp;"")</f>
        <v/>
      </c>
    </row>
    <row r="138">
      <c r="A138" s="31" t="n">
        <v>46330.625</v>
      </c>
      <c r="B138" s="32" t="inlineStr">
        <is>
          <t>Lucas Patel</t>
        </is>
      </c>
      <c r="C138" s="32" t="inlineStr">
        <is>
          <t>Elijah Patel</t>
        </is>
      </c>
      <c r="D138" s="33" t="n">
        <v>25</v>
      </c>
      <c r="E138" s="32" t="inlineStr">
        <is>
          <t>OneCause</t>
        </is>
      </c>
      <c r="F138" s="34">
        <f>IF(A138="","",IFERROR(INT(A138),"check date"))</f>
        <v/>
      </c>
      <c r="G138" s="35">
        <f>IF(B138="","",IFERROR(INDEX(Students!$A:$A,MATCH(TRIM(B138),Students!$A:$A,0)),"NOT ON LIST"))</f>
        <v/>
      </c>
      <c r="H138" s="35">
        <f>IF(OR(G138="",G138="NOT ON LIST"),"",VLOOKUP(G138,Students!$A:$C,2,FALSE))</f>
        <v/>
      </c>
      <c r="I138" s="35">
        <f>IF(OR(G138="",G138="NOT ON LIST"),"",VLOOKUP(G138,Students!$A:$C,3,FALSE)&amp;"")</f>
        <v/>
      </c>
    </row>
    <row r="139">
      <c r="A139" s="31" t="n">
        <v>46332</v>
      </c>
      <c r="B139" s="32" t="inlineStr">
        <is>
          <t>Nicolas Lopez</t>
        </is>
      </c>
      <c r="C139" s="32" t="inlineStr">
        <is>
          <t>Clara Lopez</t>
        </is>
      </c>
      <c r="D139" s="33" t="n">
        <v>20</v>
      </c>
      <c r="E139" s="32" t="inlineStr">
        <is>
          <t>Check</t>
        </is>
      </c>
      <c r="F139" s="34">
        <f>IF(A139="","",IFERROR(INT(A139),"check date"))</f>
        <v/>
      </c>
      <c r="G139" s="35">
        <f>IF(B139="","",IFERROR(INDEX(Students!$A:$A,MATCH(TRIM(B139),Students!$A:$A,0)),"NOT ON LIST"))</f>
        <v/>
      </c>
      <c r="H139" s="35">
        <f>IF(OR(G139="",G139="NOT ON LIST"),"",VLOOKUP(G139,Students!$A:$C,2,FALSE))</f>
        <v/>
      </c>
      <c r="I139" s="35">
        <f>IF(OR(G139="",G139="NOT ON LIST"),"",VLOOKUP(G139,Students!$A:$C,3,FALSE)&amp;"")</f>
        <v/>
      </c>
    </row>
    <row r="140">
      <c r="A140" s="31" t="n">
        <v>46338.63541666666</v>
      </c>
      <c r="B140" s="32" t="inlineStr">
        <is>
          <t>Adrian Byrne</t>
        </is>
      </c>
      <c r="C140" s="32" t="inlineStr">
        <is>
          <t>Diego Byrne</t>
        </is>
      </c>
      <c r="D140" s="33" t="n">
        <v>150</v>
      </c>
      <c r="E140" s="32" t="inlineStr">
        <is>
          <t>OneCause</t>
        </is>
      </c>
      <c r="F140" s="34">
        <f>IF(A140="","",IFERROR(INT(A140),"check date"))</f>
        <v/>
      </c>
      <c r="G140" s="35">
        <f>IF(B140="","",IFERROR(INDEX(Students!$A:$A,MATCH(TRIM(B140),Students!$A:$A,0)),"NOT ON LIST"))</f>
        <v/>
      </c>
      <c r="H140" s="35">
        <f>IF(OR(G140="",G140="NOT ON LIST"),"",VLOOKUP(G140,Students!$A:$C,2,FALSE))</f>
        <v/>
      </c>
      <c r="I140" s="35">
        <f>IF(OR(G140="",G140="NOT ON LIST"),"",VLOOKUP(G140,Students!$A:$C,3,FALSE)&amp;"")</f>
        <v/>
      </c>
    </row>
    <row r="141">
      <c r="A141" s="31" t="n">
        <v>46330.34375</v>
      </c>
      <c r="B141" s="32" t="inlineStr">
        <is>
          <t>Valentina Hernandez</t>
        </is>
      </c>
      <c r="C141" s="32" t="inlineStr">
        <is>
          <t>Olivia Hernandez</t>
        </is>
      </c>
      <c r="D141" s="33" t="n">
        <v>50</v>
      </c>
      <c r="E141" s="32" t="inlineStr">
        <is>
          <t>OneCause</t>
        </is>
      </c>
      <c r="F141" s="34">
        <f>IF(A141="","",IFERROR(INT(A141),"check date"))</f>
        <v/>
      </c>
      <c r="G141" s="35">
        <f>IF(B141="","",IFERROR(INDEX(Students!$A:$A,MATCH(TRIM(B141),Students!$A:$A,0)),"NOT ON LIST"))</f>
        <v/>
      </c>
      <c r="H141" s="35">
        <f>IF(OR(G141="",G141="NOT ON LIST"),"",VLOOKUP(G141,Students!$A:$C,2,FALSE))</f>
        <v/>
      </c>
      <c r="I141" s="35">
        <f>IF(OR(G141="",G141="NOT ON LIST"),"",VLOOKUP(G141,Students!$A:$C,3,FALSE)&amp;"")</f>
        <v/>
      </c>
    </row>
    <row r="142">
      <c r="A142" s="31" t="n">
        <v>46338.42708333334</v>
      </c>
      <c r="B142" s="32" t="inlineStr">
        <is>
          <t>Liam Diaz</t>
        </is>
      </c>
      <c r="C142" s="32" t="inlineStr">
        <is>
          <t>Isabella Diaz</t>
        </is>
      </c>
      <c r="D142" s="33" t="n">
        <v>25</v>
      </c>
      <c r="E142" s="32" t="inlineStr">
        <is>
          <t>OneCause</t>
        </is>
      </c>
      <c r="F142" s="34">
        <f>IF(A142="","",IFERROR(INT(A142),"check date"))</f>
        <v/>
      </c>
      <c r="G142" s="35">
        <f>IF(B142="","",IFERROR(INDEX(Students!$A:$A,MATCH(TRIM(B142),Students!$A:$A,0)),"NOT ON LIST"))</f>
        <v/>
      </c>
      <c r="H142" s="35">
        <f>IF(OR(G142="",G142="NOT ON LIST"),"",VLOOKUP(G142,Students!$A:$C,2,FALSE))</f>
        <v/>
      </c>
      <c r="I142" s="35">
        <f>IF(OR(G142="",G142="NOT ON LIST"),"",VLOOKUP(G142,Students!$A:$C,3,FALSE)&amp;"")</f>
        <v/>
      </c>
    </row>
    <row r="143">
      <c r="A143" s="31" t="n">
        <v>46327.5</v>
      </c>
      <c r="B143" s="32" t="inlineStr">
        <is>
          <t>Henry Alvarez</t>
        </is>
      </c>
      <c r="C143" s="32" t="inlineStr">
        <is>
          <t>Nicolas Alvarez</t>
        </is>
      </c>
      <c r="D143" s="33" t="n">
        <v>150</v>
      </c>
      <c r="E143" s="32" t="inlineStr">
        <is>
          <t>OneCause</t>
        </is>
      </c>
      <c r="F143" s="34">
        <f>IF(A143="","",IFERROR(INT(A143),"check date"))</f>
        <v/>
      </c>
      <c r="G143" s="35">
        <f>IF(B143="","",IFERROR(INDEX(Students!$A:$A,MATCH(TRIM(B143),Students!$A:$A,0)),"NOT ON LIST"))</f>
        <v/>
      </c>
      <c r="H143" s="35">
        <f>IF(OR(G143="",G143="NOT ON LIST"),"",VLOOKUP(G143,Students!$A:$C,2,FALSE))</f>
        <v/>
      </c>
      <c r="I143" s="35">
        <f>IF(OR(G143="",G143="NOT ON LIST"),"",VLOOKUP(G143,Students!$A:$C,3,FALSE)&amp;"")</f>
        <v/>
      </c>
    </row>
    <row r="144">
      <c r="A144" s="31" t="n">
        <v>46333.39583333334</v>
      </c>
      <c r="B144" s="32" t="inlineStr">
        <is>
          <t>David Chavez</t>
        </is>
      </c>
      <c r="C144" s="32" t="inlineStr">
        <is>
          <t>Zoe Chavez</t>
        </is>
      </c>
      <c r="D144" s="33" t="n">
        <v>20</v>
      </c>
      <c r="E144" s="32" t="inlineStr">
        <is>
          <t>OneCause</t>
        </is>
      </c>
      <c r="F144" s="34">
        <f>IF(A144="","",IFERROR(INT(A144),"check date"))</f>
        <v/>
      </c>
      <c r="G144" s="35">
        <f>IF(B144="","",IFERROR(INDEX(Students!$A:$A,MATCH(TRIM(B144),Students!$A:$A,0)),"NOT ON LIST"))</f>
        <v/>
      </c>
      <c r="H144" s="35">
        <f>IF(OR(G144="",G144="NOT ON LIST"),"",VLOOKUP(G144,Students!$A:$C,2,FALSE))</f>
        <v/>
      </c>
      <c r="I144" s="35">
        <f>IF(OR(G144="",G144="NOT ON LIST"),"",VLOOKUP(G144,Students!$A:$C,3,FALSE)&amp;"")</f>
        <v/>
      </c>
    </row>
    <row r="145">
      <c r="A145" s="31" t="n">
        <v>46339</v>
      </c>
      <c r="B145" s="32" t="inlineStr">
        <is>
          <t>Joseph Walsh</t>
        </is>
      </c>
      <c r="C145" s="32" t="inlineStr">
        <is>
          <t>Gabriel Walsh</t>
        </is>
      </c>
      <c r="D145" s="33" t="n">
        <v>20</v>
      </c>
      <c r="E145" s="32" t="inlineStr">
        <is>
          <t>Check</t>
        </is>
      </c>
      <c r="F145" s="34">
        <f>IF(A145="","",IFERROR(INT(A145),"check date"))</f>
        <v/>
      </c>
      <c r="G145" s="35">
        <f>IF(B145="","",IFERROR(INDEX(Students!$A:$A,MATCH(TRIM(B145),Students!$A:$A,0)),"NOT ON LIST"))</f>
        <v/>
      </c>
      <c r="H145" s="35">
        <f>IF(OR(G145="",G145="NOT ON LIST"),"",VLOOKUP(G145,Students!$A:$C,2,FALSE))</f>
        <v/>
      </c>
      <c r="I145" s="35">
        <f>IF(OR(G145="",G145="NOT ON LIST"),"",VLOOKUP(G145,Students!$A:$C,3,FALSE)&amp;"")</f>
        <v/>
      </c>
    </row>
    <row r="146">
      <c r="A146" s="31" t="n">
        <v>46326.77083333334</v>
      </c>
      <c r="B146" s="32" t="inlineStr">
        <is>
          <t>Leo Johnson</t>
        </is>
      </c>
      <c r="C146" s="32" t="inlineStr">
        <is>
          <t>Zoe Johnson</t>
        </is>
      </c>
      <c r="D146" s="33" t="n">
        <v>20</v>
      </c>
      <c r="E146" s="32" t="inlineStr">
        <is>
          <t>OneCause</t>
        </is>
      </c>
      <c r="F146" s="34">
        <f>IF(A146="","",IFERROR(INT(A146),"check date"))</f>
        <v/>
      </c>
      <c r="G146" s="35">
        <f>IF(B146="","",IFERROR(INDEX(Students!$A:$A,MATCH(TRIM(B146),Students!$A:$A,0)),"NOT ON LIST"))</f>
        <v/>
      </c>
      <c r="H146" s="35">
        <f>IF(OR(G146="",G146="NOT ON LIST"),"",VLOOKUP(G146,Students!$A:$C,2,FALSE))</f>
        <v/>
      </c>
      <c r="I146" s="35">
        <f>IF(OR(G146="",G146="NOT ON LIST"),"",VLOOKUP(G146,Students!$A:$C,3,FALSE)&amp;"")</f>
        <v/>
      </c>
    </row>
    <row r="147">
      <c r="A147" s="31" t="n">
        <v>46329.44791666666</v>
      </c>
      <c r="B147" s="32" t="inlineStr">
        <is>
          <t>Evelyn Diaz</t>
        </is>
      </c>
      <c r="C147" s="32" t="inlineStr">
        <is>
          <t>Benjamin Diaz</t>
        </is>
      </c>
      <c r="D147" s="33" t="n">
        <v>20</v>
      </c>
      <c r="E147" s="32" t="inlineStr">
        <is>
          <t>OneCause</t>
        </is>
      </c>
      <c r="F147" s="34">
        <f>IF(A147="","",IFERROR(INT(A147),"check date"))</f>
        <v/>
      </c>
      <c r="G147" s="35">
        <f>IF(B147="","",IFERROR(INDEX(Students!$A:$A,MATCH(TRIM(B147),Students!$A:$A,0)),"NOT ON LIST"))</f>
        <v/>
      </c>
      <c r="H147" s="35">
        <f>IF(OR(G147="",G147="NOT ON LIST"),"",VLOOKUP(G147,Students!$A:$C,2,FALSE))</f>
        <v/>
      </c>
      <c r="I147" s="35">
        <f>IF(OR(G147="",G147="NOT ON LIST"),"",VLOOKUP(G147,Students!$A:$C,3,FALSE)&amp;"")</f>
        <v/>
      </c>
    </row>
    <row r="148">
      <c r="A148" s="31" t="n">
        <v>46336.57291666666</v>
      </c>
      <c r="B148" s="32" t="inlineStr">
        <is>
          <t>Sofia Gutierrez</t>
        </is>
      </c>
      <c r="C148" s="32" t="inlineStr">
        <is>
          <t>Santiago Gutierrez</t>
        </is>
      </c>
      <c r="D148" s="33" t="n">
        <v>50</v>
      </c>
      <c r="E148" s="32" t="inlineStr">
        <is>
          <t>OneCause</t>
        </is>
      </c>
      <c r="F148" s="34">
        <f>IF(A148="","",IFERROR(INT(A148),"check date"))</f>
        <v/>
      </c>
      <c r="G148" s="35">
        <f>IF(B148="","",IFERROR(INDEX(Students!$A:$A,MATCH(TRIM(B148),Students!$A:$A,0)),"NOT ON LIST"))</f>
        <v/>
      </c>
      <c r="H148" s="35">
        <f>IF(OR(G148="",G148="NOT ON LIST"),"",VLOOKUP(G148,Students!$A:$C,2,FALSE))</f>
        <v/>
      </c>
      <c r="I148" s="35">
        <f>IF(OR(G148="",G148="NOT ON LIST"),"",VLOOKUP(G148,Students!$A:$C,3,FALSE)&amp;"")</f>
        <v/>
      </c>
    </row>
    <row r="149">
      <c r="A149" s="31" t="n">
        <v>46336.83333333334</v>
      </c>
      <c r="B149" s="32" t="inlineStr">
        <is>
          <t>Julian Sullivan</t>
        </is>
      </c>
      <c r="C149" s="32" t="inlineStr">
        <is>
          <t>Ava Sullivan</t>
        </is>
      </c>
      <c r="D149" s="33" t="n">
        <v>40</v>
      </c>
      <c r="E149" s="32" t="inlineStr">
        <is>
          <t>OneCause</t>
        </is>
      </c>
      <c r="F149" s="34">
        <f>IF(A149="","",IFERROR(INT(A149),"check date"))</f>
        <v/>
      </c>
      <c r="G149" s="35">
        <f>IF(B149="","",IFERROR(INDEX(Students!$A:$A,MATCH(TRIM(B149),Students!$A:$A,0)),"NOT ON LIST"))</f>
        <v/>
      </c>
      <c r="H149" s="35">
        <f>IF(OR(G149="",G149="NOT ON LIST"),"",VLOOKUP(G149,Students!$A:$C,2,FALSE))</f>
        <v/>
      </c>
      <c r="I149" s="35">
        <f>IF(OR(G149="",G149="NOT ON LIST"),"",VLOOKUP(G149,Students!$A:$C,3,FALSE)&amp;"")</f>
        <v/>
      </c>
    </row>
    <row r="150">
      <c r="A150" s="31" t="n">
        <v>46339.57291666666</v>
      </c>
      <c r="B150" s="32" t="inlineStr">
        <is>
          <t>Gabriel Cruz</t>
        </is>
      </c>
      <c r="C150" s="32" t="inlineStr">
        <is>
          <t>Isabella Cruz</t>
        </is>
      </c>
      <c r="D150" s="33" t="n">
        <v>20</v>
      </c>
      <c r="E150" s="32" t="inlineStr">
        <is>
          <t>OneCause</t>
        </is>
      </c>
      <c r="F150" s="34">
        <f>IF(A150="","",IFERROR(INT(A150),"check date"))</f>
        <v/>
      </c>
      <c r="G150" s="35">
        <f>IF(B150="","",IFERROR(INDEX(Students!$A:$A,MATCH(TRIM(B150),Students!$A:$A,0)),"NOT ON LIST"))</f>
        <v/>
      </c>
      <c r="H150" s="35">
        <f>IF(OR(G150="",G150="NOT ON LIST"),"",VLOOKUP(G150,Students!$A:$C,2,FALSE))</f>
        <v/>
      </c>
      <c r="I150" s="35">
        <f>IF(OR(G150="",G150="NOT ON LIST"),"",VLOOKUP(G150,Students!$A:$C,3,FALSE)&amp;"")</f>
        <v/>
      </c>
    </row>
    <row r="151">
      <c r="A151" s="31" t="n">
        <v>46326.85416666666</v>
      </c>
      <c r="B151" s="32" t="inlineStr">
        <is>
          <t>Henry Patel</t>
        </is>
      </c>
      <c r="C151" s="32" t="inlineStr">
        <is>
          <t>Adrian Patel</t>
        </is>
      </c>
      <c r="D151" s="33" t="n">
        <v>50</v>
      </c>
      <c r="E151" s="32" t="inlineStr">
        <is>
          <t>OneCause</t>
        </is>
      </c>
      <c r="F151" s="34">
        <f>IF(A151="","",IFERROR(INT(A151),"check date"))</f>
        <v/>
      </c>
      <c r="G151" s="35">
        <f>IF(B151="","",IFERROR(INDEX(Students!$A:$A,MATCH(TRIM(B151),Students!$A:$A,0)),"NOT ON LIST"))</f>
        <v/>
      </c>
      <c r="H151" s="35">
        <f>IF(OR(G151="",G151="NOT ON LIST"),"",VLOOKUP(G151,Students!$A:$C,2,FALSE))</f>
        <v/>
      </c>
      <c r="I151" s="35">
        <f>IF(OR(G151="",G151="NOT ON LIST"),"",VLOOKUP(G151,Students!$A:$C,3,FALSE)&amp;"")</f>
        <v/>
      </c>
    </row>
    <row r="152">
      <c r="A152" s="31" t="n">
        <v>46325.40625</v>
      </c>
      <c r="B152" s="32" t="inlineStr">
        <is>
          <t>Ella Diaz</t>
        </is>
      </c>
      <c r="C152" s="32" t="inlineStr">
        <is>
          <t>Camila Diaz</t>
        </is>
      </c>
      <c r="D152" s="33" t="n">
        <v>10</v>
      </c>
      <c r="E152" s="32" t="inlineStr">
        <is>
          <t>OneCause</t>
        </is>
      </c>
      <c r="F152" s="34">
        <f>IF(A152="","",IFERROR(INT(A152),"check date"))</f>
        <v/>
      </c>
      <c r="G152" s="35">
        <f>IF(B152="","",IFERROR(INDEX(Students!$A:$A,MATCH(TRIM(B152),Students!$A:$A,0)),"NOT ON LIST"))</f>
        <v/>
      </c>
      <c r="H152" s="35">
        <f>IF(OR(G152="",G152="NOT ON LIST"),"",VLOOKUP(G152,Students!$A:$C,2,FALSE))</f>
        <v/>
      </c>
      <c r="I152" s="35">
        <f>IF(OR(G152="",G152="NOT ON LIST"),"",VLOOKUP(G152,Students!$A:$C,3,FALSE)&amp;"")</f>
        <v/>
      </c>
    </row>
    <row r="153">
      <c r="A153" s="31" t="n">
        <v>46330.8125</v>
      </c>
      <c r="B153" s="32" t="inlineStr">
        <is>
          <t>Benjamin Patel</t>
        </is>
      </c>
      <c r="C153" s="32" t="inlineStr">
        <is>
          <t>Noah Patel</t>
        </is>
      </c>
      <c r="D153" s="33" t="n">
        <v>40</v>
      </c>
      <c r="E153" s="32" t="inlineStr">
        <is>
          <t>OneCause</t>
        </is>
      </c>
      <c r="F153" s="34">
        <f>IF(A153="","",IFERROR(INT(A153),"check date"))</f>
        <v/>
      </c>
      <c r="G153" s="35">
        <f>IF(B153="","",IFERROR(INDEX(Students!$A:$A,MATCH(TRIM(B153),Students!$A:$A,0)),"NOT ON LIST"))</f>
        <v/>
      </c>
      <c r="H153" s="35">
        <f>IF(OR(G153="",G153="NOT ON LIST"),"",VLOOKUP(G153,Students!$A:$C,2,FALSE))</f>
        <v/>
      </c>
      <c r="I153" s="35">
        <f>IF(OR(G153="",G153="NOT ON LIST"),"",VLOOKUP(G153,Students!$A:$C,3,FALSE)&amp;"")</f>
        <v/>
      </c>
    </row>
    <row r="154">
      <c r="A154" s="31" t="n">
        <v>46336.58333333334</v>
      </c>
      <c r="B154" s="32" t="inlineStr">
        <is>
          <t>Zoe Johnson</t>
        </is>
      </c>
      <c r="C154" s="32" t="inlineStr">
        <is>
          <t>Harper Johnson</t>
        </is>
      </c>
      <c r="D154" s="33" t="n">
        <v>25</v>
      </c>
      <c r="E154" s="32" t="inlineStr">
        <is>
          <t>OneCause</t>
        </is>
      </c>
      <c r="F154" s="34">
        <f>IF(A154="","",IFERROR(INT(A154),"check date"))</f>
        <v/>
      </c>
      <c r="G154" s="35">
        <f>IF(B154="","",IFERROR(INDEX(Students!$A:$A,MATCH(TRIM(B154),Students!$A:$A,0)),"NOT ON LIST"))</f>
        <v/>
      </c>
      <c r="H154" s="35">
        <f>IF(OR(G154="",G154="NOT ON LIST"),"",VLOOKUP(G154,Students!$A:$C,2,FALSE))</f>
        <v/>
      </c>
      <c r="I154" s="35">
        <f>IF(OR(G154="",G154="NOT ON LIST"),"",VLOOKUP(G154,Students!$A:$C,3,FALSE)&amp;"")</f>
        <v/>
      </c>
    </row>
    <row r="155">
      <c r="A155" s="31" t="n">
        <v>46339.69791666666</v>
      </c>
      <c r="B155" s="32" t="inlineStr">
        <is>
          <t>Grace Johnson</t>
        </is>
      </c>
      <c r="C155" s="32" t="inlineStr">
        <is>
          <t>Zoe Johnson</t>
        </is>
      </c>
      <c r="D155" s="33" t="n">
        <v>10</v>
      </c>
      <c r="E155" s="32" t="inlineStr">
        <is>
          <t>OneCause</t>
        </is>
      </c>
      <c r="F155" s="34">
        <f>IF(A155="","",IFERROR(INT(A155),"check date"))</f>
        <v/>
      </c>
      <c r="G155" s="35">
        <f>IF(B155="","",IFERROR(INDEX(Students!$A:$A,MATCH(TRIM(B155),Students!$A:$A,0)),"NOT ON LIST"))</f>
        <v/>
      </c>
      <c r="H155" s="35">
        <f>IF(OR(G155="",G155="NOT ON LIST"),"",VLOOKUP(G155,Students!$A:$C,2,FALSE))</f>
        <v/>
      </c>
      <c r="I155" s="35">
        <f>IF(OR(G155="",G155="NOT ON LIST"),"",VLOOKUP(G155,Students!$A:$C,3,FALSE)&amp;"")</f>
        <v/>
      </c>
    </row>
    <row r="156">
      <c r="A156" s="31" t="n">
        <v>46327.75</v>
      </c>
      <c r="B156" s="32" t="inlineStr">
        <is>
          <t>Diego Ortiz</t>
        </is>
      </c>
      <c r="C156" s="32" t="inlineStr">
        <is>
          <t>Thomas Ortiz</t>
        </is>
      </c>
      <c r="D156" s="33" t="n">
        <v>50</v>
      </c>
      <c r="E156" s="32" t="inlineStr">
        <is>
          <t>OneCause</t>
        </is>
      </c>
      <c r="F156" s="34">
        <f>IF(A156="","",IFERROR(INT(A156),"check date"))</f>
        <v/>
      </c>
      <c r="G156" s="35">
        <f>IF(B156="","",IFERROR(INDEX(Students!$A:$A,MATCH(TRIM(B156),Students!$A:$A,0)),"NOT ON LIST"))</f>
        <v/>
      </c>
      <c r="H156" s="35">
        <f>IF(OR(G156="",G156="NOT ON LIST"),"",VLOOKUP(G156,Students!$A:$C,2,FALSE))</f>
        <v/>
      </c>
      <c r="I156" s="35">
        <f>IF(OR(G156="",G156="NOT ON LIST"),"",VLOOKUP(G156,Students!$A:$C,3,FALSE)&amp;"")</f>
        <v/>
      </c>
    </row>
    <row r="157">
      <c r="A157" s="31" t="n">
        <v>46325.65625</v>
      </c>
      <c r="B157" s="32" t="inlineStr">
        <is>
          <t>Diego O'Brien</t>
        </is>
      </c>
      <c r="C157" s="32" t="inlineStr">
        <is>
          <t>Harper O'Brien</t>
        </is>
      </c>
      <c r="D157" s="33" t="n">
        <v>25</v>
      </c>
      <c r="E157" s="32" t="inlineStr">
        <is>
          <t>OneCause</t>
        </is>
      </c>
      <c r="F157" s="34">
        <f>IF(A157="","",IFERROR(INT(A157),"check date"))</f>
        <v/>
      </c>
      <c r="G157" s="35">
        <f>IF(B157="","",IFERROR(INDEX(Students!$A:$A,MATCH(TRIM(B157),Students!$A:$A,0)),"NOT ON LIST"))</f>
        <v/>
      </c>
      <c r="H157" s="35">
        <f>IF(OR(G157="",G157="NOT ON LIST"),"",VLOOKUP(G157,Students!$A:$C,2,FALSE))</f>
        <v/>
      </c>
      <c r="I157" s="35">
        <f>IF(OR(G157="",G157="NOT ON LIST"),"",VLOOKUP(G157,Students!$A:$C,3,FALSE)&amp;"")</f>
        <v/>
      </c>
    </row>
    <row r="158">
      <c r="A158" s="31" t="n">
        <v>46339.65625</v>
      </c>
      <c r="B158" s="32" t="inlineStr">
        <is>
          <t>Evelyn Nguyen</t>
        </is>
      </c>
      <c r="C158" s="32" t="inlineStr">
        <is>
          <t>Emma Nguyen</t>
        </is>
      </c>
      <c r="D158" s="33" t="n">
        <v>50</v>
      </c>
      <c r="E158" s="32" t="inlineStr">
        <is>
          <t>OneCause</t>
        </is>
      </c>
      <c r="F158" s="34">
        <f>IF(A158="","",IFERROR(INT(A158),"check date"))</f>
        <v/>
      </c>
      <c r="G158" s="35">
        <f>IF(B158="","",IFERROR(INDEX(Students!$A:$A,MATCH(TRIM(B158),Students!$A:$A,0)),"NOT ON LIST"))</f>
        <v/>
      </c>
      <c r="H158" s="35">
        <f>IF(OR(G158="",G158="NOT ON LIST"),"",VLOOKUP(G158,Students!$A:$C,2,FALSE))</f>
        <v/>
      </c>
      <c r="I158" s="35">
        <f>IF(OR(G158="",G158="NOT ON LIST"),"",VLOOKUP(G158,Students!$A:$C,3,FALSE)&amp;"")</f>
        <v/>
      </c>
    </row>
    <row r="159">
      <c r="A159" s="31" t="n">
        <v>46336.85416666666</v>
      </c>
      <c r="B159" s="32" t="inlineStr">
        <is>
          <t>Noah Gutierrez</t>
        </is>
      </c>
      <c r="C159" s="32" t="inlineStr">
        <is>
          <t>Adrian Gutierrez</t>
        </is>
      </c>
      <c r="D159" s="33" t="n">
        <v>20</v>
      </c>
      <c r="E159" s="32" t="inlineStr">
        <is>
          <t>OneCause</t>
        </is>
      </c>
      <c r="F159" s="34">
        <f>IF(A159="","",IFERROR(INT(A159),"check date"))</f>
        <v/>
      </c>
      <c r="G159" s="35">
        <f>IF(B159="","",IFERROR(INDEX(Students!$A:$A,MATCH(TRIM(B159),Students!$A:$A,0)),"NOT ON LIST"))</f>
        <v/>
      </c>
      <c r="H159" s="35">
        <f>IF(OR(G159="",G159="NOT ON LIST"),"",VLOOKUP(G159,Students!$A:$C,2,FALSE))</f>
        <v/>
      </c>
      <c r="I159" s="35">
        <f>IF(OR(G159="",G159="NOT ON LIST"),"",VLOOKUP(G159,Students!$A:$C,3,FALSE)&amp;"")</f>
        <v/>
      </c>
    </row>
    <row r="160">
      <c r="A160" s="31" t="n">
        <v>46331.625</v>
      </c>
      <c r="B160" s="32" t="inlineStr">
        <is>
          <t>Joseph Walsh</t>
        </is>
      </c>
      <c r="C160" s="32" t="inlineStr">
        <is>
          <t>Olivia Walsh</t>
        </is>
      </c>
      <c r="D160" s="33" t="n">
        <v>25</v>
      </c>
      <c r="E160" s="32" t="inlineStr">
        <is>
          <t>OneCause</t>
        </is>
      </c>
      <c r="F160" s="34">
        <f>IF(A160="","",IFERROR(INT(A160),"check date"))</f>
        <v/>
      </c>
      <c r="G160" s="35">
        <f>IF(B160="","",IFERROR(INDEX(Students!$A:$A,MATCH(TRIM(B160),Students!$A:$A,0)),"NOT ON LIST"))</f>
        <v/>
      </c>
      <c r="H160" s="35">
        <f>IF(OR(G160="",G160="NOT ON LIST"),"",VLOOKUP(G160,Students!$A:$C,2,FALSE))</f>
        <v/>
      </c>
      <c r="I160" s="35">
        <f>IF(OR(G160="",G160="NOT ON LIST"),"",VLOOKUP(G160,Students!$A:$C,3,FALSE)&amp;"")</f>
        <v/>
      </c>
    </row>
    <row r="161">
      <c r="A161" s="31" t="n">
        <v>46332.67708333334</v>
      </c>
      <c r="B161" s="32" t="inlineStr">
        <is>
          <t>Joseph Kelly</t>
        </is>
      </c>
      <c r="C161" s="32" t="inlineStr">
        <is>
          <t>Samuel Kelly</t>
        </is>
      </c>
      <c r="D161" s="33" t="n">
        <v>10</v>
      </c>
      <c r="E161" s="32" t="inlineStr">
        <is>
          <t>OneCause</t>
        </is>
      </c>
      <c r="F161" s="34">
        <f>IF(A161="","",IFERROR(INT(A161),"check date"))</f>
        <v/>
      </c>
      <c r="G161" s="35">
        <f>IF(B161="","",IFERROR(INDEX(Students!$A:$A,MATCH(TRIM(B161),Students!$A:$A,0)),"NOT ON LIST"))</f>
        <v/>
      </c>
      <c r="H161" s="35">
        <f>IF(OR(G161="",G161="NOT ON LIST"),"",VLOOKUP(G161,Students!$A:$C,2,FALSE))</f>
        <v/>
      </c>
      <c r="I161" s="35">
        <f>IF(OR(G161="",G161="NOT ON LIST"),"",VLOOKUP(G161,Students!$A:$C,3,FALSE)&amp;"")</f>
        <v/>
      </c>
    </row>
    <row r="162">
      <c r="A162" s="31" t="n">
        <v>46332.40625</v>
      </c>
      <c r="B162" s="32" t="inlineStr">
        <is>
          <t>Isabella Smith</t>
        </is>
      </c>
      <c r="C162" s="32" t="inlineStr">
        <is>
          <t>Leo Smith</t>
        </is>
      </c>
      <c r="D162" s="33" t="n">
        <v>25</v>
      </c>
      <c r="E162" s="32" t="inlineStr">
        <is>
          <t>OneCause</t>
        </is>
      </c>
      <c r="F162" s="34">
        <f>IF(A162="","",IFERROR(INT(A162),"check date"))</f>
        <v/>
      </c>
      <c r="G162" s="35">
        <f>IF(B162="","",IFERROR(INDEX(Students!$A:$A,MATCH(TRIM(B162),Students!$A:$A,0)),"NOT ON LIST"))</f>
        <v/>
      </c>
      <c r="H162" s="35">
        <f>IF(OR(G162="",G162="NOT ON LIST"),"",VLOOKUP(G162,Students!$A:$C,2,FALSE))</f>
        <v/>
      </c>
      <c r="I162" s="35">
        <f>IF(OR(G162="",G162="NOT ON LIST"),"",VLOOKUP(G162,Students!$A:$C,3,FALSE)&amp;"")</f>
        <v/>
      </c>
    </row>
    <row r="163">
      <c r="A163" s="31" t="n">
        <v>46332.375</v>
      </c>
      <c r="B163" s="32" t="inlineStr">
        <is>
          <t>Grace Kelly</t>
        </is>
      </c>
      <c r="C163" s="32" t="inlineStr">
        <is>
          <t>Refund</t>
        </is>
      </c>
      <c r="D163" s="33" t="n">
        <v>-25</v>
      </c>
      <c r="E163" s="32" t="inlineStr">
        <is>
          <t>OneCause</t>
        </is>
      </c>
      <c r="F163" s="34">
        <f>IF(A163="","",IFERROR(INT(A163),"check date"))</f>
        <v/>
      </c>
      <c r="G163" s="35">
        <f>IF(B163="","",IFERROR(INDEX(Students!$A:$A,MATCH(TRIM(B163),Students!$A:$A,0)),"NOT ON LIST"))</f>
        <v/>
      </c>
      <c r="H163" s="35">
        <f>IF(OR(G163="",G163="NOT ON LIST"),"",VLOOKUP(G163,Students!$A:$C,2,FALSE))</f>
        <v/>
      </c>
      <c r="I163" s="35">
        <f>IF(OR(G163="",G163="NOT ON LIST"),"",VLOOKUP(G163,Students!$A:$C,3,FALSE)&amp;"")</f>
        <v/>
      </c>
    </row>
    <row r="164">
      <c r="A164" s="31" t="n">
        <v>46327.47916666666</v>
      </c>
      <c r="B164" s="32" t="inlineStr">
        <is>
          <t>Elijah O'Brien</t>
        </is>
      </c>
      <c r="C164" s="32" t="inlineStr">
        <is>
          <t>Olivia O'Brien</t>
        </is>
      </c>
      <c r="D164" s="33" t="n">
        <v>40</v>
      </c>
      <c r="E164" s="32" t="inlineStr">
        <is>
          <t>OneCause</t>
        </is>
      </c>
      <c r="F164" s="34">
        <f>IF(A164="","",IFERROR(INT(A164),"check date"))</f>
        <v/>
      </c>
      <c r="G164" s="35">
        <f>IF(B164="","",IFERROR(INDEX(Students!$A:$A,MATCH(TRIM(B164),Students!$A:$A,0)),"NOT ON LIST"))</f>
        <v/>
      </c>
      <c r="H164" s="35">
        <f>IF(OR(G164="",G164="NOT ON LIST"),"",VLOOKUP(G164,Students!$A:$C,2,FALSE))</f>
        <v/>
      </c>
      <c r="I164" s="35">
        <f>IF(OR(G164="",G164="NOT ON LIST"),"",VLOOKUP(G164,Students!$A:$C,3,FALSE)&amp;"")</f>
        <v/>
      </c>
    </row>
    <row r="165">
      <c r="A165" s="31" t="n">
        <v>46336.53125</v>
      </c>
      <c r="B165" s="32" t="inlineStr">
        <is>
          <t>Daniel Garcia</t>
        </is>
      </c>
      <c r="C165" s="32" t="inlineStr">
        <is>
          <t>Thomas Garcia</t>
        </is>
      </c>
      <c r="D165" s="33" t="n">
        <v>25</v>
      </c>
      <c r="E165" s="32" t="inlineStr">
        <is>
          <t>OneCause</t>
        </is>
      </c>
      <c r="F165" s="34">
        <f>IF(A165="","",IFERROR(INT(A165),"check date"))</f>
        <v/>
      </c>
      <c r="G165" s="35">
        <f>IF(B165="","",IFERROR(INDEX(Students!$A:$A,MATCH(TRIM(B165),Students!$A:$A,0)),"NOT ON LIST"))</f>
        <v/>
      </c>
      <c r="H165" s="35">
        <f>IF(OR(G165="",G165="NOT ON LIST"),"",VLOOKUP(G165,Students!$A:$C,2,FALSE))</f>
        <v/>
      </c>
      <c r="I165" s="35">
        <f>IF(OR(G165="",G165="NOT ON LIST"),"",VLOOKUP(G165,Students!$A:$C,3,FALSE)&amp;"")</f>
        <v/>
      </c>
    </row>
    <row r="166">
      <c r="A166" s="31" t="n">
        <v>46338.66666666666</v>
      </c>
      <c r="B166" s="32" t="inlineStr">
        <is>
          <t>Nicolas Sullivan</t>
        </is>
      </c>
      <c r="C166" s="32" t="inlineStr">
        <is>
          <t>Isabella Sullivan</t>
        </is>
      </c>
      <c r="D166" s="33" t="n">
        <v>20</v>
      </c>
      <c r="E166" s="32" t="inlineStr">
        <is>
          <t>OneCause</t>
        </is>
      </c>
      <c r="F166" s="34">
        <f>IF(A166="","",IFERROR(INT(A166),"check date"))</f>
        <v/>
      </c>
      <c r="G166" s="35">
        <f>IF(B166="","",IFERROR(INDEX(Students!$A:$A,MATCH(TRIM(B166),Students!$A:$A,0)),"NOT ON LIST"))</f>
        <v/>
      </c>
      <c r="H166" s="35">
        <f>IF(OR(G166="",G166="NOT ON LIST"),"",VLOOKUP(G166,Students!$A:$C,2,FALSE))</f>
        <v/>
      </c>
      <c r="I166" s="35">
        <f>IF(OR(G166="",G166="NOT ON LIST"),"",VLOOKUP(G166,Students!$A:$C,3,FALSE)&amp;"")</f>
        <v/>
      </c>
    </row>
    <row r="167">
      <c r="A167" s="31" t="n">
        <v>46328</v>
      </c>
      <c r="B167" s="32" t="inlineStr">
        <is>
          <t>Benjamin Patel</t>
        </is>
      </c>
      <c r="C167" s="32" t="inlineStr">
        <is>
          <t>Chloe Patel</t>
        </is>
      </c>
      <c r="D167" s="33" t="n">
        <v>25</v>
      </c>
      <c r="E167" s="32" t="inlineStr">
        <is>
          <t>Check</t>
        </is>
      </c>
      <c r="F167" s="34">
        <f>IF(A167="","",IFERROR(INT(A167),"check date"))</f>
        <v/>
      </c>
      <c r="G167" s="35">
        <f>IF(B167="","",IFERROR(INDEX(Students!$A:$A,MATCH(TRIM(B167),Students!$A:$A,0)),"NOT ON LIST"))</f>
        <v/>
      </c>
      <c r="H167" s="35">
        <f>IF(OR(G167="",G167="NOT ON LIST"),"",VLOOKUP(G167,Students!$A:$C,2,FALSE))</f>
        <v/>
      </c>
      <c r="I167" s="35">
        <f>IF(OR(G167="",G167="NOT ON LIST"),"",VLOOKUP(G167,Students!$A:$C,3,FALSE)&amp;"")</f>
        <v/>
      </c>
    </row>
    <row r="168">
      <c r="A168" s="31" t="n">
        <v>46332.35416666666</v>
      </c>
      <c r="B168" s="32" t="inlineStr">
        <is>
          <t>Julian Ramos</t>
        </is>
      </c>
      <c r="C168" s="32" t="inlineStr">
        <is>
          <t>Aria Ramos</t>
        </is>
      </c>
      <c r="D168" s="33" t="n">
        <v>25</v>
      </c>
      <c r="E168" s="32" t="inlineStr">
        <is>
          <t>OneCause</t>
        </is>
      </c>
      <c r="F168" s="34">
        <f>IF(A168="","",IFERROR(INT(A168),"check date"))</f>
        <v/>
      </c>
      <c r="G168" s="35">
        <f>IF(B168="","",IFERROR(INDEX(Students!$A:$A,MATCH(TRIM(B168),Students!$A:$A,0)),"NOT ON LIST"))</f>
        <v/>
      </c>
      <c r="H168" s="35">
        <f>IF(OR(G168="",G168="NOT ON LIST"),"",VLOOKUP(G168,Students!$A:$C,2,FALSE))</f>
        <v/>
      </c>
      <c r="I168" s="35">
        <f>IF(OR(G168="",G168="NOT ON LIST"),"",VLOOKUP(G168,Students!$A:$C,3,FALSE)&amp;"")</f>
        <v/>
      </c>
    </row>
    <row r="169">
      <c r="A169" s="31" t="n">
        <v>46331.48958333334</v>
      </c>
      <c r="B169" s="32" t="inlineStr">
        <is>
          <t>Joseph Gutierrez</t>
        </is>
      </c>
      <c r="C169" s="32" t="inlineStr">
        <is>
          <t>Mateo Gutierrez</t>
        </is>
      </c>
      <c r="D169" s="33" t="n">
        <v>25</v>
      </c>
      <c r="E169" s="32" t="inlineStr">
        <is>
          <t>OneCause</t>
        </is>
      </c>
      <c r="F169" s="34">
        <f>IF(A169="","",IFERROR(INT(A169),"check date"))</f>
        <v/>
      </c>
      <c r="G169" s="35">
        <f>IF(B169="","",IFERROR(INDEX(Students!$A:$A,MATCH(TRIM(B169),Students!$A:$A,0)),"NOT ON LIST"))</f>
        <v/>
      </c>
      <c r="H169" s="35">
        <f>IF(OR(G169="",G169="NOT ON LIST"),"",VLOOKUP(G169,Students!$A:$C,2,FALSE))</f>
        <v/>
      </c>
      <c r="I169" s="35">
        <f>IF(OR(G169="",G169="NOT ON LIST"),"",VLOOKUP(G169,Students!$A:$C,3,FALSE)&amp;"")</f>
        <v/>
      </c>
    </row>
    <row r="170">
      <c r="A170" s="31" t="n">
        <v>46327.29166666666</v>
      </c>
      <c r="B170" s="32" t="inlineStr">
        <is>
          <t>Noah Gomez</t>
        </is>
      </c>
      <c r="C170" s="32" t="inlineStr">
        <is>
          <t>Zoe Gomez</t>
        </is>
      </c>
      <c r="D170" s="33" t="n">
        <v>50</v>
      </c>
      <c r="E170" s="32" t="inlineStr">
        <is>
          <t>OneCause</t>
        </is>
      </c>
      <c r="F170" s="34">
        <f>IF(A170="","",IFERROR(INT(A170),"check date"))</f>
        <v/>
      </c>
      <c r="G170" s="35">
        <f>IF(B170="","",IFERROR(INDEX(Students!$A:$A,MATCH(TRIM(B170),Students!$A:$A,0)),"NOT ON LIST"))</f>
        <v/>
      </c>
      <c r="H170" s="35">
        <f>IF(OR(G170="",G170="NOT ON LIST"),"",VLOOKUP(G170,Students!$A:$C,2,FALSE))</f>
        <v/>
      </c>
      <c r="I170" s="35">
        <f>IF(OR(G170="",G170="NOT ON LIST"),"",VLOOKUP(G170,Students!$A:$C,3,FALSE)&amp;"")</f>
        <v/>
      </c>
    </row>
    <row r="171">
      <c r="A171" s="31" t="n">
        <v>46325.66666666666</v>
      </c>
      <c r="B171" s="32" t="inlineStr">
        <is>
          <t>Noah Gonzalez</t>
        </is>
      </c>
      <c r="C171" s="32" t="inlineStr">
        <is>
          <t>Joseph Gonzalez</t>
        </is>
      </c>
      <c r="D171" s="33" t="n">
        <v>150</v>
      </c>
      <c r="E171" s="32" t="inlineStr">
        <is>
          <t>OneCause</t>
        </is>
      </c>
      <c r="F171" s="34">
        <f>IF(A171="","",IFERROR(INT(A171),"check date"))</f>
        <v/>
      </c>
      <c r="G171" s="35">
        <f>IF(B171="","",IFERROR(INDEX(Students!$A:$A,MATCH(TRIM(B171),Students!$A:$A,0)),"NOT ON LIST"))</f>
        <v/>
      </c>
      <c r="H171" s="35">
        <f>IF(OR(G171="",G171="NOT ON LIST"),"",VLOOKUP(G171,Students!$A:$C,2,FALSE))</f>
        <v/>
      </c>
      <c r="I171" s="35">
        <f>IF(OR(G171="",G171="NOT ON LIST"),"",VLOOKUP(G171,Students!$A:$C,3,FALSE)&amp;"")</f>
        <v/>
      </c>
    </row>
    <row r="172">
      <c r="A172" s="31" t="n">
        <v>46338.33333333334</v>
      </c>
      <c r="B172" s="32" t="inlineStr">
        <is>
          <t>Thomas Williams</t>
        </is>
      </c>
      <c r="C172" s="32" t="inlineStr">
        <is>
          <t>Luna Williams</t>
        </is>
      </c>
      <c r="D172" s="33" t="n">
        <v>100</v>
      </c>
      <c r="E172" s="32" t="inlineStr">
        <is>
          <t>OneCause</t>
        </is>
      </c>
      <c r="F172" s="34">
        <f>IF(A172="","",IFERROR(INT(A172),"check date"))</f>
        <v/>
      </c>
      <c r="G172" s="35">
        <f>IF(B172="","",IFERROR(INDEX(Students!$A:$A,MATCH(TRIM(B172),Students!$A:$A,0)),"NOT ON LIST"))</f>
        <v/>
      </c>
      <c r="H172" s="35">
        <f>IF(OR(G172="",G172="NOT ON LIST"),"",VLOOKUP(G172,Students!$A:$C,2,FALSE))</f>
        <v/>
      </c>
      <c r="I172" s="35">
        <f>IF(OR(G172="",G172="NOT ON LIST"),"",VLOOKUP(G172,Students!$A:$C,3,FALSE)&amp;"")</f>
        <v/>
      </c>
    </row>
    <row r="173">
      <c r="A173" s="31" t="n">
        <v>46338.29166666666</v>
      </c>
      <c r="B173" s="32" t="inlineStr">
        <is>
          <t>Gabriel Smith</t>
        </is>
      </c>
      <c r="C173" s="32" t="inlineStr">
        <is>
          <t>Nicolas Smith</t>
        </is>
      </c>
      <c r="D173" s="33" t="n">
        <v>75</v>
      </c>
      <c r="E173" s="32" t="inlineStr">
        <is>
          <t>OneCause</t>
        </is>
      </c>
      <c r="F173" s="34">
        <f>IF(A173="","",IFERROR(INT(A173),"check date"))</f>
        <v/>
      </c>
      <c r="G173" s="35">
        <f>IF(B173="","",IFERROR(INDEX(Students!$A:$A,MATCH(TRIM(B173),Students!$A:$A,0)),"NOT ON LIST"))</f>
        <v/>
      </c>
      <c r="H173" s="35">
        <f>IF(OR(G173="",G173="NOT ON LIST"),"",VLOOKUP(G173,Students!$A:$C,2,FALSE))</f>
        <v/>
      </c>
      <c r="I173" s="35">
        <f>IF(OR(G173="",G173="NOT ON LIST"),"",VLOOKUP(G173,Students!$A:$C,3,FALSE)&amp;"")</f>
        <v/>
      </c>
    </row>
    <row r="174">
      <c r="A174" s="31" t="n">
        <v>46336.29166666666</v>
      </c>
      <c r="B174" s="32" t="inlineStr">
        <is>
          <t>James Brown</t>
        </is>
      </c>
      <c r="C174" s="32" t="inlineStr">
        <is>
          <t>Clara Brown</t>
        </is>
      </c>
      <c r="D174" s="33" t="n">
        <v>20</v>
      </c>
      <c r="E174" s="32" t="inlineStr">
        <is>
          <t>OneCause</t>
        </is>
      </c>
      <c r="F174" s="34">
        <f>IF(A174="","",IFERROR(INT(A174),"check date"))</f>
        <v/>
      </c>
      <c r="G174" s="35">
        <f>IF(B174="","",IFERROR(INDEX(Students!$A:$A,MATCH(TRIM(B174),Students!$A:$A,0)),"NOT ON LIST"))</f>
        <v/>
      </c>
      <c r="H174" s="35">
        <f>IF(OR(G174="",G174="NOT ON LIST"),"",VLOOKUP(G174,Students!$A:$C,2,FALSE))</f>
        <v/>
      </c>
      <c r="I174" s="35">
        <f>IF(OR(G174="",G174="NOT ON LIST"),"",VLOOKUP(G174,Students!$A:$C,3,FALSE)&amp;"")</f>
        <v/>
      </c>
    </row>
    <row r="175">
      <c r="A175" s="31" t="n">
        <v>46335.30208333334</v>
      </c>
      <c r="B175" s="32" t="inlineStr">
        <is>
          <t>Gabriel Smith</t>
        </is>
      </c>
      <c r="C175" s="32" t="inlineStr">
        <is>
          <t>Liam Smith</t>
        </is>
      </c>
      <c r="D175" s="33" t="n">
        <v>50</v>
      </c>
      <c r="E175" s="32" t="inlineStr">
        <is>
          <t>OneCause</t>
        </is>
      </c>
      <c r="F175" s="34">
        <f>IF(A175="","",IFERROR(INT(A175),"check date"))</f>
        <v/>
      </c>
      <c r="G175" s="35">
        <f>IF(B175="","",IFERROR(INDEX(Students!$A:$A,MATCH(TRIM(B175),Students!$A:$A,0)),"NOT ON LIST"))</f>
        <v/>
      </c>
      <c r="H175" s="35">
        <f>IF(OR(G175="",G175="NOT ON LIST"),"",VLOOKUP(G175,Students!$A:$C,2,FALSE))</f>
        <v/>
      </c>
      <c r="I175" s="35">
        <f>IF(OR(G175="",G175="NOT ON LIST"),"",VLOOKUP(G175,Students!$A:$C,3,FALSE)&amp;"")</f>
        <v/>
      </c>
    </row>
    <row r="176">
      <c r="A176" s="31" t="n">
        <v>46332.69791666666</v>
      </c>
      <c r="B176" s="32" t="inlineStr">
        <is>
          <t>Mateo Diaz</t>
        </is>
      </c>
      <c r="C176" s="32" t="inlineStr">
        <is>
          <t>Ella Diaz</t>
        </is>
      </c>
      <c r="D176" s="33" t="n">
        <v>25</v>
      </c>
      <c r="E176" s="32" t="inlineStr">
        <is>
          <t>OneCause</t>
        </is>
      </c>
      <c r="F176" s="34">
        <f>IF(A176="","",IFERROR(INT(A176),"check date"))</f>
        <v/>
      </c>
      <c r="G176" s="35">
        <f>IF(B176="","",IFERROR(INDEX(Students!$A:$A,MATCH(TRIM(B176),Students!$A:$A,0)),"NOT ON LIST"))</f>
        <v/>
      </c>
      <c r="H176" s="35">
        <f>IF(OR(G176="",G176="NOT ON LIST"),"",VLOOKUP(G176,Students!$A:$C,2,FALSE))</f>
        <v/>
      </c>
      <c r="I176" s="35">
        <f>IF(OR(G176="",G176="NOT ON LIST"),"",VLOOKUP(G176,Students!$A:$C,3,FALSE)&amp;"")</f>
        <v/>
      </c>
    </row>
    <row r="177">
      <c r="A177" s="31" t="n">
        <v>46328.29166666666</v>
      </c>
      <c r="B177" s="32" t="inlineStr">
        <is>
          <t>Lily Kelly</t>
        </is>
      </c>
      <c r="C177" s="32" t="inlineStr">
        <is>
          <t>Thomas Kelly</t>
        </is>
      </c>
      <c r="D177" s="33" t="n">
        <v>75</v>
      </c>
      <c r="E177" s="32" t="inlineStr">
        <is>
          <t>OneCause</t>
        </is>
      </c>
      <c r="F177" s="34">
        <f>IF(A177="","",IFERROR(INT(A177),"check date"))</f>
        <v/>
      </c>
      <c r="G177" s="35">
        <f>IF(B177="","",IFERROR(INDEX(Students!$A:$A,MATCH(TRIM(B177),Students!$A:$A,0)),"NOT ON LIST"))</f>
        <v/>
      </c>
      <c r="H177" s="35">
        <f>IF(OR(G177="",G177="NOT ON LIST"),"",VLOOKUP(G177,Students!$A:$C,2,FALSE))</f>
        <v/>
      </c>
      <c r="I177" s="35">
        <f>IF(OR(G177="",G177="NOT ON LIST"),"",VLOOKUP(G177,Students!$A:$C,3,FALSE)&amp;"")</f>
        <v/>
      </c>
    </row>
    <row r="178">
      <c r="A178" s="31" t="n">
        <v>46325.86458333334</v>
      </c>
      <c r="B178" s="32" t="inlineStr">
        <is>
          <t>Ava Chavez</t>
        </is>
      </c>
      <c r="C178" s="32" t="inlineStr">
        <is>
          <t>Evelyn Chavez</t>
        </is>
      </c>
      <c r="D178" s="33" t="n">
        <v>100</v>
      </c>
      <c r="E178" s="32" t="inlineStr">
        <is>
          <t>OneCause</t>
        </is>
      </c>
      <c r="F178" s="34">
        <f>IF(A178="","",IFERROR(INT(A178),"check date"))</f>
        <v/>
      </c>
      <c r="G178" s="35">
        <f>IF(B178="","",IFERROR(INDEX(Students!$A:$A,MATCH(TRIM(B178),Students!$A:$A,0)),"NOT ON LIST"))</f>
        <v/>
      </c>
      <c r="H178" s="35">
        <f>IF(OR(G178="",G178="NOT ON LIST"),"",VLOOKUP(G178,Students!$A:$C,2,FALSE))</f>
        <v/>
      </c>
      <c r="I178" s="35">
        <f>IF(OR(G178="",G178="NOT ON LIST"),"",VLOOKUP(G178,Students!$A:$C,3,FALSE)&amp;"")</f>
        <v/>
      </c>
    </row>
    <row r="179">
      <c r="A179" s="31" t="n">
        <v>46336</v>
      </c>
      <c r="B179" s="32" t="inlineStr">
        <is>
          <t>Emma Sanchez</t>
        </is>
      </c>
      <c r="C179" s="32" t="inlineStr">
        <is>
          <t>Elena Sanchez</t>
        </is>
      </c>
      <c r="D179" s="33" t="n">
        <v>75</v>
      </c>
      <c r="E179" s="32" t="inlineStr">
        <is>
          <t>Check</t>
        </is>
      </c>
      <c r="F179" s="34">
        <f>IF(A179="","",IFERROR(INT(A179),"check date"))</f>
        <v/>
      </c>
      <c r="G179" s="35">
        <f>IF(B179="","",IFERROR(INDEX(Students!$A:$A,MATCH(TRIM(B179),Students!$A:$A,0)),"NOT ON LIST"))</f>
        <v/>
      </c>
      <c r="H179" s="35">
        <f>IF(OR(G179="",G179="NOT ON LIST"),"",VLOOKUP(G179,Students!$A:$C,2,FALSE))</f>
        <v/>
      </c>
      <c r="I179" s="35">
        <f>IF(OR(G179="",G179="NOT ON LIST"),"",VLOOKUP(G179,Students!$A:$C,3,FALSE)&amp;"")</f>
        <v/>
      </c>
    </row>
    <row r="180">
      <c r="A180" s="31" t="n">
        <v>46325</v>
      </c>
      <c r="B180" s="32" t="inlineStr">
        <is>
          <t>Liam Byrne</t>
        </is>
      </c>
      <c r="C180" s="32" t="inlineStr">
        <is>
          <t>Nicolas Byrne</t>
        </is>
      </c>
      <c r="D180" s="33" t="n">
        <v>100</v>
      </c>
      <c r="E180" s="32" t="inlineStr">
        <is>
          <t>Check</t>
        </is>
      </c>
      <c r="F180" s="34">
        <f>IF(A180="","",IFERROR(INT(A180),"check date"))</f>
        <v/>
      </c>
      <c r="G180" s="35">
        <f>IF(B180="","",IFERROR(INDEX(Students!$A:$A,MATCH(TRIM(B180),Students!$A:$A,0)),"NOT ON LIST"))</f>
        <v/>
      </c>
      <c r="H180" s="35">
        <f>IF(OR(G180="",G180="NOT ON LIST"),"",VLOOKUP(G180,Students!$A:$C,2,FALSE))</f>
        <v/>
      </c>
      <c r="I180" s="35">
        <f>IF(OR(G180="",G180="NOT ON LIST"),"",VLOOKUP(G180,Students!$A:$C,3,FALSE)&amp;"")</f>
        <v/>
      </c>
    </row>
    <row r="181">
      <c r="A181" s="31" t="n">
        <v>46332.76041666666</v>
      </c>
      <c r="B181" s="32" t="inlineStr">
        <is>
          <t>Ava Murphy</t>
        </is>
      </c>
      <c r="C181" s="32" t="inlineStr">
        <is>
          <t>Olivia Murphy</t>
        </is>
      </c>
      <c r="D181" s="33" t="n">
        <v>10</v>
      </c>
      <c r="E181" s="32" t="inlineStr">
        <is>
          <t>OneCause</t>
        </is>
      </c>
      <c r="F181" s="34">
        <f>IF(A181="","",IFERROR(INT(A181),"check date"))</f>
        <v/>
      </c>
      <c r="G181" s="35">
        <f>IF(B181="","",IFERROR(INDEX(Students!$A:$A,MATCH(TRIM(B181),Students!$A:$A,0)),"NOT ON LIST"))</f>
        <v/>
      </c>
      <c r="H181" s="35">
        <f>IF(OR(G181="",G181="NOT ON LIST"),"",VLOOKUP(G181,Students!$A:$C,2,FALSE))</f>
        <v/>
      </c>
      <c r="I181" s="35">
        <f>IF(OR(G181="",G181="NOT ON LIST"),"",VLOOKUP(G181,Students!$A:$C,3,FALSE)&amp;"")</f>
        <v/>
      </c>
    </row>
    <row r="182">
      <c r="A182" s="31" t="n">
        <v>46328.8125</v>
      </c>
      <c r="B182" s="32" t="inlineStr">
        <is>
          <t>Olivia Murphy</t>
        </is>
      </c>
      <c r="C182" s="32" t="inlineStr">
        <is>
          <t>David Murphy</t>
        </is>
      </c>
      <c r="D182" s="33" t="n">
        <v>100</v>
      </c>
      <c r="E182" s="32" t="inlineStr">
        <is>
          <t>OneCause</t>
        </is>
      </c>
      <c r="F182" s="34">
        <f>IF(A182="","",IFERROR(INT(A182),"check date"))</f>
        <v/>
      </c>
      <c r="G182" s="35">
        <f>IF(B182="","",IFERROR(INDEX(Students!$A:$A,MATCH(TRIM(B182),Students!$A:$A,0)),"NOT ON LIST"))</f>
        <v/>
      </c>
      <c r="H182" s="35">
        <f>IF(OR(G182="",G182="NOT ON LIST"),"",VLOOKUP(G182,Students!$A:$C,2,FALSE))</f>
        <v/>
      </c>
      <c r="I182" s="35">
        <f>IF(OR(G182="",G182="NOT ON LIST"),"",VLOOKUP(G182,Students!$A:$C,3,FALSE)&amp;"")</f>
        <v/>
      </c>
    </row>
    <row r="183">
      <c r="A183" s="31" t="n">
        <v>46329.85416666666</v>
      </c>
      <c r="B183" s="32" t="inlineStr">
        <is>
          <t>Liam Murphy</t>
        </is>
      </c>
      <c r="C183" s="32" t="inlineStr">
        <is>
          <t>Sofia Murphy</t>
        </is>
      </c>
      <c r="D183" s="33" t="n">
        <v>20</v>
      </c>
      <c r="E183" s="32" t="inlineStr">
        <is>
          <t>OneCause</t>
        </is>
      </c>
      <c r="F183" s="34">
        <f>IF(A183="","",IFERROR(INT(A183),"check date"))</f>
        <v/>
      </c>
      <c r="G183" s="35">
        <f>IF(B183="","",IFERROR(INDEX(Students!$A:$A,MATCH(TRIM(B183),Students!$A:$A,0)),"NOT ON LIST"))</f>
        <v/>
      </c>
      <c r="H183" s="35">
        <f>IF(OR(G183="",G183="NOT ON LIST"),"",VLOOKUP(G183,Students!$A:$C,2,FALSE))</f>
        <v/>
      </c>
      <c r="I183" s="35">
        <f>IF(OR(G183="",G183="NOT ON LIST"),"",VLOOKUP(G183,Students!$A:$C,3,FALSE)&amp;"")</f>
        <v/>
      </c>
    </row>
    <row r="184">
      <c r="A184" s="31" t="n">
        <v>46327.5625</v>
      </c>
      <c r="B184" s="32" t="inlineStr">
        <is>
          <t>Gabriel Smith</t>
        </is>
      </c>
      <c r="C184" s="32" t="inlineStr">
        <is>
          <t>Henry Smith</t>
        </is>
      </c>
      <c r="D184" s="33" t="n">
        <v>25</v>
      </c>
      <c r="E184" s="32" t="inlineStr">
        <is>
          <t>OneCause</t>
        </is>
      </c>
      <c r="F184" s="34">
        <f>IF(A184="","",IFERROR(INT(A184),"check date"))</f>
        <v/>
      </c>
      <c r="G184" s="35">
        <f>IF(B184="","",IFERROR(INDEX(Students!$A:$A,MATCH(TRIM(B184),Students!$A:$A,0)),"NOT ON LIST"))</f>
        <v/>
      </c>
      <c r="H184" s="35">
        <f>IF(OR(G184="",G184="NOT ON LIST"),"",VLOOKUP(G184,Students!$A:$C,2,FALSE))</f>
        <v/>
      </c>
      <c r="I184" s="35">
        <f>IF(OR(G184="",G184="NOT ON LIST"),"",VLOOKUP(G184,Students!$A:$C,3,FALSE)&amp;"")</f>
        <v/>
      </c>
    </row>
    <row r="185">
      <c r="A185" s="31" t="n">
        <v>46339.79166666666</v>
      </c>
      <c r="B185" s="32" t="inlineStr">
        <is>
          <t>Chloe Reyes</t>
        </is>
      </c>
      <c r="C185" s="32" t="inlineStr">
        <is>
          <t>Lucas Reyes</t>
        </is>
      </c>
      <c r="D185" s="33" t="n">
        <v>25</v>
      </c>
      <c r="E185" s="32" t="inlineStr">
        <is>
          <t>OneCause</t>
        </is>
      </c>
      <c r="F185" s="34">
        <f>IF(A185="","",IFERROR(INT(A185),"check date"))</f>
        <v/>
      </c>
      <c r="G185" s="35">
        <f>IF(B185="","",IFERROR(INDEX(Students!$A:$A,MATCH(TRIM(B185),Students!$A:$A,0)),"NOT ON LIST"))</f>
        <v/>
      </c>
      <c r="H185" s="35">
        <f>IF(OR(G185="",G185="NOT ON LIST"),"",VLOOKUP(G185,Students!$A:$C,2,FALSE))</f>
        <v/>
      </c>
      <c r="I185" s="35">
        <f>IF(OR(G185="",G185="NOT ON LIST"),"",VLOOKUP(G185,Students!$A:$C,3,FALSE)&amp;"")</f>
        <v/>
      </c>
    </row>
    <row r="186">
      <c r="A186" s="31" t="n">
        <v>46336.52083333334</v>
      </c>
      <c r="B186" s="32" t="inlineStr">
        <is>
          <t>Diego Patel</t>
        </is>
      </c>
      <c r="C186" s="32" t="inlineStr">
        <is>
          <t>Isabella Patel</t>
        </is>
      </c>
      <c r="D186" s="33" t="n">
        <v>20</v>
      </c>
      <c r="E186" s="32" t="inlineStr">
        <is>
          <t>OneCause</t>
        </is>
      </c>
      <c r="F186" s="34">
        <f>IF(A186="","",IFERROR(INT(A186),"check date"))</f>
        <v/>
      </c>
      <c r="G186" s="35">
        <f>IF(B186="","",IFERROR(INDEX(Students!$A:$A,MATCH(TRIM(B186),Students!$A:$A,0)),"NOT ON LIST"))</f>
        <v/>
      </c>
      <c r="H186" s="35">
        <f>IF(OR(G186="",G186="NOT ON LIST"),"",VLOOKUP(G186,Students!$A:$C,2,FALSE))</f>
        <v/>
      </c>
      <c r="I186" s="35">
        <f>IF(OR(G186="",G186="NOT ON LIST"),"",VLOOKUP(G186,Students!$A:$C,3,FALSE)&amp;"")</f>
        <v/>
      </c>
    </row>
    <row r="187">
      <c r="A187" s="31" t="n">
        <v>46336.44791666666</v>
      </c>
      <c r="B187" s="32" t="inlineStr">
        <is>
          <t>Benjamin Reyes</t>
        </is>
      </c>
      <c r="C187" s="32" t="inlineStr">
        <is>
          <t>Olivia Reyes</t>
        </is>
      </c>
      <c r="D187" s="33" t="n">
        <v>10</v>
      </c>
      <c r="E187" s="32" t="inlineStr">
        <is>
          <t>OneCause</t>
        </is>
      </c>
      <c r="F187" s="34">
        <f>IF(A187="","",IFERROR(INT(A187),"check date"))</f>
        <v/>
      </c>
      <c r="G187" s="35">
        <f>IF(B187="","",IFERROR(INDEX(Students!$A:$A,MATCH(TRIM(B187),Students!$A:$A,0)),"NOT ON LIST"))</f>
        <v/>
      </c>
      <c r="H187" s="35">
        <f>IF(OR(G187="",G187="NOT ON LIST"),"",VLOOKUP(G187,Students!$A:$C,2,FALSE))</f>
        <v/>
      </c>
      <c r="I187" s="35">
        <f>IF(OR(G187="",G187="NOT ON LIST"),"",VLOOKUP(G187,Students!$A:$C,3,FALSE)&amp;"")</f>
        <v/>
      </c>
    </row>
    <row r="188">
      <c r="A188" s="31" t="n">
        <v>46338.76041666666</v>
      </c>
      <c r="B188" s="32" t="inlineStr">
        <is>
          <t>Zoe Gomez</t>
        </is>
      </c>
      <c r="C188" s="32" t="inlineStr">
        <is>
          <t>Isaac Gomez</t>
        </is>
      </c>
      <c r="D188" s="33" t="n">
        <v>25</v>
      </c>
      <c r="E188" s="32" t="inlineStr">
        <is>
          <t>OneCause</t>
        </is>
      </c>
      <c r="F188" s="34">
        <f>IF(A188="","",IFERROR(INT(A188),"check date"))</f>
        <v/>
      </c>
      <c r="G188" s="35">
        <f>IF(B188="","",IFERROR(INDEX(Students!$A:$A,MATCH(TRIM(B188),Students!$A:$A,0)),"NOT ON LIST"))</f>
        <v/>
      </c>
      <c r="H188" s="35">
        <f>IF(OR(G188="",G188="NOT ON LIST"),"",VLOOKUP(G188,Students!$A:$C,2,FALSE))</f>
        <v/>
      </c>
      <c r="I188" s="35">
        <f>IF(OR(G188="",G188="NOT ON LIST"),"",VLOOKUP(G188,Students!$A:$C,3,FALSE)&amp;"")</f>
        <v/>
      </c>
    </row>
    <row r="189">
      <c r="A189" s="31" t="n">
        <v>46326.53125</v>
      </c>
      <c r="B189" s="32" t="inlineStr">
        <is>
          <t>Luna Rodriguez</t>
        </is>
      </c>
      <c r="C189" s="32" t="inlineStr">
        <is>
          <t>Leo Rodriguez</t>
        </is>
      </c>
      <c r="D189" s="33" t="n">
        <v>25</v>
      </c>
      <c r="E189" s="32" t="inlineStr">
        <is>
          <t>OneCause</t>
        </is>
      </c>
      <c r="F189" s="34">
        <f>IF(A189="","",IFERROR(INT(A189),"check date"))</f>
        <v/>
      </c>
      <c r="G189" s="35">
        <f>IF(B189="","",IFERROR(INDEX(Students!$A:$A,MATCH(TRIM(B189),Students!$A:$A,0)),"NOT ON LIST"))</f>
        <v/>
      </c>
      <c r="H189" s="35">
        <f>IF(OR(G189="",G189="NOT ON LIST"),"",VLOOKUP(G189,Students!$A:$C,2,FALSE))</f>
        <v/>
      </c>
      <c r="I189" s="35">
        <f>IF(OR(G189="",G189="NOT ON LIST"),"",VLOOKUP(G189,Students!$A:$C,3,FALSE)&amp;"")</f>
        <v/>
      </c>
    </row>
    <row r="190">
      <c r="A190" s="31" t="n">
        <v>46335</v>
      </c>
      <c r="B190" s="32" t="inlineStr">
        <is>
          <t>Chloe Cruz</t>
        </is>
      </c>
      <c r="C190" s="32" t="inlineStr">
        <is>
          <t>Ava Cruz</t>
        </is>
      </c>
      <c r="D190" s="33" t="n">
        <v>75</v>
      </c>
      <c r="E190" s="32" t="inlineStr">
        <is>
          <t>Check</t>
        </is>
      </c>
      <c r="F190" s="34">
        <f>IF(A190="","",IFERROR(INT(A190),"check date"))</f>
        <v/>
      </c>
      <c r="G190" s="35">
        <f>IF(B190="","",IFERROR(INDEX(Students!$A:$A,MATCH(TRIM(B190),Students!$A:$A,0)),"NOT ON LIST"))</f>
        <v/>
      </c>
      <c r="H190" s="35">
        <f>IF(OR(G190="",G190="NOT ON LIST"),"",VLOOKUP(G190,Students!$A:$C,2,FALSE))</f>
        <v/>
      </c>
      <c r="I190" s="35">
        <f>IF(OR(G190="",G190="NOT ON LIST"),"",VLOOKUP(G190,Students!$A:$C,3,FALSE)&amp;"")</f>
        <v/>
      </c>
    </row>
    <row r="191">
      <c r="A191" s="31" t="n">
        <v>46328.47916666666</v>
      </c>
      <c r="B191" s="32" t="inlineStr">
        <is>
          <t>Mateo Mendoza</t>
        </is>
      </c>
      <c r="C191" s="32" t="inlineStr">
        <is>
          <t>Lucas Mendoza</t>
        </is>
      </c>
      <c r="D191" s="33" t="n">
        <v>25</v>
      </c>
      <c r="E191" s="32" t="inlineStr">
        <is>
          <t>OneCause</t>
        </is>
      </c>
      <c r="F191" s="34">
        <f>IF(A191="","",IFERROR(INT(A191),"check date"))</f>
        <v/>
      </c>
      <c r="G191" s="35">
        <f>IF(B191="","",IFERROR(INDEX(Students!$A:$A,MATCH(TRIM(B191),Students!$A:$A,0)),"NOT ON LIST"))</f>
        <v/>
      </c>
      <c r="H191" s="35">
        <f>IF(OR(G191="",G191="NOT ON LIST"),"",VLOOKUP(G191,Students!$A:$C,2,FALSE))</f>
        <v/>
      </c>
      <c r="I191" s="35">
        <f>IF(OR(G191="",G191="NOT ON LIST"),"",VLOOKUP(G191,Students!$A:$C,3,FALSE)&amp;"")</f>
        <v/>
      </c>
    </row>
    <row r="192">
      <c r="A192" s="31" t="n">
        <v>46332.89583333334</v>
      </c>
      <c r="B192" s="32" t="inlineStr">
        <is>
          <t>James Torres</t>
        </is>
      </c>
      <c r="C192" s="32" t="inlineStr">
        <is>
          <t>Grace Torres</t>
        </is>
      </c>
      <c r="D192" s="33" t="n">
        <v>50</v>
      </c>
      <c r="E192" s="32" t="inlineStr">
        <is>
          <t>OneCause</t>
        </is>
      </c>
      <c r="F192" s="34">
        <f>IF(A192="","",IFERROR(INT(A192),"check date"))</f>
        <v/>
      </c>
      <c r="G192" s="35">
        <f>IF(B192="","",IFERROR(INDEX(Students!$A:$A,MATCH(TRIM(B192),Students!$A:$A,0)),"NOT ON LIST"))</f>
        <v/>
      </c>
      <c r="H192" s="35">
        <f>IF(OR(G192="",G192="NOT ON LIST"),"",VLOOKUP(G192,Students!$A:$C,2,FALSE))</f>
        <v/>
      </c>
      <c r="I192" s="35">
        <f>IF(OR(G192="",G192="NOT ON LIST"),"",VLOOKUP(G192,Students!$A:$C,3,FALSE)&amp;"")</f>
        <v/>
      </c>
    </row>
    <row r="193">
      <c r="A193" s="31" t="n">
        <v>46338.85416666666</v>
      </c>
      <c r="B193" s="32" t="inlineStr">
        <is>
          <t>Mateo Kelly</t>
        </is>
      </c>
      <c r="C193" s="32" t="inlineStr">
        <is>
          <t>Ella Kelly</t>
        </is>
      </c>
      <c r="D193" s="33" t="n">
        <v>40</v>
      </c>
      <c r="E193" s="32" t="inlineStr">
        <is>
          <t>OneCause</t>
        </is>
      </c>
      <c r="F193" s="34">
        <f>IF(A193="","",IFERROR(INT(A193),"check date"))</f>
        <v/>
      </c>
      <c r="G193" s="35">
        <f>IF(B193="","",IFERROR(INDEX(Students!$A:$A,MATCH(TRIM(B193),Students!$A:$A,0)),"NOT ON LIST"))</f>
        <v/>
      </c>
      <c r="H193" s="35">
        <f>IF(OR(G193="",G193="NOT ON LIST"),"",VLOOKUP(G193,Students!$A:$C,2,FALSE))</f>
        <v/>
      </c>
      <c r="I193" s="35">
        <f>IF(OR(G193="",G193="NOT ON LIST"),"",VLOOKUP(G193,Students!$A:$C,3,FALSE)&amp;"")</f>
        <v/>
      </c>
    </row>
    <row r="194">
      <c r="A194" s="31" t="n">
        <v>46330.5</v>
      </c>
      <c r="B194" s="32" t="inlineStr">
        <is>
          <t xml:space="preserve">  GRACE KELLY </t>
        </is>
      </c>
      <c r="C194" s="32" t="inlineStr">
        <is>
          <t>Caps Donor</t>
        </is>
      </c>
      <c r="D194" s="33" t="n">
        <v>30</v>
      </c>
      <c r="E194" s="32" t="inlineStr">
        <is>
          <t>OneCause</t>
        </is>
      </c>
      <c r="F194" s="34">
        <f>IF(A194="","",IFERROR(INT(A194),"check date"))</f>
        <v/>
      </c>
      <c r="G194" s="35">
        <f>IF(B194="","",IFERROR(INDEX(Students!$A:$A,MATCH(TRIM(B194),Students!$A:$A,0)),"NOT ON LIST"))</f>
        <v/>
      </c>
      <c r="H194" s="35">
        <f>IF(OR(G194="",G194="NOT ON LIST"),"",VLOOKUP(G194,Students!$A:$C,2,FALSE))</f>
        <v/>
      </c>
      <c r="I194" s="35">
        <f>IF(OR(G194="",G194="NOT ON LIST"),"",VLOOKUP(G194,Students!$A:$C,3,FALSE)&amp;"")</f>
        <v/>
      </c>
    </row>
    <row r="195">
      <c r="A195" s="31" t="n">
        <v>46334.79166666666</v>
      </c>
      <c r="B195" s="32" t="inlineStr">
        <is>
          <t>Grace Murphy</t>
        </is>
      </c>
      <c r="C195" s="32" t="inlineStr">
        <is>
          <t>Amelia Murphy</t>
        </is>
      </c>
      <c r="D195" s="33" t="n">
        <v>50</v>
      </c>
      <c r="E195" s="32" t="inlineStr">
        <is>
          <t>OneCause</t>
        </is>
      </c>
      <c r="F195" s="34">
        <f>IF(A195="","",IFERROR(INT(A195),"check date"))</f>
        <v/>
      </c>
      <c r="G195" s="35">
        <f>IF(B195="","",IFERROR(INDEX(Students!$A:$A,MATCH(TRIM(B195),Students!$A:$A,0)),"NOT ON LIST"))</f>
        <v/>
      </c>
      <c r="H195" s="35">
        <f>IF(OR(G195="",G195="NOT ON LIST"),"",VLOOKUP(G195,Students!$A:$C,2,FALSE))</f>
        <v/>
      </c>
      <c r="I195" s="35">
        <f>IF(OR(G195="",G195="NOT ON LIST"),"",VLOOKUP(G195,Students!$A:$C,3,FALSE)&amp;"")</f>
        <v/>
      </c>
    </row>
    <row r="196">
      <c r="A196" s="31" t="n">
        <v>46326.86458333334</v>
      </c>
      <c r="B196" s="32" t="inlineStr">
        <is>
          <t>Thomas Diaz</t>
        </is>
      </c>
      <c r="C196" s="32" t="inlineStr">
        <is>
          <t>Emma Diaz</t>
        </is>
      </c>
      <c r="D196" s="33" t="n">
        <v>75</v>
      </c>
      <c r="E196" s="32" t="inlineStr">
        <is>
          <t>OneCause</t>
        </is>
      </c>
      <c r="F196" s="34">
        <f>IF(A196="","",IFERROR(INT(A196),"check date"))</f>
        <v/>
      </c>
      <c r="G196" s="35">
        <f>IF(B196="","",IFERROR(INDEX(Students!$A:$A,MATCH(TRIM(B196),Students!$A:$A,0)),"NOT ON LIST"))</f>
        <v/>
      </c>
      <c r="H196" s="35">
        <f>IF(OR(G196="",G196="NOT ON LIST"),"",VLOOKUP(G196,Students!$A:$C,2,FALSE))</f>
        <v/>
      </c>
      <c r="I196" s="35">
        <f>IF(OR(G196="",G196="NOT ON LIST"),"",VLOOKUP(G196,Students!$A:$C,3,FALSE)&amp;"")</f>
        <v/>
      </c>
    </row>
    <row r="197">
      <c r="A197" s="31" t="n">
        <v>46325.71875</v>
      </c>
      <c r="B197" s="32" t="inlineStr">
        <is>
          <t>Adrian Kim</t>
        </is>
      </c>
      <c r="C197" s="32" t="inlineStr">
        <is>
          <t>Ava Kim</t>
        </is>
      </c>
      <c r="D197" s="33" t="n">
        <v>20</v>
      </c>
      <c r="E197" s="32" t="inlineStr">
        <is>
          <t>OneCause</t>
        </is>
      </c>
      <c r="F197" s="34">
        <f>IF(A197="","",IFERROR(INT(A197),"check date"))</f>
        <v/>
      </c>
      <c r="G197" s="35">
        <f>IF(B197="","",IFERROR(INDEX(Students!$A:$A,MATCH(TRIM(B197),Students!$A:$A,0)),"NOT ON LIST"))</f>
        <v/>
      </c>
      <c r="H197" s="35">
        <f>IF(OR(G197="",G197="NOT ON LIST"),"",VLOOKUP(G197,Students!$A:$C,2,FALSE))</f>
        <v/>
      </c>
      <c r="I197" s="35">
        <f>IF(OR(G197="",G197="NOT ON LIST"),"",VLOOKUP(G197,Students!$A:$C,3,FALSE)&amp;"")</f>
        <v/>
      </c>
    </row>
    <row r="198">
      <c r="A198" s="31" t="n">
        <v>46338.90625</v>
      </c>
      <c r="B198" s="32" t="inlineStr">
        <is>
          <t>Nicolas Perez</t>
        </is>
      </c>
      <c r="C198" s="32" t="inlineStr">
        <is>
          <t>Nora Perez</t>
        </is>
      </c>
      <c r="D198" s="33" t="n">
        <v>150</v>
      </c>
      <c r="E198" s="32" t="inlineStr">
        <is>
          <t>OneCause</t>
        </is>
      </c>
      <c r="F198" s="34">
        <f>IF(A198="","",IFERROR(INT(A198),"check date"))</f>
        <v/>
      </c>
      <c r="G198" s="35">
        <f>IF(B198="","",IFERROR(INDEX(Students!$A:$A,MATCH(TRIM(B198),Students!$A:$A,0)),"NOT ON LIST"))</f>
        <v/>
      </c>
      <c r="H198" s="35">
        <f>IF(OR(G198="",G198="NOT ON LIST"),"",VLOOKUP(G198,Students!$A:$C,2,FALSE))</f>
        <v/>
      </c>
      <c r="I198" s="35">
        <f>IF(OR(G198="",G198="NOT ON LIST"),"",VLOOKUP(G198,Students!$A:$C,3,FALSE)&amp;"")</f>
        <v/>
      </c>
    </row>
    <row r="199">
      <c r="A199" s="31" t="n">
        <v>46335.40625</v>
      </c>
      <c r="B199" s="32" t="inlineStr">
        <is>
          <t>Zoe Murphy</t>
        </is>
      </c>
      <c r="C199" s="32" t="inlineStr">
        <is>
          <t>Maya Murphy</t>
        </is>
      </c>
      <c r="D199" s="33" t="n">
        <v>50</v>
      </c>
      <c r="E199" s="32" t="inlineStr">
        <is>
          <t>OneCause</t>
        </is>
      </c>
      <c r="F199" s="34">
        <f>IF(A199="","",IFERROR(INT(A199),"check date"))</f>
        <v/>
      </c>
      <c r="G199" s="35">
        <f>IF(B199="","",IFERROR(INDEX(Students!$A:$A,MATCH(TRIM(B199),Students!$A:$A,0)),"NOT ON LIST"))</f>
        <v/>
      </c>
      <c r="H199" s="35">
        <f>IF(OR(G199="",G199="NOT ON LIST"),"",VLOOKUP(G199,Students!$A:$C,2,FALSE))</f>
        <v/>
      </c>
      <c r="I199" s="35">
        <f>IF(OR(G199="",G199="NOT ON LIST"),"",VLOOKUP(G199,Students!$A:$C,3,FALSE)&amp;"")</f>
        <v/>
      </c>
    </row>
    <row r="200">
      <c r="A200" s="31" t="n">
        <v>46339</v>
      </c>
      <c r="B200" s="32" t="inlineStr">
        <is>
          <t>Chloe Gomez</t>
        </is>
      </c>
      <c r="C200" s="32" t="inlineStr">
        <is>
          <t>Grace Gomez</t>
        </is>
      </c>
      <c r="D200" s="33" t="n">
        <v>25</v>
      </c>
      <c r="E200" s="32" t="inlineStr">
        <is>
          <t>Check</t>
        </is>
      </c>
      <c r="F200" s="34">
        <f>IF(A200="","",IFERROR(INT(A200),"check date"))</f>
        <v/>
      </c>
      <c r="G200" s="35">
        <f>IF(B200="","",IFERROR(INDEX(Students!$A:$A,MATCH(TRIM(B200),Students!$A:$A,0)),"NOT ON LIST"))</f>
        <v/>
      </c>
      <c r="H200" s="35">
        <f>IF(OR(G200="",G200="NOT ON LIST"),"",VLOOKUP(G200,Students!$A:$C,2,FALSE))</f>
        <v/>
      </c>
      <c r="I200" s="35">
        <f>IF(OR(G200="",G200="NOT ON LIST"),"",VLOOKUP(G200,Students!$A:$C,3,FALSE)&amp;"")</f>
        <v/>
      </c>
    </row>
    <row r="201">
      <c r="A201" s="31" t="n">
        <v>46328.39583333334</v>
      </c>
      <c r="B201" s="32" t="inlineStr">
        <is>
          <t>Evelyn Gomez</t>
        </is>
      </c>
      <c r="C201" s="32" t="inlineStr">
        <is>
          <t>Ava Gomez</t>
        </is>
      </c>
      <c r="D201" s="33" t="n">
        <v>50</v>
      </c>
      <c r="E201" s="32" t="inlineStr">
        <is>
          <t>OneCause</t>
        </is>
      </c>
      <c r="F201" s="34">
        <f>IF(A201="","",IFERROR(INT(A201),"check date"))</f>
        <v/>
      </c>
      <c r="G201" s="35">
        <f>IF(B201="","",IFERROR(INDEX(Students!$A:$A,MATCH(TRIM(B201),Students!$A:$A,0)),"NOT ON LIST"))</f>
        <v/>
      </c>
      <c r="H201" s="35">
        <f>IF(OR(G201="",G201="NOT ON LIST"),"",VLOOKUP(G201,Students!$A:$C,2,FALSE))</f>
        <v/>
      </c>
      <c r="I201" s="35">
        <f>IF(OR(G201="",G201="NOT ON LIST"),"",VLOOKUP(G201,Students!$A:$C,3,FALSE)&amp;"")</f>
        <v/>
      </c>
    </row>
    <row r="202">
      <c r="A202" s="31" t="n">
        <v>46332.88541666666</v>
      </c>
      <c r="B202" s="32" t="inlineStr">
        <is>
          <t>Julian Ramos</t>
        </is>
      </c>
      <c r="C202" s="32" t="inlineStr">
        <is>
          <t>Emma Ramos</t>
        </is>
      </c>
      <c r="D202" s="33" t="n">
        <v>25</v>
      </c>
      <c r="E202" s="32" t="inlineStr">
        <is>
          <t>OneCause</t>
        </is>
      </c>
      <c r="F202" s="34">
        <f>IF(A202="","",IFERROR(INT(A202),"check date"))</f>
        <v/>
      </c>
      <c r="G202" s="35">
        <f>IF(B202="","",IFERROR(INDEX(Students!$A:$A,MATCH(TRIM(B202),Students!$A:$A,0)),"NOT ON LIST"))</f>
        <v/>
      </c>
      <c r="H202" s="35">
        <f>IF(OR(G202="",G202="NOT ON LIST"),"",VLOOKUP(G202,Students!$A:$C,2,FALSE))</f>
        <v/>
      </c>
      <c r="I202" s="35">
        <f>IF(OR(G202="",G202="NOT ON LIST"),"",VLOOKUP(G202,Students!$A:$C,3,FALSE)&amp;"")</f>
        <v/>
      </c>
    </row>
    <row r="203">
      <c r="A203" s="31" t="n">
        <v>46328.6875</v>
      </c>
      <c r="B203" s="32" t="inlineStr">
        <is>
          <t>Amelia Flores</t>
        </is>
      </c>
      <c r="C203" s="32" t="inlineStr">
        <is>
          <t>Elijah Flores</t>
        </is>
      </c>
      <c r="D203" s="33" t="n">
        <v>50</v>
      </c>
      <c r="E203" s="32" t="inlineStr">
        <is>
          <t>OneCause</t>
        </is>
      </c>
      <c r="F203" s="34">
        <f>IF(A203="","",IFERROR(INT(A203),"check date"))</f>
        <v/>
      </c>
      <c r="G203" s="35">
        <f>IF(B203="","",IFERROR(INDEX(Students!$A:$A,MATCH(TRIM(B203),Students!$A:$A,0)),"NOT ON LIST"))</f>
        <v/>
      </c>
      <c r="H203" s="35">
        <f>IF(OR(G203="",G203="NOT ON LIST"),"",VLOOKUP(G203,Students!$A:$C,2,FALSE))</f>
        <v/>
      </c>
      <c r="I203" s="35">
        <f>IF(OR(G203="",G203="NOT ON LIST"),"",VLOOKUP(G203,Students!$A:$C,3,FALSE)&amp;"")</f>
        <v/>
      </c>
    </row>
    <row r="204">
      <c r="A204" s="31" t="n">
        <v>46339</v>
      </c>
      <c r="B204" s="32" t="inlineStr">
        <is>
          <t>Julian Cruz</t>
        </is>
      </c>
      <c r="C204" s="32" t="inlineStr">
        <is>
          <t>Mateo Cruz</t>
        </is>
      </c>
      <c r="D204" s="33" t="n">
        <v>25</v>
      </c>
      <c r="E204" s="32" t="inlineStr">
        <is>
          <t>Cash</t>
        </is>
      </c>
      <c r="F204" s="34">
        <f>IF(A204="","",IFERROR(INT(A204),"check date"))</f>
        <v/>
      </c>
      <c r="G204" s="35">
        <f>IF(B204="","",IFERROR(INDEX(Students!$A:$A,MATCH(TRIM(B204),Students!$A:$A,0)),"NOT ON LIST"))</f>
        <v/>
      </c>
      <c r="H204" s="35">
        <f>IF(OR(G204="",G204="NOT ON LIST"),"",VLOOKUP(G204,Students!$A:$C,2,FALSE))</f>
        <v/>
      </c>
      <c r="I204" s="35">
        <f>IF(OR(G204="",G204="NOT ON LIST"),"",VLOOKUP(G204,Students!$A:$C,3,FALSE)&amp;"")</f>
        <v/>
      </c>
    </row>
    <row r="205">
      <c r="A205" s="31" t="n">
        <v>46326.30208333334</v>
      </c>
      <c r="B205" s="32" t="inlineStr">
        <is>
          <t>Joseph Nguyen</t>
        </is>
      </c>
      <c r="C205" s="32" t="inlineStr">
        <is>
          <t>Ava Nguyen</t>
        </is>
      </c>
      <c r="D205" s="33" t="n">
        <v>25</v>
      </c>
      <c r="E205" s="32" t="inlineStr">
        <is>
          <t>OneCause</t>
        </is>
      </c>
      <c r="F205" s="34">
        <f>IF(A205="","",IFERROR(INT(A205),"check date"))</f>
        <v/>
      </c>
      <c r="G205" s="35">
        <f>IF(B205="","",IFERROR(INDEX(Students!$A:$A,MATCH(TRIM(B205),Students!$A:$A,0)),"NOT ON LIST"))</f>
        <v/>
      </c>
      <c r="H205" s="35">
        <f>IF(OR(G205="",G205="NOT ON LIST"),"",VLOOKUP(G205,Students!$A:$C,2,FALSE))</f>
        <v/>
      </c>
      <c r="I205" s="35">
        <f>IF(OR(G205="",G205="NOT ON LIST"),"",VLOOKUP(G205,Students!$A:$C,3,FALSE)&amp;"")</f>
        <v/>
      </c>
    </row>
    <row r="206">
      <c r="A206" s="31" t="n">
        <v>46327.35416666666</v>
      </c>
      <c r="B206" s="32" t="inlineStr">
        <is>
          <t>Samuel Ryan</t>
        </is>
      </c>
      <c r="C206" s="32" t="inlineStr">
        <is>
          <t>Harper Ryan</t>
        </is>
      </c>
      <c r="D206" s="33" t="n">
        <v>25</v>
      </c>
      <c r="E206" s="32" t="inlineStr">
        <is>
          <t>OneCause</t>
        </is>
      </c>
      <c r="F206" s="34">
        <f>IF(A206="","",IFERROR(INT(A206),"check date"))</f>
        <v/>
      </c>
      <c r="G206" s="35">
        <f>IF(B206="","",IFERROR(INDEX(Students!$A:$A,MATCH(TRIM(B206),Students!$A:$A,0)),"NOT ON LIST"))</f>
        <v/>
      </c>
      <c r="H206" s="35">
        <f>IF(OR(G206="",G206="NOT ON LIST"),"",VLOOKUP(G206,Students!$A:$C,2,FALSE))</f>
        <v/>
      </c>
      <c r="I206" s="35">
        <f>IF(OR(G206="",G206="NOT ON LIST"),"",VLOOKUP(G206,Students!$A:$C,3,FALSE)&amp;"")</f>
        <v/>
      </c>
    </row>
    <row r="207">
      <c r="A207" s="31" t="n">
        <v>46339.67708333334</v>
      </c>
      <c r="B207" s="32" t="inlineStr">
        <is>
          <t>Grace Reyes</t>
        </is>
      </c>
      <c r="C207" s="32" t="inlineStr">
        <is>
          <t>Henry Reyes</t>
        </is>
      </c>
      <c r="D207" s="33" t="n">
        <v>75</v>
      </c>
      <c r="E207" s="32" t="inlineStr">
        <is>
          <t>OneCause</t>
        </is>
      </c>
      <c r="F207" s="34">
        <f>IF(A207="","",IFERROR(INT(A207),"check date"))</f>
        <v/>
      </c>
      <c r="G207" s="35">
        <f>IF(B207="","",IFERROR(INDEX(Students!$A:$A,MATCH(TRIM(B207),Students!$A:$A,0)),"NOT ON LIST"))</f>
        <v/>
      </c>
      <c r="H207" s="35">
        <f>IF(OR(G207="",G207="NOT ON LIST"),"",VLOOKUP(G207,Students!$A:$C,2,FALSE))</f>
        <v/>
      </c>
      <c r="I207" s="35">
        <f>IF(OR(G207="",G207="NOT ON LIST"),"",VLOOKUP(G207,Students!$A:$C,3,FALSE)&amp;"")</f>
        <v/>
      </c>
    </row>
    <row r="208">
      <c r="A208" s="31" t="n">
        <v>46332.64583333334</v>
      </c>
      <c r="B208" s="32" t="inlineStr">
        <is>
          <t>Diego Lopez</t>
        </is>
      </c>
      <c r="C208" s="32" t="inlineStr">
        <is>
          <t>Benjamin Lopez</t>
        </is>
      </c>
      <c r="D208" s="33" t="n">
        <v>75</v>
      </c>
      <c r="E208" s="32" t="inlineStr">
        <is>
          <t>OneCause</t>
        </is>
      </c>
      <c r="F208" s="34">
        <f>IF(A208="","",IFERROR(INT(A208),"check date"))</f>
        <v/>
      </c>
      <c r="G208" s="35">
        <f>IF(B208="","",IFERROR(INDEX(Students!$A:$A,MATCH(TRIM(B208),Students!$A:$A,0)),"NOT ON LIST"))</f>
        <v/>
      </c>
      <c r="H208" s="35">
        <f>IF(OR(G208="",G208="NOT ON LIST"),"",VLOOKUP(G208,Students!$A:$C,2,FALSE))</f>
        <v/>
      </c>
      <c r="I208" s="35">
        <f>IF(OR(G208="",G208="NOT ON LIST"),"",VLOOKUP(G208,Students!$A:$C,3,FALSE)&amp;"")</f>
        <v/>
      </c>
    </row>
    <row r="209">
      <c r="A209" s="31" t="n">
        <v>46332.44791666666</v>
      </c>
      <c r="B209" s="32" t="inlineStr">
        <is>
          <t>Adrian Nguyen</t>
        </is>
      </c>
      <c r="C209" s="32" t="inlineStr">
        <is>
          <t>Amelia Nguyen</t>
        </is>
      </c>
      <c r="D209" s="33" t="n">
        <v>25</v>
      </c>
      <c r="E209" s="32" t="inlineStr">
        <is>
          <t>OneCause</t>
        </is>
      </c>
      <c r="F209" s="34">
        <f>IF(A209="","",IFERROR(INT(A209),"check date"))</f>
        <v/>
      </c>
      <c r="G209" s="35">
        <f>IF(B209="","",IFERROR(INDEX(Students!$A:$A,MATCH(TRIM(B209),Students!$A:$A,0)),"NOT ON LIST"))</f>
        <v/>
      </c>
      <c r="H209" s="35">
        <f>IF(OR(G209="",G209="NOT ON LIST"),"",VLOOKUP(G209,Students!$A:$C,2,FALSE))</f>
        <v/>
      </c>
      <c r="I209" s="35">
        <f>IF(OR(G209="",G209="NOT ON LIST"),"",VLOOKUP(G209,Students!$A:$C,3,FALSE)&amp;"")</f>
        <v/>
      </c>
    </row>
    <row r="210">
      <c r="A210" s="31" t="n">
        <v>46329.6875</v>
      </c>
      <c r="B210" s="32" t="inlineStr">
        <is>
          <t>Mateo Gonzalez</t>
        </is>
      </c>
      <c r="C210" s="32" t="inlineStr">
        <is>
          <t>Julian Gonzalez</t>
        </is>
      </c>
      <c r="D210" s="33" t="n">
        <v>20</v>
      </c>
      <c r="E210" s="32" t="inlineStr">
        <is>
          <t>OneCause</t>
        </is>
      </c>
      <c r="F210" s="34">
        <f>IF(A210="","",IFERROR(INT(A210),"check date"))</f>
        <v/>
      </c>
      <c r="G210" s="35">
        <f>IF(B210="","",IFERROR(INDEX(Students!$A:$A,MATCH(TRIM(B210),Students!$A:$A,0)),"NOT ON LIST"))</f>
        <v/>
      </c>
      <c r="H210" s="35">
        <f>IF(OR(G210="",G210="NOT ON LIST"),"",VLOOKUP(G210,Students!$A:$C,2,FALSE))</f>
        <v/>
      </c>
      <c r="I210" s="35">
        <f>IF(OR(G210="",G210="NOT ON LIST"),"",VLOOKUP(G210,Students!$A:$C,3,FALSE)&amp;"")</f>
        <v/>
      </c>
    </row>
    <row r="211">
      <c r="A211" s="31" t="n">
        <v>46331.41666666666</v>
      </c>
      <c r="B211" s="32" t="inlineStr">
        <is>
          <t>Adrian Diaz</t>
        </is>
      </c>
      <c r="C211" s="32" t="inlineStr">
        <is>
          <t>Amelia Diaz</t>
        </is>
      </c>
      <c r="D211" s="33" t="n">
        <v>100</v>
      </c>
      <c r="E211" s="32" t="inlineStr">
        <is>
          <t>OneCause</t>
        </is>
      </c>
      <c r="F211" s="34">
        <f>IF(A211="","",IFERROR(INT(A211),"check date"))</f>
        <v/>
      </c>
      <c r="G211" s="35">
        <f>IF(B211="","",IFERROR(INDEX(Students!$A:$A,MATCH(TRIM(B211),Students!$A:$A,0)),"NOT ON LIST"))</f>
        <v/>
      </c>
      <c r="H211" s="35">
        <f>IF(OR(G211="",G211="NOT ON LIST"),"",VLOOKUP(G211,Students!$A:$C,2,FALSE))</f>
        <v/>
      </c>
      <c r="I211" s="35">
        <f>IF(OR(G211="",G211="NOT ON LIST"),"",VLOOKUP(G211,Students!$A:$C,3,FALSE)&amp;"")</f>
        <v/>
      </c>
    </row>
    <row r="212">
      <c r="A212" s="31" t="n">
        <v>46330.75</v>
      </c>
      <c r="B212" s="32" t="inlineStr">
        <is>
          <t>Maya O'Brien</t>
        </is>
      </c>
      <c r="C212" s="32" t="inlineStr">
        <is>
          <t>Diego O'Brien</t>
        </is>
      </c>
      <c r="D212" s="33" t="n">
        <v>50</v>
      </c>
      <c r="E212" s="32" t="inlineStr">
        <is>
          <t>OneCause</t>
        </is>
      </c>
      <c r="F212" s="34">
        <f>IF(A212="","",IFERROR(INT(A212),"check date"))</f>
        <v/>
      </c>
      <c r="G212" s="35">
        <f>IF(B212="","",IFERROR(INDEX(Students!$A:$A,MATCH(TRIM(B212),Students!$A:$A,0)),"NOT ON LIST"))</f>
        <v/>
      </c>
      <c r="H212" s="35">
        <f>IF(OR(G212="",G212="NOT ON LIST"),"",VLOOKUP(G212,Students!$A:$C,2,FALSE))</f>
        <v/>
      </c>
      <c r="I212" s="35">
        <f>IF(OR(G212="",G212="NOT ON LIST"),"",VLOOKUP(G212,Students!$A:$C,3,FALSE)&amp;"")</f>
        <v/>
      </c>
    </row>
    <row r="213">
      <c r="A213" s="31" t="n">
        <v>46327</v>
      </c>
      <c r="B213" s="32" t="inlineStr">
        <is>
          <t>Diego Ryan</t>
        </is>
      </c>
      <c r="C213" s="32" t="inlineStr">
        <is>
          <t>Joseph Ryan</t>
        </is>
      </c>
      <c r="D213" s="33" t="n">
        <v>25</v>
      </c>
      <c r="E213" s="32" t="inlineStr">
        <is>
          <t>Check</t>
        </is>
      </c>
      <c r="F213" s="34">
        <f>IF(A213="","",IFERROR(INT(A213),"check date"))</f>
        <v/>
      </c>
      <c r="G213" s="35">
        <f>IF(B213="","",IFERROR(INDEX(Students!$A:$A,MATCH(TRIM(B213),Students!$A:$A,0)),"NOT ON LIST"))</f>
        <v/>
      </c>
      <c r="H213" s="35">
        <f>IF(OR(G213="",G213="NOT ON LIST"),"",VLOOKUP(G213,Students!$A:$C,2,FALSE))</f>
        <v/>
      </c>
      <c r="I213" s="35">
        <f>IF(OR(G213="",G213="NOT ON LIST"),"",VLOOKUP(G213,Students!$A:$C,3,FALSE)&amp;"")</f>
        <v/>
      </c>
    </row>
    <row r="214">
      <c r="A214" s="31" t="n">
        <v>46332</v>
      </c>
      <c r="B214" s="32" t="inlineStr">
        <is>
          <t>Leo Vasquez</t>
        </is>
      </c>
      <c r="C214" s="32" t="inlineStr">
        <is>
          <t>Mateo Vasquez</t>
        </is>
      </c>
      <c r="D214" s="33" t="n">
        <v>50</v>
      </c>
      <c r="E214" s="32" t="inlineStr">
        <is>
          <t>Cash</t>
        </is>
      </c>
      <c r="F214" s="34">
        <f>IF(A214="","",IFERROR(INT(A214),"check date"))</f>
        <v/>
      </c>
      <c r="G214" s="35">
        <f>IF(B214="","",IFERROR(INDEX(Students!$A:$A,MATCH(TRIM(B214),Students!$A:$A,0)),"NOT ON LIST"))</f>
        <v/>
      </c>
      <c r="H214" s="35">
        <f>IF(OR(G214="",G214="NOT ON LIST"),"",VLOOKUP(G214,Students!$A:$C,2,FALSE))</f>
        <v/>
      </c>
      <c r="I214" s="35">
        <f>IF(OR(G214="",G214="NOT ON LIST"),"",VLOOKUP(G214,Students!$A:$C,3,FALSE)&amp;"")</f>
        <v/>
      </c>
    </row>
    <row r="215">
      <c r="A215" s="31" t="n">
        <v>46328.69791666666</v>
      </c>
      <c r="B215" s="32" t="inlineStr">
        <is>
          <t>Joseph Williams</t>
        </is>
      </c>
      <c r="C215" s="32" t="inlineStr">
        <is>
          <t>Elena Williams</t>
        </is>
      </c>
      <c r="D215" s="33" t="n">
        <v>25</v>
      </c>
      <c r="E215" s="32" t="inlineStr">
        <is>
          <t>OneCause</t>
        </is>
      </c>
      <c r="F215" s="34">
        <f>IF(A215="","",IFERROR(INT(A215),"check date"))</f>
        <v/>
      </c>
      <c r="G215" s="35">
        <f>IF(B215="","",IFERROR(INDEX(Students!$A:$A,MATCH(TRIM(B215),Students!$A:$A,0)),"NOT ON LIST"))</f>
        <v/>
      </c>
      <c r="H215" s="35">
        <f>IF(OR(G215="",G215="NOT ON LIST"),"",VLOOKUP(G215,Students!$A:$C,2,FALSE))</f>
        <v/>
      </c>
      <c r="I215" s="35">
        <f>IF(OR(G215="",G215="NOT ON LIST"),"",VLOOKUP(G215,Students!$A:$C,3,FALSE)&amp;"")</f>
        <v/>
      </c>
    </row>
    <row r="216">
      <c r="A216" s="31" t="n">
        <v>46330.52083333334</v>
      </c>
      <c r="B216" s="32" t="inlineStr">
        <is>
          <t>Evelyn Rodriguez</t>
        </is>
      </c>
      <c r="C216" s="32" t="inlineStr">
        <is>
          <t>Evelyn Rodriguez</t>
        </is>
      </c>
      <c r="D216" s="33" t="n">
        <v>100</v>
      </c>
      <c r="E216" s="32" t="inlineStr">
        <is>
          <t>OneCause</t>
        </is>
      </c>
      <c r="F216" s="34">
        <f>IF(A216="","",IFERROR(INT(A216),"check date"))</f>
        <v/>
      </c>
      <c r="G216" s="35">
        <f>IF(B216="","",IFERROR(INDEX(Students!$A:$A,MATCH(TRIM(B216),Students!$A:$A,0)),"NOT ON LIST"))</f>
        <v/>
      </c>
      <c r="H216" s="35">
        <f>IF(OR(G216="",G216="NOT ON LIST"),"",VLOOKUP(G216,Students!$A:$C,2,FALSE))</f>
        <v/>
      </c>
      <c r="I216" s="35">
        <f>IF(OR(G216="",G216="NOT ON LIST"),"",VLOOKUP(G216,Students!$A:$C,3,FALSE)&amp;"")</f>
        <v/>
      </c>
    </row>
    <row r="217">
      <c r="A217" s="31" t="n">
        <v>46335.83333333334</v>
      </c>
      <c r="B217" s="32" t="inlineStr">
        <is>
          <t>Harper Gutierrez</t>
        </is>
      </c>
      <c r="C217" s="32" t="inlineStr">
        <is>
          <t>Lucas Gutierrez</t>
        </is>
      </c>
      <c r="D217" s="33" t="n">
        <v>100</v>
      </c>
      <c r="E217" s="32" t="inlineStr">
        <is>
          <t>OneCause</t>
        </is>
      </c>
      <c r="F217" s="34">
        <f>IF(A217="","",IFERROR(INT(A217),"check date"))</f>
        <v/>
      </c>
      <c r="G217" s="35">
        <f>IF(B217="","",IFERROR(INDEX(Students!$A:$A,MATCH(TRIM(B217),Students!$A:$A,0)),"NOT ON LIST"))</f>
        <v/>
      </c>
      <c r="H217" s="35">
        <f>IF(OR(G217="",G217="NOT ON LIST"),"",VLOOKUP(G217,Students!$A:$C,2,FALSE))</f>
        <v/>
      </c>
      <c r="I217" s="35">
        <f>IF(OR(G217="",G217="NOT ON LIST"),"",VLOOKUP(G217,Students!$A:$C,3,FALSE)&amp;"")</f>
        <v/>
      </c>
    </row>
    <row r="218">
      <c r="A218" s="31" t="n">
        <v>46336.86458333334</v>
      </c>
      <c r="B218" s="32" t="inlineStr">
        <is>
          <t>Gabriel Flores</t>
        </is>
      </c>
      <c r="C218" s="32" t="inlineStr">
        <is>
          <t>Liam Flores</t>
        </is>
      </c>
      <c r="D218" s="33" t="n">
        <v>25</v>
      </c>
      <c r="E218" s="32" t="inlineStr">
        <is>
          <t>OneCause</t>
        </is>
      </c>
      <c r="F218" s="34">
        <f>IF(A218="","",IFERROR(INT(A218),"check date"))</f>
        <v/>
      </c>
      <c r="G218" s="35">
        <f>IF(B218="","",IFERROR(INDEX(Students!$A:$A,MATCH(TRIM(B218),Students!$A:$A,0)),"NOT ON LIST"))</f>
        <v/>
      </c>
      <c r="H218" s="35">
        <f>IF(OR(G218="",G218="NOT ON LIST"),"",VLOOKUP(G218,Students!$A:$C,2,FALSE))</f>
        <v/>
      </c>
      <c r="I218" s="35">
        <f>IF(OR(G218="",G218="NOT ON LIST"),"",VLOOKUP(G218,Students!$A:$C,3,FALSE)&amp;"")</f>
        <v/>
      </c>
    </row>
    <row r="219">
      <c r="A219" s="31" t="n">
        <v>46331.375</v>
      </c>
      <c r="B219" s="32" t="inlineStr">
        <is>
          <t>Isaac Williams</t>
        </is>
      </c>
      <c r="C219" s="32" t="inlineStr">
        <is>
          <t>Mia Williams</t>
        </is>
      </c>
      <c r="D219" s="33" t="n">
        <v>25</v>
      </c>
      <c r="E219" s="32" t="inlineStr">
        <is>
          <t>OneCause</t>
        </is>
      </c>
      <c r="F219" s="34">
        <f>IF(A219="","",IFERROR(INT(A219),"check date"))</f>
        <v/>
      </c>
      <c r="G219" s="35">
        <f>IF(B219="","",IFERROR(INDEX(Students!$A:$A,MATCH(TRIM(B219),Students!$A:$A,0)),"NOT ON LIST"))</f>
        <v/>
      </c>
      <c r="H219" s="35">
        <f>IF(OR(G219="",G219="NOT ON LIST"),"",VLOOKUP(G219,Students!$A:$C,2,FALSE))</f>
        <v/>
      </c>
      <c r="I219" s="35">
        <f>IF(OR(G219="",G219="NOT ON LIST"),"",VLOOKUP(G219,Students!$A:$C,3,FALSE)&amp;"")</f>
        <v/>
      </c>
    </row>
    <row r="220">
      <c r="A220" s="31" t="n">
        <v>46325.90625</v>
      </c>
      <c r="B220" s="32" t="inlineStr">
        <is>
          <t>Amelia Vasquez</t>
        </is>
      </c>
      <c r="C220" s="32" t="inlineStr">
        <is>
          <t>Diego Vasquez</t>
        </is>
      </c>
      <c r="D220" s="33" t="n">
        <v>20</v>
      </c>
      <c r="E220" s="32" t="inlineStr">
        <is>
          <t>OneCause</t>
        </is>
      </c>
      <c r="F220" s="34">
        <f>IF(A220="","",IFERROR(INT(A220),"check date"))</f>
        <v/>
      </c>
      <c r="G220" s="35">
        <f>IF(B220="","",IFERROR(INDEX(Students!$A:$A,MATCH(TRIM(B220),Students!$A:$A,0)),"NOT ON LIST"))</f>
        <v/>
      </c>
      <c r="H220" s="35">
        <f>IF(OR(G220="",G220="NOT ON LIST"),"",VLOOKUP(G220,Students!$A:$C,2,FALSE))</f>
        <v/>
      </c>
      <c r="I220" s="35">
        <f>IF(OR(G220="",G220="NOT ON LIST"),"",VLOOKUP(G220,Students!$A:$C,3,FALSE)&amp;"")</f>
        <v/>
      </c>
    </row>
    <row r="221">
      <c r="A221" s="31" t="n">
        <v>46328</v>
      </c>
      <c r="B221" s="32" t="inlineStr">
        <is>
          <t>Isaac Williams</t>
        </is>
      </c>
      <c r="C221" s="32" t="inlineStr">
        <is>
          <t>Noah Williams</t>
        </is>
      </c>
      <c r="D221" s="33" t="n">
        <v>25</v>
      </c>
      <c r="E221" s="32" t="inlineStr">
        <is>
          <t>Check</t>
        </is>
      </c>
      <c r="F221" s="34">
        <f>IF(A221="","",IFERROR(INT(A221),"check date"))</f>
        <v/>
      </c>
      <c r="G221" s="35">
        <f>IF(B221="","",IFERROR(INDEX(Students!$A:$A,MATCH(TRIM(B221),Students!$A:$A,0)),"NOT ON LIST"))</f>
        <v/>
      </c>
      <c r="H221" s="35">
        <f>IF(OR(G221="",G221="NOT ON LIST"),"",VLOOKUP(G221,Students!$A:$C,2,FALSE))</f>
        <v/>
      </c>
      <c r="I221" s="35">
        <f>IF(OR(G221="",G221="NOT ON LIST"),"",VLOOKUP(G221,Students!$A:$C,3,FALSE)&amp;"")</f>
        <v/>
      </c>
    </row>
    <row r="222">
      <c r="A222" s="31" t="n">
        <v>46329.83333333334</v>
      </c>
      <c r="B222" s="32" t="inlineStr">
        <is>
          <t>Clara Nguyen</t>
        </is>
      </c>
      <c r="C222" s="32" t="inlineStr">
        <is>
          <t>Camila Nguyen</t>
        </is>
      </c>
      <c r="D222" s="33" t="n">
        <v>25</v>
      </c>
      <c r="E222" s="32" t="inlineStr">
        <is>
          <t>OneCause</t>
        </is>
      </c>
      <c r="F222" s="34">
        <f>IF(A222="","",IFERROR(INT(A222),"check date"))</f>
        <v/>
      </c>
      <c r="G222" s="35">
        <f>IF(B222="","",IFERROR(INDEX(Students!$A:$A,MATCH(TRIM(B222),Students!$A:$A,0)),"NOT ON LIST"))</f>
        <v/>
      </c>
      <c r="H222" s="35">
        <f>IF(OR(G222="",G222="NOT ON LIST"),"",VLOOKUP(G222,Students!$A:$C,2,FALSE))</f>
        <v/>
      </c>
      <c r="I222" s="35">
        <f>IF(OR(G222="",G222="NOT ON LIST"),"",VLOOKUP(G222,Students!$A:$C,3,FALSE)&amp;"")</f>
        <v/>
      </c>
    </row>
    <row r="223">
      <c r="A223" s="31" t="n">
        <v>46335.35416666666</v>
      </c>
      <c r="B223" s="32" t="inlineStr">
        <is>
          <t>Aria Kim</t>
        </is>
      </c>
      <c r="C223" s="32" t="inlineStr">
        <is>
          <t>Clara Kim</t>
        </is>
      </c>
      <c r="D223" s="33" t="n">
        <v>25</v>
      </c>
      <c r="E223" s="32" t="inlineStr">
        <is>
          <t>OneCause</t>
        </is>
      </c>
      <c r="F223" s="34">
        <f>IF(A223="","",IFERROR(INT(A223),"check date"))</f>
        <v/>
      </c>
      <c r="G223" s="35">
        <f>IF(B223="","",IFERROR(INDEX(Students!$A:$A,MATCH(TRIM(B223),Students!$A:$A,0)),"NOT ON LIST"))</f>
        <v/>
      </c>
      <c r="H223" s="35">
        <f>IF(OR(G223="",G223="NOT ON LIST"),"",VLOOKUP(G223,Students!$A:$C,2,FALSE))</f>
        <v/>
      </c>
      <c r="I223" s="35">
        <f>IF(OR(G223="",G223="NOT ON LIST"),"",VLOOKUP(G223,Students!$A:$C,3,FALSE)&amp;"")</f>
        <v/>
      </c>
    </row>
    <row r="224">
      <c r="A224" s="31" t="n">
        <v>46325.66666666666</v>
      </c>
      <c r="B224" s="32" t="inlineStr">
        <is>
          <t>Chloe Smith</t>
        </is>
      </c>
      <c r="C224" s="32" t="inlineStr">
        <is>
          <t>Clara Smith</t>
        </is>
      </c>
      <c r="D224" s="33" t="n">
        <v>20</v>
      </c>
      <c r="E224" s="32" t="inlineStr">
        <is>
          <t>OneCause</t>
        </is>
      </c>
      <c r="F224" s="34">
        <f>IF(A224="","",IFERROR(INT(A224),"check date"))</f>
        <v/>
      </c>
      <c r="G224" s="35">
        <f>IF(B224="","",IFERROR(INDEX(Students!$A:$A,MATCH(TRIM(B224),Students!$A:$A,0)),"NOT ON LIST"))</f>
        <v/>
      </c>
      <c r="H224" s="35">
        <f>IF(OR(G224="",G224="NOT ON LIST"),"",VLOOKUP(G224,Students!$A:$C,2,FALSE))</f>
        <v/>
      </c>
      <c r="I224" s="35">
        <f>IF(OR(G224="",G224="NOT ON LIST"),"",VLOOKUP(G224,Students!$A:$C,3,FALSE)&amp;"")</f>
        <v/>
      </c>
    </row>
    <row r="225">
      <c r="A225" s="31" t="n">
        <v>46329</v>
      </c>
      <c r="B225" s="32" t="inlineStr">
        <is>
          <t>Liam Murphy</t>
        </is>
      </c>
      <c r="C225" s="32" t="inlineStr">
        <is>
          <t>Aria Murphy</t>
        </is>
      </c>
      <c r="D225" s="33" t="n">
        <v>50</v>
      </c>
      <c r="E225" s="32" t="inlineStr">
        <is>
          <t>Cash</t>
        </is>
      </c>
      <c r="F225" s="34">
        <f>IF(A225="","",IFERROR(INT(A225),"check date"))</f>
        <v/>
      </c>
      <c r="G225" s="35">
        <f>IF(B225="","",IFERROR(INDEX(Students!$A:$A,MATCH(TRIM(B225),Students!$A:$A,0)),"NOT ON LIST"))</f>
        <v/>
      </c>
      <c r="H225" s="35">
        <f>IF(OR(G225="",G225="NOT ON LIST"),"",VLOOKUP(G225,Students!$A:$C,2,FALSE))</f>
        <v/>
      </c>
      <c r="I225" s="35">
        <f>IF(OR(G225="",G225="NOT ON LIST"),"",VLOOKUP(G225,Students!$A:$C,3,FALSE)&amp;"")</f>
        <v/>
      </c>
    </row>
    <row r="226">
      <c r="A226" s="31" t="n">
        <v>46325.875</v>
      </c>
      <c r="B226" s="32" t="inlineStr">
        <is>
          <t>Luna Ryan</t>
        </is>
      </c>
      <c r="C226" s="32" t="inlineStr">
        <is>
          <t>Amelia Ryan</t>
        </is>
      </c>
      <c r="D226" s="33" t="n">
        <v>50</v>
      </c>
      <c r="E226" s="32" t="inlineStr">
        <is>
          <t>OneCause</t>
        </is>
      </c>
      <c r="F226" s="34">
        <f>IF(A226="","",IFERROR(INT(A226),"check date"))</f>
        <v/>
      </c>
      <c r="G226" s="35">
        <f>IF(B226="","",IFERROR(INDEX(Students!$A:$A,MATCH(TRIM(B226),Students!$A:$A,0)),"NOT ON LIST"))</f>
        <v/>
      </c>
      <c r="H226" s="35">
        <f>IF(OR(G226="",G226="NOT ON LIST"),"",VLOOKUP(G226,Students!$A:$C,2,FALSE))</f>
        <v/>
      </c>
      <c r="I226" s="35">
        <f>IF(OR(G226="",G226="NOT ON LIST"),"",VLOOKUP(G226,Students!$A:$C,3,FALSE)&amp;"")</f>
        <v/>
      </c>
    </row>
    <row r="227">
      <c r="A227" s="31" t="n">
        <v>46331.48958333334</v>
      </c>
      <c r="B227" s="32" t="inlineStr">
        <is>
          <t>Clara Diaz</t>
        </is>
      </c>
      <c r="C227" s="32" t="inlineStr">
        <is>
          <t>David Diaz</t>
        </is>
      </c>
      <c r="D227" s="33" t="n">
        <v>75</v>
      </c>
      <c r="E227" s="32" t="inlineStr">
        <is>
          <t>OneCause</t>
        </is>
      </c>
      <c r="F227" s="34">
        <f>IF(A227="","",IFERROR(INT(A227),"check date"))</f>
        <v/>
      </c>
      <c r="G227" s="35">
        <f>IF(B227="","",IFERROR(INDEX(Students!$A:$A,MATCH(TRIM(B227),Students!$A:$A,0)),"NOT ON LIST"))</f>
        <v/>
      </c>
      <c r="H227" s="35">
        <f>IF(OR(G227="",G227="NOT ON LIST"),"",VLOOKUP(G227,Students!$A:$C,2,FALSE))</f>
        <v/>
      </c>
      <c r="I227" s="35">
        <f>IF(OR(G227="",G227="NOT ON LIST"),"",VLOOKUP(G227,Students!$A:$C,3,FALSE)&amp;"")</f>
        <v/>
      </c>
    </row>
    <row r="228">
      <c r="A228" s="31" t="n">
        <v>46333.32291666666</v>
      </c>
      <c r="B228" s="32" t="inlineStr">
        <is>
          <t>Evelyn Cruz</t>
        </is>
      </c>
      <c r="C228" s="32" t="inlineStr">
        <is>
          <t>Isabella Cruz</t>
        </is>
      </c>
      <c r="D228" s="33" t="n">
        <v>10</v>
      </c>
      <c r="E228" s="32" t="inlineStr">
        <is>
          <t>OneCause</t>
        </is>
      </c>
      <c r="F228" s="34">
        <f>IF(A228="","",IFERROR(INT(A228),"check date"))</f>
        <v/>
      </c>
      <c r="G228" s="35">
        <f>IF(B228="","",IFERROR(INDEX(Students!$A:$A,MATCH(TRIM(B228),Students!$A:$A,0)),"NOT ON LIST"))</f>
        <v/>
      </c>
      <c r="H228" s="35">
        <f>IF(OR(G228="",G228="NOT ON LIST"),"",VLOOKUP(G228,Students!$A:$C,2,FALSE))</f>
        <v/>
      </c>
      <c r="I228" s="35">
        <f>IF(OR(G228="",G228="NOT ON LIST"),"",VLOOKUP(G228,Students!$A:$C,3,FALSE)&amp;"")</f>
        <v/>
      </c>
    </row>
    <row r="229">
      <c r="A229" s="31" t="n">
        <v>46325.82291666666</v>
      </c>
      <c r="B229" s="32" t="inlineStr">
        <is>
          <t>Mateo Kelly</t>
        </is>
      </c>
      <c r="C229" s="32" t="inlineStr">
        <is>
          <t>Noah Kelly</t>
        </is>
      </c>
      <c r="D229" s="33" t="n">
        <v>25</v>
      </c>
      <c r="E229" s="32" t="inlineStr">
        <is>
          <t>OneCause</t>
        </is>
      </c>
      <c r="F229" s="34">
        <f>IF(A229="","",IFERROR(INT(A229),"check date"))</f>
        <v/>
      </c>
      <c r="G229" s="35">
        <f>IF(B229="","",IFERROR(INDEX(Students!$A:$A,MATCH(TRIM(B229),Students!$A:$A,0)),"NOT ON LIST"))</f>
        <v/>
      </c>
      <c r="H229" s="35">
        <f>IF(OR(G229="",G229="NOT ON LIST"),"",VLOOKUP(G229,Students!$A:$C,2,FALSE))</f>
        <v/>
      </c>
      <c r="I229" s="35">
        <f>IF(OR(G229="",G229="NOT ON LIST"),"",VLOOKUP(G229,Students!$A:$C,3,FALSE)&amp;"")</f>
        <v/>
      </c>
    </row>
    <row r="230">
      <c r="A230" s="31" t="n">
        <v>46333.41666666666</v>
      </c>
      <c r="B230" s="32" t="inlineStr">
        <is>
          <t>Emma Perez</t>
        </is>
      </c>
      <c r="C230" s="32" t="inlineStr">
        <is>
          <t>Sofia Perez</t>
        </is>
      </c>
      <c r="D230" s="33" t="n">
        <v>25</v>
      </c>
      <c r="E230" s="32" t="inlineStr">
        <is>
          <t>OneCause</t>
        </is>
      </c>
      <c r="F230" s="34">
        <f>IF(A230="","",IFERROR(INT(A230),"check date"))</f>
        <v/>
      </c>
      <c r="G230" s="35">
        <f>IF(B230="","",IFERROR(INDEX(Students!$A:$A,MATCH(TRIM(B230),Students!$A:$A,0)),"NOT ON LIST"))</f>
        <v/>
      </c>
      <c r="H230" s="35">
        <f>IF(OR(G230="",G230="NOT ON LIST"),"",VLOOKUP(G230,Students!$A:$C,2,FALSE))</f>
        <v/>
      </c>
      <c r="I230" s="35">
        <f>IF(OR(G230="",G230="NOT ON LIST"),"",VLOOKUP(G230,Students!$A:$C,3,FALSE)&amp;"")</f>
        <v/>
      </c>
    </row>
    <row r="231">
      <c r="A231" s="31" t="n">
        <v>46335.69791666666</v>
      </c>
      <c r="B231" s="32" t="inlineStr">
        <is>
          <t>Elena Rivera</t>
        </is>
      </c>
      <c r="C231" s="32" t="inlineStr">
        <is>
          <t>Valentina Rivera</t>
        </is>
      </c>
      <c r="D231" s="33" t="n">
        <v>25</v>
      </c>
      <c r="E231" s="32" t="inlineStr">
        <is>
          <t>OneCause</t>
        </is>
      </c>
      <c r="F231" s="34">
        <f>IF(A231="","",IFERROR(INT(A231),"check date"))</f>
        <v/>
      </c>
      <c r="G231" s="35">
        <f>IF(B231="","",IFERROR(INDEX(Students!$A:$A,MATCH(TRIM(B231),Students!$A:$A,0)),"NOT ON LIST"))</f>
        <v/>
      </c>
      <c r="H231" s="35">
        <f>IF(OR(G231="",G231="NOT ON LIST"),"",VLOOKUP(G231,Students!$A:$C,2,FALSE))</f>
        <v/>
      </c>
      <c r="I231" s="35">
        <f>IF(OR(G231="",G231="NOT ON LIST"),"",VLOOKUP(G231,Students!$A:$C,3,FALSE)&amp;"")</f>
        <v/>
      </c>
    </row>
    <row r="232">
      <c r="A232" s="31" t="n">
        <v>46339.72916666666</v>
      </c>
      <c r="B232" s="32" t="inlineStr">
        <is>
          <t>Elena Alvarez</t>
        </is>
      </c>
      <c r="C232" s="32" t="inlineStr">
        <is>
          <t>Benjamin Alvarez</t>
        </is>
      </c>
      <c r="D232" s="33" t="n">
        <v>10</v>
      </c>
      <c r="E232" s="32" t="inlineStr">
        <is>
          <t>OneCause</t>
        </is>
      </c>
      <c r="F232" s="34">
        <f>IF(A232="","",IFERROR(INT(A232),"check date"))</f>
        <v/>
      </c>
      <c r="G232" s="35">
        <f>IF(B232="","",IFERROR(INDEX(Students!$A:$A,MATCH(TRIM(B232),Students!$A:$A,0)),"NOT ON LIST"))</f>
        <v/>
      </c>
      <c r="H232" s="35">
        <f>IF(OR(G232="",G232="NOT ON LIST"),"",VLOOKUP(G232,Students!$A:$C,2,FALSE))</f>
        <v/>
      </c>
      <c r="I232" s="35">
        <f>IF(OR(G232="",G232="NOT ON LIST"),"",VLOOKUP(G232,Students!$A:$C,3,FALSE)&amp;"")</f>
        <v/>
      </c>
    </row>
    <row r="233">
      <c r="A233" s="31" t="n">
        <v>46335.36458333334</v>
      </c>
      <c r="B233" s="32" t="inlineStr">
        <is>
          <t>Adrian Murphy</t>
        </is>
      </c>
      <c r="C233" s="32" t="inlineStr">
        <is>
          <t>Leo Murphy</t>
        </is>
      </c>
      <c r="D233" s="33" t="n">
        <v>40</v>
      </c>
      <c r="E233" s="32" t="inlineStr">
        <is>
          <t>OneCause</t>
        </is>
      </c>
      <c r="F233" s="34">
        <f>IF(A233="","",IFERROR(INT(A233),"check date"))</f>
        <v/>
      </c>
      <c r="G233" s="35">
        <f>IF(B233="","",IFERROR(INDEX(Students!$A:$A,MATCH(TRIM(B233),Students!$A:$A,0)),"NOT ON LIST"))</f>
        <v/>
      </c>
      <c r="H233" s="35">
        <f>IF(OR(G233="",G233="NOT ON LIST"),"",VLOOKUP(G233,Students!$A:$C,2,FALSE))</f>
        <v/>
      </c>
      <c r="I233" s="35">
        <f>IF(OR(G233="",G233="NOT ON LIST"),"",VLOOKUP(G233,Students!$A:$C,3,FALSE)&amp;"")</f>
        <v/>
      </c>
    </row>
    <row r="234">
      <c r="A234" s="31" t="n">
        <v>46331.60416666666</v>
      </c>
      <c r="B234" s="32" t="inlineStr">
        <is>
          <t>Chloe Gomez</t>
        </is>
      </c>
      <c r="C234" s="32" t="inlineStr">
        <is>
          <t>James Gomez</t>
        </is>
      </c>
      <c r="D234" s="33" t="n">
        <v>150</v>
      </c>
      <c r="E234" s="32" t="inlineStr">
        <is>
          <t>OneCause</t>
        </is>
      </c>
      <c r="F234" s="34">
        <f>IF(A234="","",IFERROR(INT(A234),"check date"))</f>
        <v/>
      </c>
      <c r="G234" s="35">
        <f>IF(B234="","",IFERROR(INDEX(Students!$A:$A,MATCH(TRIM(B234),Students!$A:$A,0)),"NOT ON LIST"))</f>
        <v/>
      </c>
      <c r="H234" s="35">
        <f>IF(OR(G234="",G234="NOT ON LIST"),"",VLOOKUP(G234,Students!$A:$C,2,FALSE))</f>
        <v/>
      </c>
      <c r="I234" s="35">
        <f>IF(OR(G234="",G234="NOT ON LIST"),"",VLOOKUP(G234,Students!$A:$C,3,FALSE)&amp;"")</f>
        <v/>
      </c>
    </row>
    <row r="235">
      <c r="A235" s="31" t="n">
        <v>46338.88541666666</v>
      </c>
      <c r="B235" s="32" t="inlineStr">
        <is>
          <t>Ella Diaz</t>
        </is>
      </c>
      <c r="C235" s="32" t="inlineStr">
        <is>
          <t>Isabella Diaz</t>
        </is>
      </c>
      <c r="D235" s="33" t="n">
        <v>100</v>
      </c>
      <c r="E235" s="32" t="inlineStr">
        <is>
          <t>OneCause</t>
        </is>
      </c>
      <c r="F235" s="34">
        <f>IF(A235="","",IFERROR(INT(A235),"check date"))</f>
        <v/>
      </c>
      <c r="G235" s="35">
        <f>IF(B235="","",IFERROR(INDEX(Students!$A:$A,MATCH(TRIM(B235),Students!$A:$A,0)),"NOT ON LIST"))</f>
        <v/>
      </c>
      <c r="H235" s="35">
        <f>IF(OR(G235="",G235="NOT ON LIST"),"",VLOOKUP(G235,Students!$A:$C,2,FALSE))</f>
        <v/>
      </c>
      <c r="I235" s="35">
        <f>IF(OR(G235="",G235="NOT ON LIST"),"",VLOOKUP(G235,Students!$A:$C,3,FALSE)&amp;"")</f>
        <v/>
      </c>
    </row>
    <row r="236">
      <c r="A236" s="31" t="n">
        <v>46336.30208333334</v>
      </c>
      <c r="B236" s="32" t="inlineStr">
        <is>
          <t>Amelia Alvarez</t>
        </is>
      </c>
      <c r="C236" s="32" t="inlineStr">
        <is>
          <t>Zoe Alvarez</t>
        </is>
      </c>
      <c r="D236" s="33" t="n">
        <v>50</v>
      </c>
      <c r="E236" s="32" t="inlineStr">
        <is>
          <t>OneCause</t>
        </is>
      </c>
      <c r="F236" s="34">
        <f>IF(A236="","",IFERROR(INT(A236),"check date"))</f>
        <v/>
      </c>
      <c r="G236" s="35">
        <f>IF(B236="","",IFERROR(INDEX(Students!$A:$A,MATCH(TRIM(B236),Students!$A:$A,0)),"NOT ON LIST"))</f>
        <v/>
      </c>
      <c r="H236" s="35">
        <f>IF(OR(G236="",G236="NOT ON LIST"),"",VLOOKUP(G236,Students!$A:$C,2,FALSE))</f>
        <v/>
      </c>
      <c r="I236" s="35">
        <f>IF(OR(G236="",G236="NOT ON LIST"),"",VLOOKUP(G236,Students!$A:$C,3,FALSE)&amp;"")</f>
        <v/>
      </c>
    </row>
    <row r="237">
      <c r="A237" s="31" t="n">
        <v>46337.75</v>
      </c>
      <c r="B237" s="32" t="inlineStr">
        <is>
          <t>Adrian Nguyen</t>
        </is>
      </c>
      <c r="C237" s="32" t="inlineStr">
        <is>
          <t>Luna Nguyen</t>
        </is>
      </c>
      <c r="D237" s="33" t="n">
        <v>75</v>
      </c>
      <c r="E237" s="32" t="inlineStr">
        <is>
          <t>OneCause</t>
        </is>
      </c>
      <c r="F237" s="34">
        <f>IF(A237="","",IFERROR(INT(A237),"check date"))</f>
        <v/>
      </c>
      <c r="G237" s="35">
        <f>IF(B237="","",IFERROR(INDEX(Students!$A:$A,MATCH(TRIM(B237),Students!$A:$A,0)),"NOT ON LIST"))</f>
        <v/>
      </c>
      <c r="H237" s="35">
        <f>IF(OR(G237="",G237="NOT ON LIST"),"",VLOOKUP(G237,Students!$A:$C,2,FALSE))</f>
        <v/>
      </c>
      <c r="I237" s="35">
        <f>IF(OR(G237="",G237="NOT ON LIST"),"",VLOOKUP(G237,Students!$A:$C,3,FALSE)&amp;"")</f>
        <v/>
      </c>
    </row>
    <row r="238">
      <c r="A238" s="31" t="n">
        <v>46325.625</v>
      </c>
      <c r="B238" s="32" t="inlineStr">
        <is>
          <t>Emma Perez</t>
        </is>
      </c>
      <c r="C238" s="32" t="inlineStr">
        <is>
          <t>Maya Perez</t>
        </is>
      </c>
      <c r="D238" s="33" t="n">
        <v>40</v>
      </c>
      <c r="E238" s="32" t="inlineStr">
        <is>
          <t>OneCause</t>
        </is>
      </c>
      <c r="F238" s="34">
        <f>IF(A238="","",IFERROR(INT(A238),"check date"))</f>
        <v/>
      </c>
      <c r="G238" s="35">
        <f>IF(B238="","",IFERROR(INDEX(Students!$A:$A,MATCH(TRIM(B238),Students!$A:$A,0)),"NOT ON LIST"))</f>
        <v/>
      </c>
      <c r="H238" s="35">
        <f>IF(OR(G238="",G238="NOT ON LIST"),"",VLOOKUP(G238,Students!$A:$C,2,FALSE))</f>
        <v/>
      </c>
      <c r="I238" s="35">
        <f>IF(OR(G238="",G238="NOT ON LIST"),"",VLOOKUP(G238,Students!$A:$C,3,FALSE)&amp;"")</f>
        <v/>
      </c>
    </row>
    <row r="239">
      <c r="A239" s="31" t="n">
        <v>46325.64583333334</v>
      </c>
      <c r="B239" s="32" t="inlineStr">
        <is>
          <t>Adrian O'Brien</t>
        </is>
      </c>
      <c r="C239" s="32" t="inlineStr">
        <is>
          <t>Benjamin O'Brien</t>
        </is>
      </c>
      <c r="D239" s="33" t="n">
        <v>100</v>
      </c>
      <c r="E239" s="32" t="inlineStr">
        <is>
          <t>OneCause</t>
        </is>
      </c>
      <c r="F239" s="34">
        <f>IF(A239="","",IFERROR(INT(A239),"check date"))</f>
        <v/>
      </c>
      <c r="G239" s="35">
        <f>IF(B239="","",IFERROR(INDEX(Students!$A:$A,MATCH(TRIM(B239),Students!$A:$A,0)),"NOT ON LIST"))</f>
        <v/>
      </c>
      <c r="H239" s="35">
        <f>IF(OR(G239="",G239="NOT ON LIST"),"",VLOOKUP(G239,Students!$A:$C,2,FALSE))</f>
        <v/>
      </c>
      <c r="I239" s="35">
        <f>IF(OR(G239="",G239="NOT ON LIST"),"",VLOOKUP(G239,Students!$A:$C,3,FALSE)&amp;"")</f>
        <v/>
      </c>
    </row>
    <row r="240">
      <c r="A240" s="31" t="n">
        <v>46338.6875</v>
      </c>
      <c r="B240" s="32" t="inlineStr">
        <is>
          <t>Thomas Brown</t>
        </is>
      </c>
      <c r="C240" s="32" t="inlineStr">
        <is>
          <t>Leo Brown</t>
        </is>
      </c>
      <c r="D240" s="33" t="n">
        <v>25</v>
      </c>
      <c r="E240" s="32" t="inlineStr">
        <is>
          <t>OneCause</t>
        </is>
      </c>
      <c r="F240" s="34">
        <f>IF(A240="","",IFERROR(INT(A240),"check date"))</f>
        <v/>
      </c>
      <c r="G240" s="35">
        <f>IF(B240="","",IFERROR(INDEX(Students!$A:$A,MATCH(TRIM(B240),Students!$A:$A,0)),"NOT ON LIST"))</f>
        <v/>
      </c>
      <c r="H240" s="35">
        <f>IF(OR(G240="",G240="NOT ON LIST"),"",VLOOKUP(G240,Students!$A:$C,2,FALSE))</f>
        <v/>
      </c>
      <c r="I240" s="35">
        <f>IF(OR(G240="",G240="NOT ON LIST"),"",VLOOKUP(G240,Students!$A:$C,3,FALSE)&amp;"")</f>
        <v/>
      </c>
    </row>
    <row r="241">
      <c r="A241" s="31" t="n">
        <v>46330.29166666666</v>
      </c>
      <c r="B241" s="32" t="inlineStr">
        <is>
          <t>Daniel Johnson</t>
        </is>
      </c>
      <c r="C241" s="32" t="inlineStr">
        <is>
          <t>Nicolas Johnson</t>
        </is>
      </c>
      <c r="D241" s="33" t="n">
        <v>40</v>
      </c>
      <c r="E241" s="32" t="inlineStr">
        <is>
          <t>OneCause</t>
        </is>
      </c>
      <c r="F241" s="34">
        <f>IF(A241="","",IFERROR(INT(A241),"check date"))</f>
        <v/>
      </c>
      <c r="G241" s="35">
        <f>IF(B241="","",IFERROR(INDEX(Students!$A:$A,MATCH(TRIM(B241),Students!$A:$A,0)),"NOT ON LIST"))</f>
        <v/>
      </c>
      <c r="H241" s="35">
        <f>IF(OR(G241="",G241="NOT ON LIST"),"",VLOOKUP(G241,Students!$A:$C,2,FALSE))</f>
        <v/>
      </c>
      <c r="I241" s="35">
        <f>IF(OR(G241="",G241="NOT ON LIST"),"",VLOOKUP(G241,Students!$A:$C,3,FALSE)&amp;"")</f>
        <v/>
      </c>
    </row>
    <row r="242">
      <c r="A242" s="31" t="n">
        <v>46338.36458333334</v>
      </c>
      <c r="B242" s="32" t="inlineStr">
        <is>
          <t>Thomas Ortiz</t>
        </is>
      </c>
      <c r="C242" s="32" t="inlineStr">
        <is>
          <t>Clara Ortiz</t>
        </is>
      </c>
      <c r="D242" s="33" t="n">
        <v>25</v>
      </c>
      <c r="E242" s="32" t="inlineStr">
        <is>
          <t>OneCause</t>
        </is>
      </c>
      <c r="F242" s="34">
        <f>IF(A242="","",IFERROR(INT(A242),"check date"))</f>
        <v/>
      </c>
      <c r="G242" s="35">
        <f>IF(B242="","",IFERROR(INDEX(Students!$A:$A,MATCH(TRIM(B242),Students!$A:$A,0)),"NOT ON LIST"))</f>
        <v/>
      </c>
      <c r="H242" s="35">
        <f>IF(OR(G242="",G242="NOT ON LIST"),"",VLOOKUP(G242,Students!$A:$C,2,FALSE))</f>
        <v/>
      </c>
      <c r="I242" s="35">
        <f>IF(OR(G242="",G242="NOT ON LIST"),"",VLOOKUP(G242,Students!$A:$C,3,FALSE)&amp;"")</f>
        <v/>
      </c>
    </row>
    <row r="243">
      <c r="A243" s="31" t="n">
        <v>46336.33333333334</v>
      </c>
      <c r="B243" s="32" t="inlineStr">
        <is>
          <t>Joseph Diaz</t>
        </is>
      </c>
      <c r="C243" s="32" t="inlineStr">
        <is>
          <t>Grace Diaz</t>
        </is>
      </c>
      <c r="D243" s="33" t="n">
        <v>25</v>
      </c>
      <c r="E243" s="32" t="inlineStr">
        <is>
          <t>OneCause</t>
        </is>
      </c>
      <c r="F243" s="34">
        <f>IF(A243="","",IFERROR(INT(A243),"check date"))</f>
        <v/>
      </c>
      <c r="G243" s="35">
        <f>IF(B243="","",IFERROR(INDEX(Students!$A:$A,MATCH(TRIM(B243),Students!$A:$A,0)),"NOT ON LIST"))</f>
        <v/>
      </c>
      <c r="H243" s="35">
        <f>IF(OR(G243="",G243="NOT ON LIST"),"",VLOOKUP(G243,Students!$A:$C,2,FALSE))</f>
        <v/>
      </c>
      <c r="I243" s="35">
        <f>IF(OR(G243="",G243="NOT ON LIST"),"",VLOOKUP(G243,Students!$A:$C,3,FALSE)&amp;"")</f>
        <v/>
      </c>
    </row>
    <row r="244">
      <c r="A244" s="31" t="n">
        <v>46335.89583333334</v>
      </c>
      <c r="B244" s="32" t="inlineStr">
        <is>
          <t>Luna Alvarez</t>
        </is>
      </c>
      <c r="C244" s="32" t="inlineStr">
        <is>
          <t>Sofia Alvarez</t>
        </is>
      </c>
      <c r="D244" s="33" t="n">
        <v>40</v>
      </c>
      <c r="E244" s="32" t="inlineStr">
        <is>
          <t>OneCause</t>
        </is>
      </c>
      <c r="F244" s="34">
        <f>IF(A244="","",IFERROR(INT(A244),"check date"))</f>
        <v/>
      </c>
      <c r="G244" s="35">
        <f>IF(B244="","",IFERROR(INDEX(Students!$A:$A,MATCH(TRIM(B244),Students!$A:$A,0)),"NOT ON LIST"))</f>
        <v/>
      </c>
      <c r="H244" s="35">
        <f>IF(OR(G244="",G244="NOT ON LIST"),"",VLOOKUP(G244,Students!$A:$C,2,FALSE))</f>
        <v/>
      </c>
      <c r="I244" s="35">
        <f>IF(OR(G244="",G244="NOT ON LIST"),"",VLOOKUP(G244,Students!$A:$C,3,FALSE)&amp;"")</f>
        <v/>
      </c>
    </row>
    <row r="245">
      <c r="A245" s="31" t="n">
        <v>46338.59375</v>
      </c>
      <c r="B245" s="32" t="inlineStr">
        <is>
          <t>Henry Martinez</t>
        </is>
      </c>
      <c r="C245" s="32" t="inlineStr">
        <is>
          <t>Diego Martinez</t>
        </is>
      </c>
      <c r="D245" s="33" t="n">
        <v>25</v>
      </c>
      <c r="E245" s="32" t="inlineStr">
        <is>
          <t>OneCause</t>
        </is>
      </c>
      <c r="F245" s="34">
        <f>IF(A245="","",IFERROR(INT(A245),"check date"))</f>
        <v/>
      </c>
      <c r="G245" s="35">
        <f>IF(B245="","",IFERROR(INDEX(Students!$A:$A,MATCH(TRIM(B245),Students!$A:$A,0)),"NOT ON LIST"))</f>
        <v/>
      </c>
      <c r="H245" s="35">
        <f>IF(OR(G245="",G245="NOT ON LIST"),"",VLOOKUP(G245,Students!$A:$C,2,FALSE))</f>
        <v/>
      </c>
      <c r="I245" s="35">
        <f>IF(OR(G245="",G245="NOT ON LIST"),"",VLOOKUP(G245,Students!$A:$C,3,FALSE)&amp;"")</f>
        <v/>
      </c>
    </row>
    <row r="246">
      <c r="A246" s="31" t="n">
        <v>46330.375</v>
      </c>
      <c r="B246" s="32" t="inlineStr">
        <is>
          <t>Clara Gutierrez</t>
        </is>
      </c>
      <c r="C246" s="32" t="inlineStr">
        <is>
          <t>Diego Gutierrez</t>
        </is>
      </c>
      <c r="D246" s="33" t="n">
        <v>75</v>
      </c>
      <c r="E246" s="32" t="inlineStr">
        <is>
          <t>OneCause</t>
        </is>
      </c>
      <c r="F246" s="34">
        <f>IF(A246="","",IFERROR(INT(A246),"check date"))</f>
        <v/>
      </c>
      <c r="G246" s="35">
        <f>IF(B246="","",IFERROR(INDEX(Students!$A:$A,MATCH(TRIM(B246),Students!$A:$A,0)),"NOT ON LIST"))</f>
        <v/>
      </c>
      <c r="H246" s="35">
        <f>IF(OR(G246="",G246="NOT ON LIST"),"",VLOOKUP(G246,Students!$A:$C,2,FALSE))</f>
        <v/>
      </c>
      <c r="I246" s="35">
        <f>IF(OR(G246="",G246="NOT ON LIST"),"",VLOOKUP(G246,Students!$A:$C,3,FALSE)&amp;"")</f>
        <v/>
      </c>
    </row>
    <row r="247">
      <c r="A247" s="31" t="n">
        <v>46325.8125</v>
      </c>
      <c r="B247" s="32" t="inlineStr">
        <is>
          <t>Thomas Ramirez</t>
        </is>
      </c>
      <c r="C247" s="32" t="inlineStr">
        <is>
          <t>Lily Ramirez</t>
        </is>
      </c>
      <c r="D247" s="33" t="n">
        <v>40</v>
      </c>
      <c r="E247" s="32" t="inlineStr">
        <is>
          <t>OneCause</t>
        </is>
      </c>
      <c r="F247" s="34">
        <f>IF(A247="","",IFERROR(INT(A247),"check date"))</f>
        <v/>
      </c>
      <c r="G247" s="35">
        <f>IF(B247="","",IFERROR(INDEX(Students!$A:$A,MATCH(TRIM(B247),Students!$A:$A,0)),"NOT ON LIST"))</f>
        <v/>
      </c>
      <c r="H247" s="35">
        <f>IF(OR(G247="",G247="NOT ON LIST"),"",VLOOKUP(G247,Students!$A:$C,2,FALSE))</f>
        <v/>
      </c>
      <c r="I247" s="35">
        <f>IF(OR(G247="",G247="NOT ON LIST"),"",VLOOKUP(G247,Students!$A:$C,3,FALSE)&amp;"")</f>
        <v/>
      </c>
    </row>
    <row r="248">
      <c r="A248" s="31" t="n">
        <v>46335.57291666666</v>
      </c>
      <c r="B248" s="32" t="inlineStr">
        <is>
          <t>Elena Alvarez</t>
        </is>
      </c>
      <c r="C248" s="32" t="inlineStr">
        <is>
          <t>Ava Alvarez</t>
        </is>
      </c>
      <c r="D248" s="33" t="n">
        <v>20</v>
      </c>
      <c r="E248" s="32" t="inlineStr">
        <is>
          <t>OneCause</t>
        </is>
      </c>
      <c r="F248" s="34">
        <f>IF(A248="","",IFERROR(INT(A248),"check date"))</f>
        <v/>
      </c>
      <c r="G248" s="35">
        <f>IF(B248="","",IFERROR(INDEX(Students!$A:$A,MATCH(TRIM(B248),Students!$A:$A,0)),"NOT ON LIST"))</f>
        <v/>
      </c>
      <c r="H248" s="35">
        <f>IF(OR(G248="",G248="NOT ON LIST"),"",VLOOKUP(G248,Students!$A:$C,2,FALSE))</f>
        <v/>
      </c>
      <c r="I248" s="35">
        <f>IF(OR(G248="",G248="NOT ON LIST"),"",VLOOKUP(G248,Students!$A:$C,3,FALSE)&amp;"")</f>
        <v/>
      </c>
    </row>
    <row r="249">
      <c r="A249" s="31" t="n">
        <v>46339</v>
      </c>
      <c r="B249" s="32" t="inlineStr">
        <is>
          <t>Joseph Ramos</t>
        </is>
      </c>
      <c r="C249" s="32" t="inlineStr">
        <is>
          <t>Diego Ramos</t>
        </is>
      </c>
      <c r="D249" s="33" t="n">
        <v>25</v>
      </c>
      <c r="E249" s="32" t="inlineStr">
        <is>
          <t>Cash</t>
        </is>
      </c>
      <c r="F249" s="34">
        <f>IF(A249="","",IFERROR(INT(A249),"check date"))</f>
        <v/>
      </c>
      <c r="G249" s="35">
        <f>IF(B249="","",IFERROR(INDEX(Students!$A:$A,MATCH(TRIM(B249),Students!$A:$A,0)),"NOT ON LIST"))</f>
        <v/>
      </c>
      <c r="H249" s="35">
        <f>IF(OR(G249="",G249="NOT ON LIST"),"",VLOOKUP(G249,Students!$A:$C,2,FALSE))</f>
        <v/>
      </c>
      <c r="I249" s="35">
        <f>IF(OR(G249="",G249="NOT ON LIST"),"",VLOOKUP(G249,Students!$A:$C,3,FALSE)&amp;"")</f>
        <v/>
      </c>
    </row>
    <row r="250">
      <c r="A250" s="31" t="n">
        <v>46339.70833333334</v>
      </c>
      <c r="B250" s="32" t="inlineStr">
        <is>
          <t>Diego Chavez</t>
        </is>
      </c>
      <c r="C250" s="32" t="inlineStr">
        <is>
          <t>Lucas Chavez</t>
        </is>
      </c>
      <c r="D250" s="33" t="n">
        <v>25</v>
      </c>
      <c r="E250" s="32" t="inlineStr">
        <is>
          <t>OneCause</t>
        </is>
      </c>
      <c r="F250" s="34">
        <f>IF(A250="","",IFERROR(INT(A250),"check date"))</f>
        <v/>
      </c>
      <c r="G250" s="35">
        <f>IF(B250="","",IFERROR(INDEX(Students!$A:$A,MATCH(TRIM(B250),Students!$A:$A,0)),"NOT ON LIST"))</f>
        <v/>
      </c>
      <c r="H250" s="35">
        <f>IF(OR(G250="",G250="NOT ON LIST"),"",VLOOKUP(G250,Students!$A:$C,2,FALSE))</f>
        <v/>
      </c>
      <c r="I250" s="35">
        <f>IF(OR(G250="",G250="NOT ON LIST"),"",VLOOKUP(G250,Students!$A:$C,3,FALSE)&amp;"")</f>
        <v/>
      </c>
    </row>
    <row r="251">
      <c r="A251" s="31" t="n">
        <v>46337.76041666666</v>
      </c>
      <c r="B251" s="32" t="inlineStr">
        <is>
          <t>Isabella Murphy</t>
        </is>
      </c>
      <c r="C251" s="32" t="inlineStr">
        <is>
          <t>Julian Murphy</t>
        </is>
      </c>
      <c r="D251" s="33" t="n">
        <v>100</v>
      </c>
      <c r="E251" s="32" t="inlineStr">
        <is>
          <t>OneCause</t>
        </is>
      </c>
      <c r="F251" s="34">
        <f>IF(A251="","",IFERROR(INT(A251),"check date"))</f>
        <v/>
      </c>
      <c r="G251" s="35">
        <f>IF(B251="","",IFERROR(INDEX(Students!$A:$A,MATCH(TRIM(B251),Students!$A:$A,0)),"NOT ON LIST"))</f>
        <v/>
      </c>
      <c r="H251" s="35">
        <f>IF(OR(G251="",G251="NOT ON LIST"),"",VLOOKUP(G251,Students!$A:$C,2,FALSE))</f>
        <v/>
      </c>
      <c r="I251" s="35">
        <f>IF(OR(G251="",G251="NOT ON LIST"),"",VLOOKUP(G251,Students!$A:$C,3,FALSE)&amp;"")</f>
        <v/>
      </c>
    </row>
    <row r="252">
      <c r="A252" s="31" t="n">
        <v>46330.57291666666</v>
      </c>
      <c r="B252" s="32" t="inlineStr">
        <is>
          <t>Elena Walsh</t>
        </is>
      </c>
      <c r="C252" s="32" t="inlineStr">
        <is>
          <t>Isabella Walsh</t>
        </is>
      </c>
      <c r="D252" s="33" t="n">
        <v>20</v>
      </c>
      <c r="E252" s="32" t="inlineStr">
        <is>
          <t>OneCause</t>
        </is>
      </c>
      <c r="F252" s="34">
        <f>IF(A252="","",IFERROR(INT(A252),"check date"))</f>
        <v/>
      </c>
      <c r="G252" s="35">
        <f>IF(B252="","",IFERROR(INDEX(Students!$A:$A,MATCH(TRIM(B252),Students!$A:$A,0)),"NOT ON LIST"))</f>
        <v/>
      </c>
      <c r="H252" s="35">
        <f>IF(OR(G252="",G252="NOT ON LIST"),"",VLOOKUP(G252,Students!$A:$C,2,FALSE))</f>
        <v/>
      </c>
      <c r="I252" s="35">
        <f>IF(OR(G252="",G252="NOT ON LIST"),"",VLOOKUP(G252,Students!$A:$C,3,FALSE)&amp;"")</f>
        <v/>
      </c>
    </row>
    <row r="253">
      <c r="A253" s="31" t="n">
        <v>46339.67708333334</v>
      </c>
      <c r="B253" s="32" t="inlineStr">
        <is>
          <t>Samuel Martinez</t>
        </is>
      </c>
      <c r="C253" s="32" t="inlineStr">
        <is>
          <t>Ella Martinez</t>
        </is>
      </c>
      <c r="D253" s="33" t="n">
        <v>100</v>
      </c>
      <c r="E253" s="32" t="inlineStr">
        <is>
          <t>OneCause</t>
        </is>
      </c>
      <c r="F253" s="34">
        <f>IF(A253="","",IFERROR(INT(A253),"check date"))</f>
        <v/>
      </c>
      <c r="G253" s="35">
        <f>IF(B253="","",IFERROR(INDEX(Students!$A:$A,MATCH(TRIM(B253),Students!$A:$A,0)),"NOT ON LIST"))</f>
        <v/>
      </c>
      <c r="H253" s="35">
        <f>IF(OR(G253="",G253="NOT ON LIST"),"",VLOOKUP(G253,Students!$A:$C,2,FALSE))</f>
        <v/>
      </c>
      <c r="I253" s="35">
        <f>IF(OR(G253="",G253="NOT ON LIST"),"",VLOOKUP(G253,Students!$A:$C,3,FALSE)&amp;"")</f>
        <v/>
      </c>
    </row>
    <row r="254">
      <c r="A254" s="31" t="n">
        <v>46338.65625</v>
      </c>
      <c r="B254" s="32" t="inlineStr">
        <is>
          <t>Maya Nguyen</t>
        </is>
      </c>
      <c r="C254" s="32" t="inlineStr">
        <is>
          <t>Sofia Nguyen</t>
        </is>
      </c>
      <c r="D254" s="33" t="n">
        <v>25</v>
      </c>
      <c r="E254" s="32" t="inlineStr">
        <is>
          <t>OneCause</t>
        </is>
      </c>
      <c r="F254" s="34">
        <f>IF(A254="","",IFERROR(INT(A254),"check date"))</f>
        <v/>
      </c>
      <c r="G254" s="35">
        <f>IF(B254="","",IFERROR(INDEX(Students!$A:$A,MATCH(TRIM(B254),Students!$A:$A,0)),"NOT ON LIST"))</f>
        <v/>
      </c>
      <c r="H254" s="35">
        <f>IF(OR(G254="",G254="NOT ON LIST"),"",VLOOKUP(G254,Students!$A:$C,2,FALSE))</f>
        <v/>
      </c>
      <c r="I254" s="35">
        <f>IF(OR(G254="",G254="NOT ON LIST"),"",VLOOKUP(G254,Students!$A:$C,3,FALSE)&amp;"")</f>
        <v/>
      </c>
    </row>
    <row r="255">
      <c r="A255" s="31" t="n">
        <v>46338.4375</v>
      </c>
      <c r="B255" s="32" t="inlineStr">
        <is>
          <t>Mateo Gonzalez</t>
        </is>
      </c>
      <c r="C255" s="32" t="inlineStr">
        <is>
          <t>Amelia Gonzalez</t>
        </is>
      </c>
      <c r="D255" s="33" t="n">
        <v>100</v>
      </c>
      <c r="E255" s="32" t="inlineStr">
        <is>
          <t>OneCause</t>
        </is>
      </c>
      <c r="F255" s="34">
        <f>IF(A255="","",IFERROR(INT(A255),"check date"))</f>
        <v/>
      </c>
      <c r="G255" s="35">
        <f>IF(B255="","",IFERROR(INDEX(Students!$A:$A,MATCH(TRIM(B255),Students!$A:$A,0)),"NOT ON LIST"))</f>
        <v/>
      </c>
      <c r="H255" s="35">
        <f>IF(OR(G255="",G255="NOT ON LIST"),"",VLOOKUP(G255,Students!$A:$C,2,FALSE))</f>
        <v/>
      </c>
      <c r="I255" s="35">
        <f>IF(OR(G255="",G255="NOT ON LIST"),"",VLOOKUP(G255,Students!$A:$C,3,FALSE)&amp;"")</f>
        <v/>
      </c>
    </row>
    <row r="256">
      <c r="A256" s="31" t="n">
        <v>46327.375</v>
      </c>
      <c r="B256" s="32" t="inlineStr">
        <is>
          <t>Liam Sullivan</t>
        </is>
      </c>
      <c r="C256" s="32" t="inlineStr">
        <is>
          <t>Lily Sullivan</t>
        </is>
      </c>
      <c r="D256" s="33" t="n">
        <v>40</v>
      </c>
      <c r="E256" s="32" t="inlineStr">
        <is>
          <t>OneCause</t>
        </is>
      </c>
      <c r="F256" s="34">
        <f>IF(A256="","",IFERROR(INT(A256),"check date"))</f>
        <v/>
      </c>
      <c r="G256" s="35">
        <f>IF(B256="","",IFERROR(INDEX(Students!$A:$A,MATCH(TRIM(B256),Students!$A:$A,0)),"NOT ON LIST"))</f>
        <v/>
      </c>
      <c r="H256" s="35">
        <f>IF(OR(G256="",G256="NOT ON LIST"),"",VLOOKUP(G256,Students!$A:$C,2,FALSE))</f>
        <v/>
      </c>
      <c r="I256" s="35">
        <f>IF(OR(G256="",G256="NOT ON LIST"),"",VLOOKUP(G256,Students!$A:$C,3,FALSE)&amp;"")</f>
        <v/>
      </c>
    </row>
    <row r="257">
      <c r="A257" s="31" t="n">
        <v>46330.73958333334</v>
      </c>
      <c r="B257" s="32" t="inlineStr">
        <is>
          <t>James Alvarez</t>
        </is>
      </c>
      <c r="C257" s="32" t="inlineStr">
        <is>
          <t>Nora Alvarez</t>
        </is>
      </c>
      <c r="D257" s="33" t="n">
        <v>25</v>
      </c>
      <c r="E257" s="32" t="inlineStr">
        <is>
          <t>OneCause</t>
        </is>
      </c>
      <c r="F257" s="34">
        <f>IF(A257="","",IFERROR(INT(A257),"check date"))</f>
        <v/>
      </c>
      <c r="G257" s="35">
        <f>IF(B257="","",IFERROR(INDEX(Students!$A:$A,MATCH(TRIM(B257),Students!$A:$A,0)),"NOT ON LIST"))</f>
        <v/>
      </c>
      <c r="H257" s="35">
        <f>IF(OR(G257="",G257="NOT ON LIST"),"",VLOOKUP(G257,Students!$A:$C,2,FALSE))</f>
        <v/>
      </c>
      <c r="I257" s="35">
        <f>IF(OR(G257="",G257="NOT ON LIST"),"",VLOOKUP(G257,Students!$A:$C,3,FALSE)&amp;"")</f>
        <v/>
      </c>
    </row>
    <row r="258">
      <c r="A258" s="31" t="n">
        <v>46334.32291666666</v>
      </c>
      <c r="B258" s="32" t="inlineStr">
        <is>
          <t>Grace Perez</t>
        </is>
      </c>
      <c r="C258" s="32" t="inlineStr">
        <is>
          <t>Nora Perez</t>
        </is>
      </c>
      <c r="D258" s="33" t="n">
        <v>75</v>
      </c>
      <c r="E258" s="32" t="inlineStr">
        <is>
          <t>OneCause</t>
        </is>
      </c>
      <c r="F258" s="34">
        <f>IF(A258="","",IFERROR(INT(A258),"check date"))</f>
        <v/>
      </c>
      <c r="G258" s="35">
        <f>IF(B258="","",IFERROR(INDEX(Students!$A:$A,MATCH(TRIM(B258),Students!$A:$A,0)),"NOT ON LIST"))</f>
        <v/>
      </c>
      <c r="H258" s="35">
        <f>IF(OR(G258="",G258="NOT ON LIST"),"",VLOOKUP(G258,Students!$A:$C,2,FALSE))</f>
        <v/>
      </c>
      <c r="I258" s="35">
        <f>IF(OR(G258="",G258="NOT ON LIST"),"",VLOOKUP(G258,Students!$A:$C,3,FALSE)&amp;"")</f>
        <v/>
      </c>
    </row>
    <row r="259">
      <c r="A259" s="31" t="n">
        <v>46333.78125</v>
      </c>
      <c r="B259" s="32" t="inlineStr">
        <is>
          <t>Adrian Murphy</t>
        </is>
      </c>
      <c r="C259" s="32" t="inlineStr">
        <is>
          <t>Lucas Murphy</t>
        </is>
      </c>
      <c r="D259" s="33" t="n">
        <v>20</v>
      </c>
      <c r="E259" s="32" t="inlineStr">
        <is>
          <t>OneCause</t>
        </is>
      </c>
      <c r="F259" s="34">
        <f>IF(A259="","",IFERROR(INT(A259),"check date"))</f>
        <v/>
      </c>
      <c r="G259" s="35">
        <f>IF(B259="","",IFERROR(INDEX(Students!$A:$A,MATCH(TRIM(B259),Students!$A:$A,0)),"NOT ON LIST"))</f>
        <v/>
      </c>
      <c r="H259" s="35">
        <f>IF(OR(G259="",G259="NOT ON LIST"),"",VLOOKUP(G259,Students!$A:$C,2,FALSE))</f>
        <v/>
      </c>
      <c r="I259" s="35">
        <f>IF(OR(G259="",G259="NOT ON LIST"),"",VLOOKUP(G259,Students!$A:$C,3,FALSE)&amp;"")</f>
        <v/>
      </c>
    </row>
    <row r="260">
      <c r="A260" s="31" t="n">
        <v>46338.60416666666</v>
      </c>
      <c r="B260" s="32" t="inlineStr">
        <is>
          <t>Thomas Nguyen</t>
        </is>
      </c>
      <c r="C260" s="32" t="inlineStr">
        <is>
          <t>Elena Nguyen</t>
        </is>
      </c>
      <c r="D260" s="33" t="n">
        <v>50</v>
      </c>
      <c r="E260" s="32" t="inlineStr">
        <is>
          <t>OneCause</t>
        </is>
      </c>
      <c r="F260" s="34">
        <f>IF(A260="","",IFERROR(INT(A260),"check date"))</f>
        <v/>
      </c>
      <c r="G260" s="35">
        <f>IF(B260="","",IFERROR(INDEX(Students!$A:$A,MATCH(TRIM(B260),Students!$A:$A,0)),"NOT ON LIST"))</f>
        <v/>
      </c>
      <c r="H260" s="35">
        <f>IF(OR(G260="",G260="NOT ON LIST"),"",VLOOKUP(G260,Students!$A:$C,2,FALSE))</f>
        <v/>
      </c>
      <c r="I260" s="35">
        <f>IF(OR(G260="",G260="NOT ON LIST"),"",VLOOKUP(G260,Students!$A:$C,3,FALSE)&amp;"")</f>
        <v/>
      </c>
    </row>
    <row r="261">
      <c r="A261" s="31" t="n">
        <v>46336.88541666666</v>
      </c>
      <c r="B261" s="32" t="inlineStr">
        <is>
          <t>Diego Johnson</t>
        </is>
      </c>
      <c r="C261" s="32" t="inlineStr">
        <is>
          <t>David Johnson</t>
        </is>
      </c>
      <c r="D261" s="33" t="n">
        <v>40</v>
      </c>
      <c r="E261" s="32" t="inlineStr">
        <is>
          <t>OneCause</t>
        </is>
      </c>
      <c r="F261" s="34">
        <f>IF(A261="","",IFERROR(INT(A261),"check date"))</f>
        <v/>
      </c>
      <c r="G261" s="35">
        <f>IF(B261="","",IFERROR(INDEX(Students!$A:$A,MATCH(TRIM(B261),Students!$A:$A,0)),"NOT ON LIST"))</f>
        <v/>
      </c>
      <c r="H261" s="35">
        <f>IF(OR(G261="",G261="NOT ON LIST"),"",VLOOKUP(G261,Students!$A:$C,2,FALSE))</f>
        <v/>
      </c>
      <c r="I261" s="35">
        <f>IF(OR(G261="",G261="NOT ON LIST"),"",VLOOKUP(G261,Students!$A:$C,3,FALSE)&amp;"")</f>
        <v/>
      </c>
    </row>
    <row r="262">
      <c r="A262" s="31" t="n">
        <v>46326.41666666666</v>
      </c>
      <c r="B262" s="32" t="inlineStr">
        <is>
          <t>Valentina Castillo</t>
        </is>
      </c>
      <c r="C262" s="32" t="inlineStr">
        <is>
          <t>Henry Castillo</t>
        </is>
      </c>
      <c r="D262" s="33" t="n">
        <v>10</v>
      </c>
      <c r="E262" s="32" t="inlineStr">
        <is>
          <t>OneCause</t>
        </is>
      </c>
      <c r="F262" s="34">
        <f>IF(A262="","",IFERROR(INT(A262),"check date"))</f>
        <v/>
      </c>
      <c r="G262" s="35">
        <f>IF(B262="","",IFERROR(INDEX(Students!$A:$A,MATCH(TRIM(B262),Students!$A:$A,0)),"NOT ON LIST"))</f>
        <v/>
      </c>
      <c r="H262" s="35">
        <f>IF(OR(G262="",G262="NOT ON LIST"),"",VLOOKUP(G262,Students!$A:$C,2,FALSE))</f>
        <v/>
      </c>
      <c r="I262" s="35">
        <f>IF(OR(G262="",G262="NOT ON LIST"),"",VLOOKUP(G262,Students!$A:$C,3,FALSE)&amp;"")</f>
        <v/>
      </c>
    </row>
    <row r="263">
      <c r="A263" s="31" t="n">
        <v>46332.39583333334</v>
      </c>
      <c r="B263" s="32" t="inlineStr">
        <is>
          <t>Luna Johnson</t>
        </is>
      </c>
      <c r="C263" s="32" t="inlineStr">
        <is>
          <t>Lucas Johnson</t>
        </is>
      </c>
      <c r="D263" s="33" t="n">
        <v>50</v>
      </c>
      <c r="E263" s="32" t="inlineStr">
        <is>
          <t>OneCause</t>
        </is>
      </c>
      <c r="F263" s="34">
        <f>IF(A263="","",IFERROR(INT(A263),"check date"))</f>
        <v/>
      </c>
      <c r="G263" s="35">
        <f>IF(B263="","",IFERROR(INDEX(Students!$A:$A,MATCH(TRIM(B263),Students!$A:$A,0)),"NOT ON LIST"))</f>
        <v/>
      </c>
      <c r="H263" s="35">
        <f>IF(OR(G263="",G263="NOT ON LIST"),"",VLOOKUP(G263,Students!$A:$C,2,FALSE))</f>
        <v/>
      </c>
      <c r="I263" s="35">
        <f>IF(OR(G263="",G263="NOT ON LIST"),"",VLOOKUP(G263,Students!$A:$C,3,FALSE)&amp;"")</f>
        <v/>
      </c>
    </row>
    <row r="264">
      <c r="A264" s="31" t="n">
        <v>46328.60416666666</v>
      </c>
      <c r="B264" s="32" t="inlineStr">
        <is>
          <t>Amelia Gomez</t>
        </is>
      </c>
      <c r="C264" s="32" t="inlineStr">
        <is>
          <t>Henry Gomez</t>
        </is>
      </c>
      <c r="D264" s="33" t="n">
        <v>10</v>
      </c>
      <c r="E264" s="32" t="inlineStr">
        <is>
          <t>OneCause</t>
        </is>
      </c>
      <c r="F264" s="34">
        <f>IF(A264="","",IFERROR(INT(A264),"check date"))</f>
        <v/>
      </c>
      <c r="G264" s="35">
        <f>IF(B264="","",IFERROR(INDEX(Students!$A:$A,MATCH(TRIM(B264),Students!$A:$A,0)),"NOT ON LIST"))</f>
        <v/>
      </c>
      <c r="H264" s="35">
        <f>IF(OR(G264="",G264="NOT ON LIST"),"",VLOOKUP(G264,Students!$A:$C,2,FALSE))</f>
        <v/>
      </c>
      <c r="I264" s="35">
        <f>IF(OR(G264="",G264="NOT ON LIST"),"",VLOOKUP(G264,Students!$A:$C,3,FALSE)&amp;"")</f>
        <v/>
      </c>
    </row>
    <row r="265">
      <c r="A265" s="31" t="n">
        <v>46339.66666666666</v>
      </c>
      <c r="B265" s="32" t="inlineStr">
        <is>
          <t>Mateo Gonzalez</t>
        </is>
      </c>
      <c r="C265" s="32" t="inlineStr">
        <is>
          <t>Samuel Gonzalez</t>
        </is>
      </c>
      <c r="D265" s="33" t="n">
        <v>20</v>
      </c>
      <c r="E265" s="32" t="inlineStr">
        <is>
          <t>OneCause</t>
        </is>
      </c>
      <c r="F265" s="34">
        <f>IF(A265="","",IFERROR(INT(A265),"check date"))</f>
        <v/>
      </c>
      <c r="G265" s="35">
        <f>IF(B265="","",IFERROR(INDEX(Students!$A:$A,MATCH(TRIM(B265),Students!$A:$A,0)),"NOT ON LIST"))</f>
        <v/>
      </c>
      <c r="H265" s="35">
        <f>IF(OR(G265="",G265="NOT ON LIST"),"",VLOOKUP(G265,Students!$A:$C,2,FALSE))</f>
        <v/>
      </c>
      <c r="I265" s="35">
        <f>IF(OR(G265="",G265="NOT ON LIST"),"",VLOOKUP(G265,Students!$A:$C,3,FALSE)&amp;"")</f>
        <v/>
      </c>
    </row>
    <row r="266">
      <c r="A266" s="31" t="n">
        <v>46327</v>
      </c>
      <c r="B266" s="32" t="inlineStr">
        <is>
          <t>Zoe Flores</t>
        </is>
      </c>
      <c r="C266" s="32" t="inlineStr">
        <is>
          <t>Olivia Flores</t>
        </is>
      </c>
      <c r="D266" s="33" t="n">
        <v>50</v>
      </c>
      <c r="E266" s="32" t="inlineStr">
        <is>
          <t>Check</t>
        </is>
      </c>
      <c r="F266" s="34">
        <f>IF(A266="","",IFERROR(INT(A266),"check date"))</f>
        <v/>
      </c>
      <c r="G266" s="35">
        <f>IF(B266="","",IFERROR(INDEX(Students!$A:$A,MATCH(TRIM(B266),Students!$A:$A,0)),"NOT ON LIST"))</f>
        <v/>
      </c>
      <c r="H266" s="35">
        <f>IF(OR(G266="",G266="NOT ON LIST"),"",VLOOKUP(G266,Students!$A:$C,2,FALSE))</f>
        <v/>
      </c>
      <c r="I266" s="35">
        <f>IF(OR(G266="",G266="NOT ON LIST"),"",VLOOKUP(G266,Students!$A:$C,3,FALSE)&amp;"")</f>
        <v/>
      </c>
    </row>
    <row r="267">
      <c r="A267" s="31" t="n">
        <v>46331</v>
      </c>
      <c r="B267" s="32" t="inlineStr">
        <is>
          <t>Zoe Ortiz</t>
        </is>
      </c>
      <c r="C267" s="32" t="inlineStr">
        <is>
          <t>Santiago Ortiz</t>
        </is>
      </c>
      <c r="D267" s="33" t="n">
        <v>25</v>
      </c>
      <c r="E267" s="32" t="inlineStr">
        <is>
          <t>Cash</t>
        </is>
      </c>
      <c r="F267" s="34">
        <f>IF(A267="","",IFERROR(INT(A267),"check date"))</f>
        <v/>
      </c>
      <c r="G267" s="35">
        <f>IF(B267="","",IFERROR(INDEX(Students!$A:$A,MATCH(TRIM(B267),Students!$A:$A,0)),"NOT ON LIST"))</f>
        <v/>
      </c>
      <c r="H267" s="35">
        <f>IF(OR(G267="",G267="NOT ON LIST"),"",VLOOKUP(G267,Students!$A:$C,2,FALSE))</f>
        <v/>
      </c>
      <c r="I267" s="35">
        <f>IF(OR(G267="",G267="NOT ON LIST"),"",VLOOKUP(G267,Students!$A:$C,3,FALSE)&amp;"")</f>
        <v/>
      </c>
    </row>
    <row r="268">
      <c r="A268" s="31" t="n">
        <v>46331.79166666666</v>
      </c>
      <c r="B268" s="32" t="inlineStr">
        <is>
          <t>Elijah Cruz</t>
        </is>
      </c>
      <c r="C268" s="32" t="inlineStr">
        <is>
          <t>Elijah Cruz</t>
        </is>
      </c>
      <c r="D268" s="33" t="n">
        <v>50</v>
      </c>
      <c r="E268" s="32" t="inlineStr">
        <is>
          <t>OneCause</t>
        </is>
      </c>
      <c r="F268" s="34">
        <f>IF(A268="","",IFERROR(INT(A268),"check date"))</f>
        <v/>
      </c>
      <c r="G268" s="35">
        <f>IF(B268="","",IFERROR(INDEX(Students!$A:$A,MATCH(TRIM(B268),Students!$A:$A,0)),"NOT ON LIST"))</f>
        <v/>
      </c>
      <c r="H268" s="35">
        <f>IF(OR(G268="",G268="NOT ON LIST"),"",VLOOKUP(G268,Students!$A:$C,2,FALSE))</f>
        <v/>
      </c>
      <c r="I268" s="35">
        <f>IF(OR(G268="",G268="NOT ON LIST"),"",VLOOKUP(G268,Students!$A:$C,3,FALSE)&amp;"")</f>
        <v/>
      </c>
    </row>
    <row r="269">
      <c r="A269" s="31" t="n">
        <v>46329.72916666666</v>
      </c>
      <c r="B269" s="32" t="inlineStr">
        <is>
          <t>Grace Murphy</t>
        </is>
      </c>
      <c r="C269" s="32" t="inlineStr">
        <is>
          <t>Elena Murphy</t>
        </is>
      </c>
      <c r="D269" s="33" t="n">
        <v>20</v>
      </c>
      <c r="E269" s="32" t="inlineStr">
        <is>
          <t>OneCause</t>
        </is>
      </c>
      <c r="F269" s="34">
        <f>IF(A269="","",IFERROR(INT(A269),"check date"))</f>
        <v/>
      </c>
      <c r="G269" s="35">
        <f>IF(B269="","",IFERROR(INDEX(Students!$A:$A,MATCH(TRIM(B269),Students!$A:$A,0)),"NOT ON LIST"))</f>
        <v/>
      </c>
      <c r="H269" s="35">
        <f>IF(OR(G269="",G269="NOT ON LIST"),"",VLOOKUP(G269,Students!$A:$C,2,FALSE))</f>
        <v/>
      </c>
      <c r="I269" s="35">
        <f>IF(OR(G269="",G269="NOT ON LIST"),"",VLOOKUP(G269,Students!$A:$C,3,FALSE)&amp;"")</f>
        <v/>
      </c>
    </row>
    <row r="270">
      <c r="A270" s="31" t="n">
        <v>46325.83333333334</v>
      </c>
      <c r="B270" s="32" t="inlineStr">
        <is>
          <t>Luna Alvarez</t>
        </is>
      </c>
      <c r="C270" s="32" t="inlineStr">
        <is>
          <t>Santiago Alvarez</t>
        </is>
      </c>
      <c r="D270" s="33" t="n">
        <v>50</v>
      </c>
      <c r="E270" s="32" t="inlineStr">
        <is>
          <t>OneCause</t>
        </is>
      </c>
      <c r="F270" s="34">
        <f>IF(A270="","",IFERROR(INT(A270),"check date"))</f>
        <v/>
      </c>
      <c r="G270" s="35">
        <f>IF(B270="","",IFERROR(INDEX(Students!$A:$A,MATCH(TRIM(B270),Students!$A:$A,0)),"NOT ON LIST"))</f>
        <v/>
      </c>
      <c r="H270" s="35">
        <f>IF(OR(G270="",G270="NOT ON LIST"),"",VLOOKUP(G270,Students!$A:$C,2,FALSE))</f>
        <v/>
      </c>
      <c r="I270" s="35">
        <f>IF(OR(G270="",G270="NOT ON LIST"),"",VLOOKUP(G270,Students!$A:$C,3,FALSE)&amp;"")</f>
        <v/>
      </c>
    </row>
    <row r="271">
      <c r="A271" s="31" t="n">
        <v>46339.5625</v>
      </c>
      <c r="B271" s="32" t="inlineStr">
        <is>
          <t>Noah Rodriguez</t>
        </is>
      </c>
      <c r="C271" s="32" t="inlineStr">
        <is>
          <t>Mia Rodriguez</t>
        </is>
      </c>
      <c r="D271" s="33" t="n">
        <v>100</v>
      </c>
      <c r="E271" s="32" t="inlineStr">
        <is>
          <t>OneCause</t>
        </is>
      </c>
      <c r="F271" s="34">
        <f>IF(A271="","",IFERROR(INT(A271),"check date"))</f>
        <v/>
      </c>
      <c r="G271" s="35">
        <f>IF(B271="","",IFERROR(INDEX(Students!$A:$A,MATCH(TRIM(B271),Students!$A:$A,0)),"NOT ON LIST"))</f>
        <v/>
      </c>
      <c r="H271" s="35">
        <f>IF(OR(G271="",G271="NOT ON LIST"),"",VLOOKUP(G271,Students!$A:$C,2,FALSE))</f>
        <v/>
      </c>
      <c r="I271" s="35">
        <f>IF(OR(G271="",G271="NOT ON LIST"),"",VLOOKUP(G271,Students!$A:$C,3,FALSE)&amp;"")</f>
        <v/>
      </c>
    </row>
    <row r="272">
      <c r="A272" s="31" t="n">
        <v>46335.375</v>
      </c>
      <c r="B272" s="32" t="inlineStr">
        <is>
          <t>Lucas Ruiz</t>
        </is>
      </c>
      <c r="C272" s="32" t="inlineStr">
        <is>
          <t>Mia Ruiz</t>
        </is>
      </c>
      <c r="D272" s="33" t="n">
        <v>25</v>
      </c>
      <c r="E272" s="32" t="inlineStr">
        <is>
          <t>OneCause</t>
        </is>
      </c>
      <c r="F272" s="34">
        <f>IF(A272="","",IFERROR(INT(A272),"check date"))</f>
        <v/>
      </c>
      <c r="G272" s="35">
        <f>IF(B272="","",IFERROR(INDEX(Students!$A:$A,MATCH(TRIM(B272),Students!$A:$A,0)),"NOT ON LIST"))</f>
        <v/>
      </c>
      <c r="H272" s="35">
        <f>IF(OR(G272="",G272="NOT ON LIST"),"",VLOOKUP(G272,Students!$A:$C,2,FALSE))</f>
        <v/>
      </c>
      <c r="I272" s="35">
        <f>IF(OR(G272="",G272="NOT ON LIST"),"",VLOOKUP(G272,Students!$A:$C,3,FALSE)&amp;"")</f>
        <v/>
      </c>
    </row>
    <row r="273">
      <c r="A273" s="31" t="n">
        <v>46335</v>
      </c>
      <c r="B273" s="32" t="inlineStr">
        <is>
          <t>Emma Ramos</t>
        </is>
      </c>
      <c r="C273" s="32" t="inlineStr">
        <is>
          <t>Valentina Ramos</t>
        </is>
      </c>
      <c r="D273" s="33" t="n">
        <v>50</v>
      </c>
      <c r="E273" s="32" t="inlineStr">
        <is>
          <t>Check</t>
        </is>
      </c>
      <c r="F273" s="34">
        <f>IF(A273="","",IFERROR(INT(A273),"check date"))</f>
        <v/>
      </c>
      <c r="G273" s="35">
        <f>IF(B273="","",IFERROR(INDEX(Students!$A:$A,MATCH(TRIM(B273),Students!$A:$A,0)),"NOT ON LIST"))</f>
        <v/>
      </c>
      <c r="H273" s="35">
        <f>IF(OR(G273="",G273="NOT ON LIST"),"",VLOOKUP(G273,Students!$A:$C,2,FALSE))</f>
        <v/>
      </c>
      <c r="I273" s="35">
        <f>IF(OR(G273="",G273="NOT ON LIST"),"",VLOOKUP(G273,Students!$A:$C,3,FALSE)&amp;"")</f>
        <v/>
      </c>
    </row>
    <row r="274">
      <c r="A274" s="31" t="n">
        <v>46331.64583333334</v>
      </c>
      <c r="B274" s="32" t="inlineStr">
        <is>
          <t>Zoe Ryan</t>
        </is>
      </c>
      <c r="C274" s="32" t="inlineStr">
        <is>
          <t>Santiago Ryan</t>
        </is>
      </c>
      <c r="D274" s="33" t="n">
        <v>25</v>
      </c>
      <c r="E274" s="32" t="inlineStr">
        <is>
          <t>OneCause</t>
        </is>
      </c>
      <c r="F274" s="34">
        <f>IF(A274="","",IFERROR(INT(A274),"check date"))</f>
        <v/>
      </c>
      <c r="G274" s="35">
        <f>IF(B274="","",IFERROR(INDEX(Students!$A:$A,MATCH(TRIM(B274),Students!$A:$A,0)),"NOT ON LIST"))</f>
        <v/>
      </c>
      <c r="H274" s="35">
        <f>IF(OR(G274="",G274="NOT ON LIST"),"",VLOOKUP(G274,Students!$A:$C,2,FALSE))</f>
        <v/>
      </c>
      <c r="I274" s="35">
        <f>IF(OR(G274="",G274="NOT ON LIST"),"",VLOOKUP(G274,Students!$A:$C,3,FALSE)&amp;"")</f>
        <v/>
      </c>
    </row>
    <row r="275">
      <c r="A275" s="31" t="n">
        <v>46330.48958333334</v>
      </c>
      <c r="B275" s="32" t="inlineStr">
        <is>
          <t>Amelia Sullivan</t>
        </is>
      </c>
      <c r="C275" s="32" t="inlineStr">
        <is>
          <t>Emma Sullivan</t>
        </is>
      </c>
      <c r="D275" s="33" t="n">
        <v>40</v>
      </c>
      <c r="E275" s="32" t="inlineStr">
        <is>
          <t>OneCause</t>
        </is>
      </c>
      <c r="F275" s="34">
        <f>IF(A275="","",IFERROR(INT(A275),"check date"))</f>
        <v/>
      </c>
      <c r="G275" s="35">
        <f>IF(B275="","",IFERROR(INDEX(Students!$A:$A,MATCH(TRIM(B275),Students!$A:$A,0)),"NOT ON LIST"))</f>
        <v/>
      </c>
      <c r="H275" s="35">
        <f>IF(OR(G275="",G275="NOT ON LIST"),"",VLOOKUP(G275,Students!$A:$C,2,FALSE))</f>
        <v/>
      </c>
      <c r="I275" s="35">
        <f>IF(OR(G275="",G275="NOT ON LIST"),"",VLOOKUP(G275,Students!$A:$C,3,FALSE)&amp;"")</f>
        <v/>
      </c>
    </row>
    <row r="276">
      <c r="A276" s="31" t="n">
        <v>46327.38541666666</v>
      </c>
      <c r="B276" s="32" t="inlineStr">
        <is>
          <t>Liam Garcia</t>
        </is>
      </c>
      <c r="C276" s="32" t="inlineStr">
        <is>
          <t>Maya Garcia</t>
        </is>
      </c>
      <c r="D276" s="33" t="n">
        <v>100</v>
      </c>
      <c r="E276" s="32" t="inlineStr">
        <is>
          <t>OneCause</t>
        </is>
      </c>
      <c r="F276" s="34">
        <f>IF(A276="","",IFERROR(INT(A276),"check date"))</f>
        <v/>
      </c>
      <c r="G276" s="35">
        <f>IF(B276="","",IFERROR(INDEX(Students!$A:$A,MATCH(TRIM(B276),Students!$A:$A,0)),"NOT ON LIST"))</f>
        <v/>
      </c>
      <c r="H276" s="35">
        <f>IF(OR(G276="",G276="NOT ON LIST"),"",VLOOKUP(G276,Students!$A:$C,2,FALSE))</f>
        <v/>
      </c>
      <c r="I276" s="35">
        <f>IF(OR(G276="",G276="NOT ON LIST"),"",VLOOKUP(G276,Students!$A:$C,3,FALSE)&amp;"")</f>
        <v/>
      </c>
    </row>
    <row r="277">
      <c r="A277" s="31" t="n">
        <v>46338</v>
      </c>
      <c r="B277" s="32" t="inlineStr">
        <is>
          <t>Evelyn Ortiz</t>
        </is>
      </c>
      <c r="C277" s="32" t="inlineStr">
        <is>
          <t>James Ortiz</t>
        </is>
      </c>
      <c r="D277" s="33" t="n">
        <v>25</v>
      </c>
      <c r="E277" s="32" t="inlineStr">
        <is>
          <t>Cash</t>
        </is>
      </c>
      <c r="F277" s="34">
        <f>IF(A277="","",IFERROR(INT(A277),"check date"))</f>
        <v/>
      </c>
      <c r="G277" s="35">
        <f>IF(B277="","",IFERROR(INDEX(Students!$A:$A,MATCH(TRIM(B277),Students!$A:$A,0)),"NOT ON LIST"))</f>
        <v/>
      </c>
      <c r="H277" s="35">
        <f>IF(OR(G277="",G277="NOT ON LIST"),"",VLOOKUP(G277,Students!$A:$C,2,FALSE))</f>
        <v/>
      </c>
      <c r="I277" s="35">
        <f>IF(OR(G277="",G277="NOT ON LIST"),"",VLOOKUP(G277,Students!$A:$C,3,FALSE)&amp;"")</f>
        <v/>
      </c>
    </row>
    <row r="278">
      <c r="A278" s="31" t="n">
        <v>46325.79166666666</v>
      </c>
      <c r="B278" s="32" t="inlineStr">
        <is>
          <t>Ava Ramos</t>
        </is>
      </c>
      <c r="C278" s="32" t="inlineStr">
        <is>
          <t>Gabriel Ramos</t>
        </is>
      </c>
      <c r="D278" s="33" t="n">
        <v>40</v>
      </c>
      <c r="E278" s="32" t="inlineStr">
        <is>
          <t>OneCause</t>
        </is>
      </c>
      <c r="F278" s="34">
        <f>IF(A278="","",IFERROR(INT(A278),"check date"))</f>
        <v/>
      </c>
      <c r="G278" s="35">
        <f>IF(B278="","",IFERROR(INDEX(Students!$A:$A,MATCH(TRIM(B278),Students!$A:$A,0)),"NOT ON LIST"))</f>
        <v/>
      </c>
      <c r="H278" s="35">
        <f>IF(OR(G278="",G278="NOT ON LIST"),"",VLOOKUP(G278,Students!$A:$C,2,FALSE))</f>
        <v/>
      </c>
      <c r="I278" s="35">
        <f>IF(OR(G278="",G278="NOT ON LIST"),"",VLOOKUP(G278,Students!$A:$C,3,FALSE)&amp;"")</f>
        <v/>
      </c>
    </row>
    <row r="279">
      <c r="A279" s="31" t="n">
        <v>46330.8125</v>
      </c>
      <c r="B279" s="32" t="inlineStr">
        <is>
          <t>Elijah Byrne</t>
        </is>
      </c>
      <c r="C279" s="32" t="inlineStr">
        <is>
          <t>Harper Byrne</t>
        </is>
      </c>
      <c r="D279" s="33" t="n">
        <v>40</v>
      </c>
      <c r="E279" s="32" t="inlineStr">
        <is>
          <t>OneCause</t>
        </is>
      </c>
      <c r="F279" s="34">
        <f>IF(A279="","",IFERROR(INT(A279),"check date"))</f>
        <v/>
      </c>
      <c r="G279" s="35">
        <f>IF(B279="","",IFERROR(INDEX(Students!$A:$A,MATCH(TRIM(B279),Students!$A:$A,0)),"NOT ON LIST"))</f>
        <v/>
      </c>
      <c r="H279" s="35">
        <f>IF(OR(G279="",G279="NOT ON LIST"),"",VLOOKUP(G279,Students!$A:$C,2,FALSE))</f>
        <v/>
      </c>
      <c r="I279" s="35">
        <f>IF(OR(G279="",G279="NOT ON LIST"),"",VLOOKUP(G279,Students!$A:$C,3,FALSE)&amp;"")</f>
        <v/>
      </c>
    </row>
    <row r="280">
      <c r="A280" s="31" t="n">
        <v>46327.63541666666</v>
      </c>
      <c r="B280" s="32" t="inlineStr">
        <is>
          <t>Santiago Williams</t>
        </is>
      </c>
      <c r="C280" s="32" t="inlineStr">
        <is>
          <t>Maya Williams</t>
        </is>
      </c>
      <c r="D280" s="33" t="n">
        <v>25</v>
      </c>
      <c r="E280" s="32" t="inlineStr">
        <is>
          <t>OneCause</t>
        </is>
      </c>
      <c r="F280" s="34">
        <f>IF(A280="","",IFERROR(INT(A280),"check date"))</f>
        <v/>
      </c>
      <c r="G280" s="35">
        <f>IF(B280="","",IFERROR(INDEX(Students!$A:$A,MATCH(TRIM(B280),Students!$A:$A,0)),"NOT ON LIST"))</f>
        <v/>
      </c>
      <c r="H280" s="35">
        <f>IF(OR(G280="",G280="NOT ON LIST"),"",VLOOKUP(G280,Students!$A:$C,2,FALSE))</f>
        <v/>
      </c>
      <c r="I280" s="35">
        <f>IF(OR(G280="",G280="NOT ON LIST"),"",VLOOKUP(G280,Students!$A:$C,3,FALSE)&amp;"")</f>
        <v/>
      </c>
    </row>
    <row r="281">
      <c r="A281" s="31" t="n">
        <v>46326</v>
      </c>
      <c r="B281" s="32" t="inlineStr">
        <is>
          <t>Mateo Williams</t>
        </is>
      </c>
      <c r="C281" s="32" t="inlineStr">
        <is>
          <t>Chloe Williams</t>
        </is>
      </c>
      <c r="D281" s="33" t="n">
        <v>50</v>
      </c>
      <c r="E281" s="32" t="inlineStr">
        <is>
          <t>Cash</t>
        </is>
      </c>
      <c r="F281" s="34">
        <f>IF(A281="","",IFERROR(INT(A281),"check date"))</f>
        <v/>
      </c>
      <c r="G281" s="35">
        <f>IF(B281="","",IFERROR(INDEX(Students!$A:$A,MATCH(TRIM(B281),Students!$A:$A,0)),"NOT ON LIST"))</f>
        <v/>
      </c>
      <c r="H281" s="35">
        <f>IF(OR(G281="",G281="NOT ON LIST"),"",VLOOKUP(G281,Students!$A:$C,2,FALSE))</f>
        <v/>
      </c>
      <c r="I281" s="35">
        <f>IF(OR(G281="",G281="NOT ON LIST"),"",VLOOKUP(G281,Students!$A:$C,3,FALSE)&amp;"")</f>
        <v/>
      </c>
    </row>
    <row r="282">
      <c r="A282" s="31" t="n">
        <v>46325.67708333334</v>
      </c>
      <c r="B282" s="32" t="inlineStr">
        <is>
          <t>Joseph Diaz</t>
        </is>
      </c>
      <c r="C282" s="32" t="inlineStr">
        <is>
          <t>Thomas Diaz</t>
        </is>
      </c>
      <c r="D282" s="33" t="n">
        <v>20</v>
      </c>
      <c r="E282" s="32" t="inlineStr">
        <is>
          <t>OneCause</t>
        </is>
      </c>
      <c r="F282" s="34">
        <f>IF(A282="","",IFERROR(INT(A282),"check date"))</f>
        <v/>
      </c>
      <c r="G282" s="35">
        <f>IF(B282="","",IFERROR(INDEX(Students!$A:$A,MATCH(TRIM(B282),Students!$A:$A,0)),"NOT ON LIST"))</f>
        <v/>
      </c>
      <c r="H282" s="35">
        <f>IF(OR(G282="",G282="NOT ON LIST"),"",VLOOKUP(G282,Students!$A:$C,2,FALSE))</f>
        <v/>
      </c>
      <c r="I282" s="35">
        <f>IF(OR(G282="",G282="NOT ON LIST"),"",VLOOKUP(G282,Students!$A:$C,3,FALSE)&amp;"")</f>
        <v/>
      </c>
    </row>
    <row r="283">
      <c r="A283" s="31" t="n">
        <v>46327.82291666666</v>
      </c>
      <c r="B283" s="32" t="inlineStr">
        <is>
          <t>Grace Perez</t>
        </is>
      </c>
      <c r="C283" s="32" t="inlineStr">
        <is>
          <t>Maya Perez</t>
        </is>
      </c>
      <c r="D283" s="33" t="n">
        <v>150</v>
      </c>
      <c r="E283" s="32" t="inlineStr">
        <is>
          <t>OneCause</t>
        </is>
      </c>
      <c r="F283" s="34">
        <f>IF(A283="","",IFERROR(INT(A283),"check date"))</f>
        <v/>
      </c>
      <c r="G283" s="35">
        <f>IF(B283="","",IFERROR(INDEX(Students!$A:$A,MATCH(TRIM(B283),Students!$A:$A,0)),"NOT ON LIST"))</f>
        <v/>
      </c>
      <c r="H283" s="35">
        <f>IF(OR(G283="",G283="NOT ON LIST"),"",VLOOKUP(G283,Students!$A:$C,2,FALSE))</f>
        <v/>
      </c>
      <c r="I283" s="35">
        <f>IF(OR(G283="",G283="NOT ON LIST"),"",VLOOKUP(G283,Students!$A:$C,3,FALSE)&amp;"")</f>
        <v/>
      </c>
    </row>
    <row r="284">
      <c r="A284" s="31" t="n">
        <v>46339.32291666666</v>
      </c>
      <c r="B284" s="32" t="inlineStr">
        <is>
          <t>Sofia Gutierrez</t>
        </is>
      </c>
      <c r="C284" s="32" t="inlineStr">
        <is>
          <t>Isaac Gutierrez</t>
        </is>
      </c>
      <c r="D284" s="33" t="n">
        <v>25</v>
      </c>
      <c r="E284" s="32" t="inlineStr">
        <is>
          <t>OneCause</t>
        </is>
      </c>
      <c r="F284" s="34">
        <f>IF(A284="","",IFERROR(INT(A284),"check date"))</f>
        <v/>
      </c>
      <c r="G284" s="35">
        <f>IF(B284="","",IFERROR(INDEX(Students!$A:$A,MATCH(TRIM(B284),Students!$A:$A,0)),"NOT ON LIST"))</f>
        <v/>
      </c>
      <c r="H284" s="35">
        <f>IF(OR(G284="",G284="NOT ON LIST"),"",VLOOKUP(G284,Students!$A:$C,2,FALSE))</f>
        <v/>
      </c>
      <c r="I284" s="35">
        <f>IF(OR(G284="",G284="NOT ON LIST"),"",VLOOKUP(G284,Students!$A:$C,3,FALSE)&amp;"")</f>
        <v/>
      </c>
    </row>
    <row r="285">
      <c r="A285" s="31" t="n">
        <v>46326</v>
      </c>
      <c r="B285" s="32" t="inlineStr">
        <is>
          <t>Valentina Smith</t>
        </is>
      </c>
      <c r="C285" s="32" t="inlineStr">
        <is>
          <t>Olivia Smith</t>
        </is>
      </c>
      <c r="D285" s="33" t="n">
        <v>150</v>
      </c>
      <c r="E285" s="32" t="inlineStr">
        <is>
          <t>Check</t>
        </is>
      </c>
      <c r="F285" s="34">
        <f>IF(A285="","",IFERROR(INT(A285),"check date"))</f>
        <v/>
      </c>
      <c r="G285" s="35">
        <f>IF(B285="","",IFERROR(INDEX(Students!$A:$A,MATCH(TRIM(B285),Students!$A:$A,0)),"NOT ON LIST"))</f>
        <v/>
      </c>
      <c r="H285" s="35">
        <f>IF(OR(G285="",G285="NOT ON LIST"),"",VLOOKUP(G285,Students!$A:$C,2,FALSE))</f>
        <v/>
      </c>
      <c r="I285" s="35">
        <f>IF(OR(G285="",G285="NOT ON LIST"),"",VLOOKUP(G285,Students!$A:$C,3,FALSE)&amp;"")</f>
        <v/>
      </c>
    </row>
    <row r="286">
      <c r="A286" s="31" t="n">
        <v>46336</v>
      </c>
      <c r="B286" s="32" t="inlineStr">
        <is>
          <t>Liam O'Brien</t>
        </is>
      </c>
      <c r="C286" s="32" t="inlineStr">
        <is>
          <t>Harper O'Brien</t>
        </is>
      </c>
      <c r="D286" s="33" t="n">
        <v>10</v>
      </c>
      <c r="E286" s="32" t="inlineStr">
        <is>
          <t>Check</t>
        </is>
      </c>
      <c r="F286" s="34">
        <f>IF(A286="","",IFERROR(INT(A286),"check date"))</f>
        <v/>
      </c>
      <c r="G286" s="35">
        <f>IF(B286="","",IFERROR(INDEX(Students!$A:$A,MATCH(TRIM(B286),Students!$A:$A,0)),"NOT ON LIST"))</f>
        <v/>
      </c>
      <c r="H286" s="35">
        <f>IF(OR(G286="",G286="NOT ON LIST"),"",VLOOKUP(G286,Students!$A:$C,2,FALSE))</f>
        <v/>
      </c>
      <c r="I286" s="35">
        <f>IF(OR(G286="",G286="NOT ON LIST"),"",VLOOKUP(G286,Students!$A:$C,3,FALSE)&amp;"")</f>
        <v/>
      </c>
    </row>
    <row r="287">
      <c r="A287" s="31" t="n">
        <v>46338.53125</v>
      </c>
      <c r="B287" s="32" t="inlineStr">
        <is>
          <t>Evelyn Diaz</t>
        </is>
      </c>
      <c r="C287" s="32" t="inlineStr">
        <is>
          <t>Amelia Diaz</t>
        </is>
      </c>
      <c r="D287" s="33" t="n">
        <v>25</v>
      </c>
      <c r="E287" s="32" t="inlineStr">
        <is>
          <t>OneCause</t>
        </is>
      </c>
      <c r="F287" s="34">
        <f>IF(A287="","",IFERROR(INT(A287),"check date"))</f>
        <v/>
      </c>
      <c r="G287" s="35">
        <f>IF(B287="","",IFERROR(INDEX(Students!$A:$A,MATCH(TRIM(B287),Students!$A:$A,0)),"NOT ON LIST"))</f>
        <v/>
      </c>
      <c r="H287" s="35">
        <f>IF(OR(G287="",G287="NOT ON LIST"),"",VLOOKUP(G287,Students!$A:$C,2,FALSE))</f>
        <v/>
      </c>
      <c r="I287" s="35">
        <f>IF(OR(G287="",G287="NOT ON LIST"),"",VLOOKUP(G287,Students!$A:$C,3,FALSE)&amp;"")</f>
        <v/>
      </c>
    </row>
    <row r="288">
      <c r="A288" s="31" t="n">
        <v>46325.79166666666</v>
      </c>
      <c r="B288" s="32" t="inlineStr">
        <is>
          <t>Ella Kim</t>
        </is>
      </c>
      <c r="C288" s="32" t="inlineStr">
        <is>
          <t>Aria Kim</t>
        </is>
      </c>
      <c r="D288" s="33" t="n">
        <v>50</v>
      </c>
      <c r="E288" s="32" t="inlineStr">
        <is>
          <t>OneCause</t>
        </is>
      </c>
      <c r="F288" s="34">
        <f>IF(A288="","",IFERROR(INT(A288),"check date"))</f>
        <v/>
      </c>
      <c r="G288" s="35">
        <f>IF(B288="","",IFERROR(INDEX(Students!$A:$A,MATCH(TRIM(B288),Students!$A:$A,0)),"NOT ON LIST"))</f>
        <v/>
      </c>
      <c r="H288" s="35">
        <f>IF(OR(G288="",G288="NOT ON LIST"),"",VLOOKUP(G288,Students!$A:$C,2,FALSE))</f>
        <v/>
      </c>
      <c r="I288" s="35">
        <f>IF(OR(G288="",G288="NOT ON LIST"),"",VLOOKUP(G288,Students!$A:$C,3,FALSE)&amp;"")</f>
        <v/>
      </c>
    </row>
    <row r="289">
      <c r="A289" s="31" t="n">
        <v>46325.33333333334</v>
      </c>
      <c r="B289" s="32" t="inlineStr">
        <is>
          <t>Nora Nguyen</t>
        </is>
      </c>
      <c r="C289" s="32" t="inlineStr">
        <is>
          <t>Daniel Nguyen</t>
        </is>
      </c>
      <c r="D289" s="33" t="n">
        <v>50</v>
      </c>
      <c r="E289" s="32" t="inlineStr">
        <is>
          <t>OneCause</t>
        </is>
      </c>
      <c r="F289" s="34">
        <f>IF(A289="","",IFERROR(INT(A289),"check date"))</f>
        <v/>
      </c>
      <c r="G289" s="35">
        <f>IF(B289="","",IFERROR(INDEX(Students!$A:$A,MATCH(TRIM(B289),Students!$A:$A,0)),"NOT ON LIST"))</f>
        <v/>
      </c>
      <c r="H289" s="35">
        <f>IF(OR(G289="",G289="NOT ON LIST"),"",VLOOKUP(G289,Students!$A:$C,2,FALSE))</f>
        <v/>
      </c>
      <c r="I289" s="35">
        <f>IF(OR(G289="",G289="NOT ON LIST"),"",VLOOKUP(G289,Students!$A:$C,3,FALSE)&amp;"")</f>
        <v/>
      </c>
    </row>
    <row r="290">
      <c r="A290" s="31" t="n">
        <v>46335.46875</v>
      </c>
      <c r="B290" s="32" t="inlineStr">
        <is>
          <t>Amelia Ortiz</t>
        </is>
      </c>
      <c r="C290" s="32" t="inlineStr">
        <is>
          <t>Clara Ortiz</t>
        </is>
      </c>
      <c r="D290" s="33" t="n">
        <v>100</v>
      </c>
      <c r="E290" s="32" t="inlineStr">
        <is>
          <t>OneCause</t>
        </is>
      </c>
      <c r="F290" s="34">
        <f>IF(A290="","",IFERROR(INT(A290),"check date"))</f>
        <v/>
      </c>
      <c r="G290" s="35">
        <f>IF(B290="","",IFERROR(INDEX(Students!$A:$A,MATCH(TRIM(B290),Students!$A:$A,0)),"NOT ON LIST"))</f>
        <v/>
      </c>
      <c r="H290" s="35">
        <f>IF(OR(G290="",G290="NOT ON LIST"),"",VLOOKUP(G290,Students!$A:$C,2,FALSE))</f>
        <v/>
      </c>
      <c r="I290" s="35">
        <f>IF(OR(G290="",G290="NOT ON LIST"),"",VLOOKUP(G290,Students!$A:$C,3,FALSE)&amp;"")</f>
        <v/>
      </c>
    </row>
    <row r="291">
      <c r="A291" s="31" t="n">
        <v>46332.5625</v>
      </c>
      <c r="B291" s="32" t="inlineStr">
        <is>
          <t>Joseph Kelly</t>
        </is>
      </c>
      <c r="C291" s="32" t="inlineStr">
        <is>
          <t>Chloe Kelly</t>
        </is>
      </c>
      <c r="D291" s="33" t="n">
        <v>20</v>
      </c>
      <c r="E291" s="32" t="inlineStr">
        <is>
          <t>OneCause</t>
        </is>
      </c>
      <c r="F291" s="34">
        <f>IF(A291="","",IFERROR(INT(A291),"check date"))</f>
        <v/>
      </c>
      <c r="G291" s="35">
        <f>IF(B291="","",IFERROR(INDEX(Students!$A:$A,MATCH(TRIM(B291),Students!$A:$A,0)),"NOT ON LIST"))</f>
        <v/>
      </c>
      <c r="H291" s="35">
        <f>IF(OR(G291="",G291="NOT ON LIST"),"",VLOOKUP(G291,Students!$A:$C,2,FALSE))</f>
        <v/>
      </c>
      <c r="I291" s="35">
        <f>IF(OR(G291="",G291="NOT ON LIST"),"",VLOOKUP(G291,Students!$A:$C,3,FALSE)&amp;"")</f>
        <v/>
      </c>
    </row>
    <row r="292">
      <c r="A292" s="31" t="n">
        <v>46329.52083333334</v>
      </c>
      <c r="B292" s="32" t="inlineStr">
        <is>
          <t>Grace Walsh</t>
        </is>
      </c>
      <c r="C292" s="32" t="inlineStr">
        <is>
          <t>Mia Walsh</t>
        </is>
      </c>
      <c r="D292" s="33" t="n">
        <v>20</v>
      </c>
      <c r="E292" s="32" t="inlineStr">
        <is>
          <t>OneCause</t>
        </is>
      </c>
      <c r="F292" s="34">
        <f>IF(A292="","",IFERROR(INT(A292),"check date"))</f>
        <v/>
      </c>
      <c r="G292" s="35">
        <f>IF(B292="","",IFERROR(INDEX(Students!$A:$A,MATCH(TRIM(B292),Students!$A:$A,0)),"NOT ON LIST"))</f>
        <v/>
      </c>
      <c r="H292" s="35">
        <f>IF(OR(G292="",G292="NOT ON LIST"),"",VLOOKUP(G292,Students!$A:$C,2,FALSE))</f>
        <v/>
      </c>
      <c r="I292" s="35">
        <f>IF(OR(G292="",G292="NOT ON LIST"),"",VLOOKUP(G292,Students!$A:$C,3,FALSE)&amp;"")</f>
        <v/>
      </c>
    </row>
    <row r="293">
      <c r="A293" s="31" t="n">
        <v>46325.51041666666</v>
      </c>
      <c r="B293" s="32" t="inlineStr">
        <is>
          <t>Harper Diaz</t>
        </is>
      </c>
      <c r="C293" s="32" t="inlineStr">
        <is>
          <t>Isabella Diaz</t>
        </is>
      </c>
      <c r="D293" s="33" t="n">
        <v>40</v>
      </c>
      <c r="E293" s="32" t="inlineStr">
        <is>
          <t>OneCause</t>
        </is>
      </c>
      <c r="F293" s="34">
        <f>IF(A293="","",IFERROR(INT(A293),"check date"))</f>
        <v/>
      </c>
      <c r="G293" s="35">
        <f>IF(B293="","",IFERROR(INDEX(Students!$A:$A,MATCH(TRIM(B293),Students!$A:$A,0)),"NOT ON LIST"))</f>
        <v/>
      </c>
      <c r="H293" s="35">
        <f>IF(OR(G293="",G293="NOT ON LIST"),"",VLOOKUP(G293,Students!$A:$C,2,FALSE))</f>
        <v/>
      </c>
      <c r="I293" s="35">
        <f>IF(OR(G293="",G293="NOT ON LIST"),"",VLOOKUP(G293,Students!$A:$C,3,FALSE)&amp;"")</f>
        <v/>
      </c>
    </row>
    <row r="294">
      <c r="A294" s="31" t="n">
        <v>46338.46875</v>
      </c>
      <c r="B294" s="32" t="inlineStr">
        <is>
          <t>Thomas Kelly</t>
        </is>
      </c>
      <c r="C294" s="32" t="inlineStr">
        <is>
          <t>Elijah Kelly</t>
        </is>
      </c>
      <c r="D294" s="33" t="n">
        <v>50</v>
      </c>
      <c r="E294" s="32" t="inlineStr">
        <is>
          <t>OneCause</t>
        </is>
      </c>
      <c r="F294" s="34">
        <f>IF(A294="","",IFERROR(INT(A294),"check date"))</f>
        <v/>
      </c>
      <c r="G294" s="35">
        <f>IF(B294="","",IFERROR(INDEX(Students!$A:$A,MATCH(TRIM(B294),Students!$A:$A,0)),"NOT ON LIST"))</f>
        <v/>
      </c>
      <c r="H294" s="35">
        <f>IF(OR(G294="",G294="NOT ON LIST"),"",VLOOKUP(G294,Students!$A:$C,2,FALSE))</f>
        <v/>
      </c>
      <c r="I294" s="35">
        <f>IF(OR(G294="",G294="NOT ON LIST"),"",VLOOKUP(G294,Students!$A:$C,3,FALSE)&amp;"")</f>
        <v/>
      </c>
    </row>
    <row r="295">
      <c r="A295" s="31" t="n">
        <v>46336.41666666666</v>
      </c>
      <c r="B295" s="32" t="inlineStr">
        <is>
          <t>Chloe Smith</t>
        </is>
      </c>
      <c r="C295" s="32" t="inlineStr">
        <is>
          <t>Luna Smith</t>
        </is>
      </c>
      <c r="D295" s="33" t="n">
        <v>50</v>
      </c>
      <c r="E295" s="32" t="inlineStr">
        <is>
          <t>OneCause</t>
        </is>
      </c>
      <c r="F295" s="34">
        <f>IF(A295="","",IFERROR(INT(A295),"check date"))</f>
        <v/>
      </c>
      <c r="G295" s="35">
        <f>IF(B295="","",IFERROR(INDEX(Students!$A:$A,MATCH(TRIM(B295),Students!$A:$A,0)),"NOT ON LIST"))</f>
        <v/>
      </c>
      <c r="H295" s="35">
        <f>IF(OR(G295="",G295="NOT ON LIST"),"",VLOOKUP(G295,Students!$A:$C,2,FALSE))</f>
        <v/>
      </c>
      <c r="I295" s="35">
        <f>IF(OR(G295="",G295="NOT ON LIST"),"",VLOOKUP(G295,Students!$A:$C,3,FALSE)&amp;"")</f>
        <v/>
      </c>
    </row>
    <row r="296">
      <c r="A296" s="31" t="n">
        <v>46328.82291666666</v>
      </c>
      <c r="B296" s="32" t="inlineStr">
        <is>
          <t>Liam Ortiz</t>
        </is>
      </c>
      <c r="C296" s="32" t="inlineStr">
        <is>
          <t>Ella Ortiz</t>
        </is>
      </c>
      <c r="D296" s="33" t="n">
        <v>75</v>
      </c>
      <c r="E296" s="32" t="inlineStr">
        <is>
          <t>OneCause</t>
        </is>
      </c>
      <c r="F296" s="34">
        <f>IF(A296="","",IFERROR(INT(A296),"check date"))</f>
        <v/>
      </c>
      <c r="G296" s="35">
        <f>IF(B296="","",IFERROR(INDEX(Students!$A:$A,MATCH(TRIM(B296),Students!$A:$A,0)),"NOT ON LIST"))</f>
        <v/>
      </c>
      <c r="H296" s="35">
        <f>IF(OR(G296="",G296="NOT ON LIST"),"",VLOOKUP(G296,Students!$A:$C,2,FALSE))</f>
        <v/>
      </c>
      <c r="I296" s="35">
        <f>IF(OR(G296="",G296="NOT ON LIST"),"",VLOOKUP(G296,Students!$A:$C,3,FALSE)&amp;"")</f>
        <v/>
      </c>
    </row>
    <row r="297">
      <c r="A297" s="31" t="n">
        <v>46335.3125</v>
      </c>
      <c r="B297" s="32" t="inlineStr">
        <is>
          <t>Evelyn Gomez</t>
        </is>
      </c>
      <c r="C297" s="32" t="inlineStr">
        <is>
          <t>Evelyn Gomez</t>
        </is>
      </c>
      <c r="D297" s="33" t="n">
        <v>150</v>
      </c>
      <c r="E297" s="32" t="inlineStr">
        <is>
          <t>OneCause</t>
        </is>
      </c>
      <c r="F297" s="34">
        <f>IF(A297="","",IFERROR(INT(A297),"check date"))</f>
        <v/>
      </c>
      <c r="G297" s="35">
        <f>IF(B297="","",IFERROR(INDEX(Students!$A:$A,MATCH(TRIM(B297),Students!$A:$A,0)),"NOT ON LIST"))</f>
        <v/>
      </c>
      <c r="H297" s="35">
        <f>IF(OR(G297="",G297="NOT ON LIST"),"",VLOOKUP(G297,Students!$A:$C,2,FALSE))</f>
        <v/>
      </c>
      <c r="I297" s="35">
        <f>IF(OR(G297="",G297="NOT ON LIST"),"",VLOOKUP(G297,Students!$A:$C,3,FALSE)&amp;"")</f>
        <v/>
      </c>
    </row>
    <row r="298">
      <c r="A298" s="31" t="n">
        <v>46329.61458333334</v>
      </c>
      <c r="B298" s="32" t="inlineStr">
        <is>
          <t>Olivia Cruz</t>
        </is>
      </c>
      <c r="C298" s="32" t="inlineStr">
        <is>
          <t>Lucas Cruz</t>
        </is>
      </c>
      <c r="D298" s="33" t="n">
        <v>75</v>
      </c>
      <c r="E298" s="32" t="inlineStr">
        <is>
          <t>OneCause</t>
        </is>
      </c>
      <c r="F298" s="34">
        <f>IF(A298="","",IFERROR(INT(A298),"check date"))</f>
        <v/>
      </c>
      <c r="G298" s="35">
        <f>IF(B298="","",IFERROR(INDEX(Students!$A:$A,MATCH(TRIM(B298),Students!$A:$A,0)),"NOT ON LIST"))</f>
        <v/>
      </c>
      <c r="H298" s="35">
        <f>IF(OR(G298="",G298="NOT ON LIST"),"",VLOOKUP(G298,Students!$A:$C,2,FALSE))</f>
        <v/>
      </c>
      <c r="I298" s="35">
        <f>IF(OR(G298="",G298="NOT ON LIST"),"",VLOOKUP(G298,Students!$A:$C,3,FALSE)&amp;"")</f>
        <v/>
      </c>
    </row>
    <row r="299">
      <c r="A299" s="31" t="n">
        <v>46339.59375</v>
      </c>
      <c r="B299" s="32" t="inlineStr">
        <is>
          <t>Liam Castillo</t>
        </is>
      </c>
      <c r="C299" s="32" t="inlineStr">
        <is>
          <t>James Castillo</t>
        </is>
      </c>
      <c r="D299" s="33" t="n">
        <v>50</v>
      </c>
      <c r="E299" s="32" t="inlineStr">
        <is>
          <t>OneCause</t>
        </is>
      </c>
      <c r="F299" s="34">
        <f>IF(A299="","",IFERROR(INT(A299),"check date"))</f>
        <v/>
      </c>
      <c r="G299" s="35">
        <f>IF(B299="","",IFERROR(INDEX(Students!$A:$A,MATCH(TRIM(B299),Students!$A:$A,0)),"NOT ON LIST"))</f>
        <v/>
      </c>
      <c r="H299" s="35">
        <f>IF(OR(G299="",G299="NOT ON LIST"),"",VLOOKUP(G299,Students!$A:$C,2,FALSE))</f>
        <v/>
      </c>
      <c r="I299" s="35">
        <f>IF(OR(G299="",G299="NOT ON LIST"),"",VLOOKUP(G299,Students!$A:$C,3,FALSE)&amp;"")</f>
        <v/>
      </c>
    </row>
    <row r="300">
      <c r="A300" s="31" t="n">
        <v>46338.73958333334</v>
      </c>
      <c r="B300" s="32" t="inlineStr">
        <is>
          <t>David Cruz</t>
        </is>
      </c>
      <c r="C300" s="32" t="inlineStr">
        <is>
          <t>Camila Cruz</t>
        </is>
      </c>
      <c r="D300" s="33" t="n">
        <v>25</v>
      </c>
      <c r="E300" s="32" t="inlineStr">
        <is>
          <t>OneCause</t>
        </is>
      </c>
      <c r="F300" s="34">
        <f>IF(A300="","",IFERROR(INT(A300),"check date"))</f>
        <v/>
      </c>
      <c r="G300" s="35">
        <f>IF(B300="","",IFERROR(INDEX(Students!$A:$A,MATCH(TRIM(B300),Students!$A:$A,0)),"NOT ON LIST"))</f>
        <v/>
      </c>
      <c r="H300" s="35">
        <f>IF(OR(G300="",G300="NOT ON LIST"),"",VLOOKUP(G300,Students!$A:$C,2,FALSE))</f>
        <v/>
      </c>
      <c r="I300" s="35">
        <f>IF(OR(G300="",G300="NOT ON LIST"),"",VLOOKUP(G300,Students!$A:$C,3,FALSE)&amp;"")</f>
        <v/>
      </c>
    </row>
    <row r="301">
      <c r="A301" s="31" t="n">
        <v>46335.48958333334</v>
      </c>
      <c r="B301" s="32" t="inlineStr">
        <is>
          <t>Noah Garcia</t>
        </is>
      </c>
      <c r="C301" s="32" t="inlineStr">
        <is>
          <t>Noah Garcia</t>
        </is>
      </c>
      <c r="D301" s="33" t="n">
        <v>40</v>
      </c>
      <c r="E301" s="32" t="inlineStr">
        <is>
          <t>OneCause</t>
        </is>
      </c>
      <c r="F301" s="34">
        <f>IF(A301="","",IFERROR(INT(A301),"check date"))</f>
        <v/>
      </c>
      <c r="G301" s="35">
        <f>IF(B301="","",IFERROR(INDEX(Students!$A:$A,MATCH(TRIM(B301),Students!$A:$A,0)),"NOT ON LIST"))</f>
        <v/>
      </c>
      <c r="H301" s="35">
        <f>IF(OR(G301="",G301="NOT ON LIST"),"",VLOOKUP(G301,Students!$A:$C,2,FALSE))</f>
        <v/>
      </c>
      <c r="I301" s="35">
        <f>IF(OR(G301="",G301="NOT ON LIST"),"",VLOOKUP(G301,Students!$A:$C,3,FALSE)&amp;"")</f>
        <v/>
      </c>
    </row>
    <row r="302">
      <c r="A302" s="31" t="n">
        <v>46335.34375</v>
      </c>
      <c r="B302" s="32" t="inlineStr">
        <is>
          <t>Mateo Vasquez</t>
        </is>
      </c>
      <c r="C302" s="32" t="inlineStr">
        <is>
          <t>Liam Vasquez</t>
        </is>
      </c>
      <c r="D302" s="33" t="n">
        <v>100</v>
      </c>
      <c r="E302" s="32" t="inlineStr">
        <is>
          <t>OneCause</t>
        </is>
      </c>
      <c r="F302" s="34">
        <f>IF(A302="","",IFERROR(INT(A302),"check date"))</f>
        <v/>
      </c>
      <c r="G302" s="35">
        <f>IF(B302="","",IFERROR(INDEX(Students!$A:$A,MATCH(TRIM(B302),Students!$A:$A,0)),"NOT ON LIST"))</f>
        <v/>
      </c>
      <c r="H302" s="35">
        <f>IF(OR(G302="",G302="NOT ON LIST"),"",VLOOKUP(G302,Students!$A:$C,2,FALSE))</f>
        <v/>
      </c>
      <c r="I302" s="35">
        <f>IF(OR(G302="",G302="NOT ON LIST"),"",VLOOKUP(G302,Students!$A:$C,3,FALSE)&amp;"")</f>
        <v/>
      </c>
    </row>
    <row r="303">
      <c r="A303" s="31" t="n">
        <v>46329.75</v>
      </c>
      <c r="B303" s="32" t="inlineStr">
        <is>
          <t>Harper Murphy</t>
        </is>
      </c>
      <c r="C303" s="32" t="inlineStr">
        <is>
          <t>Elijah Murphy</t>
        </is>
      </c>
      <c r="D303" s="33" t="n">
        <v>20</v>
      </c>
      <c r="E303" s="32" t="inlineStr">
        <is>
          <t>OneCause</t>
        </is>
      </c>
      <c r="F303" s="34">
        <f>IF(A303="","",IFERROR(INT(A303),"check date"))</f>
        <v/>
      </c>
      <c r="G303" s="35">
        <f>IF(B303="","",IFERROR(INDEX(Students!$A:$A,MATCH(TRIM(B303),Students!$A:$A,0)),"NOT ON LIST"))</f>
        <v/>
      </c>
      <c r="H303" s="35">
        <f>IF(OR(G303="",G303="NOT ON LIST"),"",VLOOKUP(G303,Students!$A:$C,2,FALSE))</f>
        <v/>
      </c>
      <c r="I303" s="35">
        <f>IF(OR(G303="",G303="NOT ON LIST"),"",VLOOKUP(G303,Students!$A:$C,3,FALSE)&amp;"")</f>
        <v/>
      </c>
    </row>
    <row r="304">
      <c r="A304" s="31" t="n">
        <v>46336.76041666666</v>
      </c>
      <c r="B304" s="32" t="inlineStr">
        <is>
          <t>Clara Flores</t>
        </is>
      </c>
      <c r="C304" s="32" t="inlineStr">
        <is>
          <t>Olivia Flores</t>
        </is>
      </c>
      <c r="D304" s="33" t="n">
        <v>50</v>
      </c>
      <c r="E304" s="32" t="inlineStr">
        <is>
          <t>OneCause</t>
        </is>
      </c>
      <c r="F304" s="34">
        <f>IF(A304="","",IFERROR(INT(A304),"check date"))</f>
        <v/>
      </c>
      <c r="G304" s="35">
        <f>IF(B304="","",IFERROR(INDEX(Students!$A:$A,MATCH(TRIM(B304),Students!$A:$A,0)),"NOT ON LIST"))</f>
        <v/>
      </c>
      <c r="H304" s="35">
        <f>IF(OR(G304="",G304="NOT ON LIST"),"",VLOOKUP(G304,Students!$A:$C,2,FALSE))</f>
        <v/>
      </c>
      <c r="I304" s="35">
        <f>IF(OR(G304="",G304="NOT ON LIST"),"",VLOOKUP(G304,Students!$A:$C,3,FALSE)&amp;"")</f>
        <v/>
      </c>
    </row>
    <row r="305">
      <c r="A305" s="31" t="n">
        <v>46331.41666666666</v>
      </c>
      <c r="B305" s="32" t="inlineStr">
        <is>
          <t>James Garcia</t>
        </is>
      </c>
      <c r="C305" s="32" t="inlineStr">
        <is>
          <t>Leo Garcia</t>
        </is>
      </c>
      <c r="D305" s="33" t="n">
        <v>50</v>
      </c>
      <c r="E305" s="32" t="inlineStr">
        <is>
          <t>OneCause</t>
        </is>
      </c>
      <c r="F305" s="34">
        <f>IF(A305="","",IFERROR(INT(A305),"check date"))</f>
        <v/>
      </c>
      <c r="G305" s="35">
        <f>IF(B305="","",IFERROR(INDEX(Students!$A:$A,MATCH(TRIM(B305),Students!$A:$A,0)),"NOT ON LIST"))</f>
        <v/>
      </c>
      <c r="H305" s="35">
        <f>IF(OR(G305="",G305="NOT ON LIST"),"",VLOOKUP(G305,Students!$A:$C,2,FALSE))</f>
        <v/>
      </c>
      <c r="I305" s="35">
        <f>IF(OR(G305="",G305="NOT ON LIST"),"",VLOOKUP(G305,Students!$A:$C,3,FALSE)&amp;"")</f>
        <v/>
      </c>
    </row>
    <row r="306">
      <c r="A306" s="31" t="n">
        <v>46338</v>
      </c>
      <c r="B306" s="32" t="inlineStr">
        <is>
          <t>Isaac Diaz</t>
        </is>
      </c>
      <c r="C306" s="32" t="inlineStr">
        <is>
          <t>James Diaz</t>
        </is>
      </c>
      <c r="D306" s="33" t="n">
        <v>20</v>
      </c>
      <c r="E306" s="32" t="inlineStr">
        <is>
          <t>Cash</t>
        </is>
      </c>
      <c r="F306" s="34">
        <f>IF(A306="","",IFERROR(INT(A306),"check date"))</f>
        <v/>
      </c>
      <c r="G306" s="35">
        <f>IF(B306="","",IFERROR(INDEX(Students!$A:$A,MATCH(TRIM(B306),Students!$A:$A,0)),"NOT ON LIST"))</f>
        <v/>
      </c>
      <c r="H306" s="35">
        <f>IF(OR(G306="",G306="NOT ON LIST"),"",VLOOKUP(G306,Students!$A:$C,2,FALSE))</f>
        <v/>
      </c>
      <c r="I306" s="35">
        <f>IF(OR(G306="",G306="NOT ON LIST"),"",VLOOKUP(G306,Students!$A:$C,3,FALSE)&amp;"")</f>
        <v/>
      </c>
    </row>
    <row r="307">
      <c r="A307" s="31" t="n">
        <v>46331.39583333334</v>
      </c>
      <c r="B307" s="32" t="inlineStr">
        <is>
          <t>Valentina Smith</t>
        </is>
      </c>
      <c r="C307" s="32" t="inlineStr">
        <is>
          <t>Julian Smith</t>
        </is>
      </c>
      <c r="D307" s="33" t="n">
        <v>40</v>
      </c>
      <c r="E307" s="32" t="inlineStr">
        <is>
          <t>OneCause</t>
        </is>
      </c>
      <c r="F307" s="34">
        <f>IF(A307="","",IFERROR(INT(A307),"check date"))</f>
        <v/>
      </c>
      <c r="G307" s="35">
        <f>IF(B307="","",IFERROR(INDEX(Students!$A:$A,MATCH(TRIM(B307),Students!$A:$A,0)),"NOT ON LIST"))</f>
        <v/>
      </c>
      <c r="H307" s="35">
        <f>IF(OR(G307="",G307="NOT ON LIST"),"",VLOOKUP(G307,Students!$A:$C,2,FALSE))</f>
        <v/>
      </c>
      <c r="I307" s="35">
        <f>IF(OR(G307="",G307="NOT ON LIST"),"",VLOOKUP(G307,Students!$A:$C,3,FALSE)&amp;"")</f>
        <v/>
      </c>
    </row>
    <row r="308">
      <c r="A308" s="31" t="n">
        <v>46338.52083333334</v>
      </c>
      <c r="B308" s="32" t="inlineStr">
        <is>
          <t>Amelia Vasquez</t>
        </is>
      </c>
      <c r="C308" s="32" t="inlineStr">
        <is>
          <t>Santiago Vasquez</t>
        </is>
      </c>
      <c r="D308" s="33" t="n">
        <v>25</v>
      </c>
      <c r="E308" s="32" t="inlineStr">
        <is>
          <t>OneCause</t>
        </is>
      </c>
      <c r="F308" s="34">
        <f>IF(A308="","",IFERROR(INT(A308),"check date"))</f>
        <v/>
      </c>
      <c r="G308" s="35">
        <f>IF(B308="","",IFERROR(INDEX(Students!$A:$A,MATCH(TRIM(B308),Students!$A:$A,0)),"NOT ON LIST"))</f>
        <v/>
      </c>
      <c r="H308" s="35">
        <f>IF(OR(G308="",G308="NOT ON LIST"),"",VLOOKUP(G308,Students!$A:$C,2,FALSE))</f>
        <v/>
      </c>
      <c r="I308" s="35">
        <f>IF(OR(G308="",G308="NOT ON LIST"),"",VLOOKUP(G308,Students!$A:$C,3,FALSE)&amp;"")</f>
        <v/>
      </c>
    </row>
    <row r="309">
      <c r="A309" s="31" t="n">
        <v>46328.4375</v>
      </c>
      <c r="B309" s="32" t="inlineStr">
        <is>
          <t>Joseph Mendoza</t>
        </is>
      </c>
      <c r="C309" s="32" t="inlineStr">
        <is>
          <t>Noah Mendoza</t>
        </is>
      </c>
      <c r="D309" s="33" t="n">
        <v>20</v>
      </c>
      <c r="E309" s="32" t="inlineStr">
        <is>
          <t>OneCause</t>
        </is>
      </c>
      <c r="F309" s="34">
        <f>IF(A309="","",IFERROR(INT(A309),"check date"))</f>
        <v/>
      </c>
      <c r="G309" s="35">
        <f>IF(B309="","",IFERROR(INDEX(Students!$A:$A,MATCH(TRIM(B309),Students!$A:$A,0)),"NOT ON LIST"))</f>
        <v/>
      </c>
      <c r="H309" s="35">
        <f>IF(OR(G309="",G309="NOT ON LIST"),"",VLOOKUP(G309,Students!$A:$C,2,FALSE))</f>
        <v/>
      </c>
      <c r="I309" s="35">
        <f>IF(OR(G309="",G309="NOT ON LIST"),"",VLOOKUP(G309,Students!$A:$C,3,FALSE)&amp;"")</f>
        <v/>
      </c>
    </row>
    <row r="310">
      <c r="A310" s="31" t="n">
        <v>46334.66666666666</v>
      </c>
      <c r="B310" s="32" t="inlineStr">
        <is>
          <t>Luna Alvarez</t>
        </is>
      </c>
      <c r="C310" s="32" t="inlineStr">
        <is>
          <t>Ava Alvarez</t>
        </is>
      </c>
      <c r="D310" s="33" t="n">
        <v>50</v>
      </c>
      <c r="E310" s="32" t="inlineStr">
        <is>
          <t>OneCause</t>
        </is>
      </c>
      <c r="F310" s="34">
        <f>IF(A310="","",IFERROR(INT(A310),"check date"))</f>
        <v/>
      </c>
      <c r="G310" s="35">
        <f>IF(B310="","",IFERROR(INDEX(Students!$A:$A,MATCH(TRIM(B310),Students!$A:$A,0)),"NOT ON LIST"))</f>
        <v/>
      </c>
      <c r="H310" s="35">
        <f>IF(OR(G310="",G310="NOT ON LIST"),"",VLOOKUP(G310,Students!$A:$C,2,FALSE))</f>
        <v/>
      </c>
      <c r="I310" s="35">
        <f>IF(OR(G310="",G310="NOT ON LIST"),"",VLOOKUP(G310,Students!$A:$C,3,FALSE)&amp;"")</f>
        <v/>
      </c>
    </row>
    <row r="311">
      <c r="A311" s="31" t="n">
        <v>46339.36458333334</v>
      </c>
      <c r="B311" s="32" t="inlineStr">
        <is>
          <t>Mia Garcia</t>
        </is>
      </c>
      <c r="C311" s="32" t="inlineStr">
        <is>
          <t>Evelyn Garcia</t>
        </is>
      </c>
      <c r="D311" s="33" t="n">
        <v>25</v>
      </c>
      <c r="E311" s="32" t="inlineStr">
        <is>
          <t>OneCause</t>
        </is>
      </c>
      <c r="F311" s="34">
        <f>IF(A311="","",IFERROR(INT(A311),"check date"))</f>
        <v/>
      </c>
      <c r="G311" s="35">
        <f>IF(B311="","",IFERROR(INDEX(Students!$A:$A,MATCH(TRIM(B311),Students!$A:$A,0)),"NOT ON LIST"))</f>
        <v/>
      </c>
      <c r="H311" s="35">
        <f>IF(OR(G311="",G311="NOT ON LIST"),"",VLOOKUP(G311,Students!$A:$C,2,FALSE))</f>
        <v/>
      </c>
      <c r="I311" s="35">
        <f>IF(OR(G311="",G311="NOT ON LIST"),"",VLOOKUP(G311,Students!$A:$C,3,FALSE)&amp;"")</f>
        <v/>
      </c>
    </row>
    <row r="312">
      <c r="A312" s="31" t="n">
        <v>46334.77083333334</v>
      </c>
      <c r="B312" s="32" t="inlineStr">
        <is>
          <t>Nora O'Brien</t>
        </is>
      </c>
      <c r="C312" s="32" t="inlineStr">
        <is>
          <t>Nicolas O'Brien</t>
        </is>
      </c>
      <c r="D312" s="33" t="n">
        <v>75</v>
      </c>
      <c r="E312" s="32" t="inlineStr">
        <is>
          <t>OneCause</t>
        </is>
      </c>
      <c r="F312" s="34">
        <f>IF(A312="","",IFERROR(INT(A312),"check date"))</f>
        <v/>
      </c>
      <c r="G312" s="35">
        <f>IF(B312="","",IFERROR(INDEX(Students!$A:$A,MATCH(TRIM(B312),Students!$A:$A,0)),"NOT ON LIST"))</f>
        <v/>
      </c>
      <c r="H312" s="35">
        <f>IF(OR(G312="",G312="NOT ON LIST"),"",VLOOKUP(G312,Students!$A:$C,2,FALSE))</f>
        <v/>
      </c>
      <c r="I312" s="35">
        <f>IF(OR(G312="",G312="NOT ON LIST"),"",VLOOKUP(G312,Students!$A:$C,3,FALSE)&amp;"")</f>
        <v/>
      </c>
    </row>
    <row r="313">
      <c r="A313" s="31" t="n">
        <v>46333.35416666666</v>
      </c>
      <c r="B313" s="32" t="inlineStr">
        <is>
          <t>Mateo Mendoza</t>
        </is>
      </c>
      <c r="C313" s="32" t="inlineStr">
        <is>
          <t>Mia Mendoza</t>
        </is>
      </c>
      <c r="D313" s="33" t="n">
        <v>25</v>
      </c>
      <c r="E313" s="32" t="inlineStr">
        <is>
          <t>OneCause</t>
        </is>
      </c>
      <c r="F313" s="34">
        <f>IF(A313="","",IFERROR(INT(A313),"check date"))</f>
        <v/>
      </c>
      <c r="G313" s="35">
        <f>IF(B313="","",IFERROR(INDEX(Students!$A:$A,MATCH(TRIM(B313),Students!$A:$A,0)),"NOT ON LIST"))</f>
        <v/>
      </c>
      <c r="H313" s="35">
        <f>IF(OR(G313="",G313="NOT ON LIST"),"",VLOOKUP(G313,Students!$A:$C,2,FALSE))</f>
        <v/>
      </c>
      <c r="I313" s="35">
        <f>IF(OR(G313="",G313="NOT ON LIST"),"",VLOOKUP(G313,Students!$A:$C,3,FALSE)&amp;"")</f>
        <v/>
      </c>
    </row>
    <row r="314">
      <c r="A314" s="31" t="n">
        <v>46336.32291666666</v>
      </c>
      <c r="B314" s="32" t="inlineStr">
        <is>
          <t>Joseph Chavez</t>
        </is>
      </c>
      <c r="C314" s="32" t="inlineStr">
        <is>
          <t>Samuel Chavez</t>
        </is>
      </c>
      <c r="D314" s="33" t="n">
        <v>20</v>
      </c>
      <c r="E314" s="32" t="inlineStr">
        <is>
          <t>OneCause</t>
        </is>
      </c>
      <c r="F314" s="34">
        <f>IF(A314="","",IFERROR(INT(A314),"check date"))</f>
        <v/>
      </c>
      <c r="G314" s="35">
        <f>IF(B314="","",IFERROR(INDEX(Students!$A:$A,MATCH(TRIM(B314),Students!$A:$A,0)),"NOT ON LIST"))</f>
        <v/>
      </c>
      <c r="H314" s="35">
        <f>IF(OR(G314="",G314="NOT ON LIST"),"",VLOOKUP(G314,Students!$A:$C,2,FALSE))</f>
        <v/>
      </c>
      <c r="I314" s="35">
        <f>IF(OR(G314="",G314="NOT ON LIST"),"",VLOOKUP(G314,Students!$A:$C,3,FALSE)&amp;"")</f>
        <v/>
      </c>
    </row>
    <row r="315">
      <c r="A315" s="31" t="n">
        <v>46331.80208333334</v>
      </c>
      <c r="B315" s="32" t="inlineStr">
        <is>
          <t>Nicolas Brown</t>
        </is>
      </c>
      <c r="C315" s="32" t="inlineStr">
        <is>
          <t>Mateo Brown</t>
        </is>
      </c>
      <c r="D315" s="33" t="n">
        <v>50</v>
      </c>
      <c r="E315" s="32" t="inlineStr">
        <is>
          <t>OneCause</t>
        </is>
      </c>
      <c r="F315" s="34">
        <f>IF(A315="","",IFERROR(INT(A315),"check date"))</f>
        <v/>
      </c>
      <c r="G315" s="35">
        <f>IF(B315="","",IFERROR(INDEX(Students!$A:$A,MATCH(TRIM(B315),Students!$A:$A,0)),"NOT ON LIST"))</f>
        <v/>
      </c>
      <c r="H315" s="35">
        <f>IF(OR(G315="",G315="NOT ON LIST"),"",VLOOKUP(G315,Students!$A:$C,2,FALSE))</f>
        <v/>
      </c>
      <c r="I315" s="35">
        <f>IF(OR(G315="",G315="NOT ON LIST"),"",VLOOKUP(G315,Students!$A:$C,3,FALSE)&amp;"")</f>
        <v/>
      </c>
    </row>
    <row r="316">
      <c r="A316" s="31" t="n">
        <v>46335.54166666666</v>
      </c>
      <c r="B316" s="32" t="inlineStr">
        <is>
          <t>Aria Martinez</t>
        </is>
      </c>
      <c r="C316" s="32" t="inlineStr">
        <is>
          <t>Ella Martinez</t>
        </is>
      </c>
      <c r="D316" s="33" t="n">
        <v>25</v>
      </c>
      <c r="E316" s="32" t="inlineStr">
        <is>
          <t>OneCause</t>
        </is>
      </c>
      <c r="F316" s="34">
        <f>IF(A316="","",IFERROR(INT(A316),"check date"))</f>
        <v/>
      </c>
      <c r="G316" s="35">
        <f>IF(B316="","",IFERROR(INDEX(Students!$A:$A,MATCH(TRIM(B316),Students!$A:$A,0)),"NOT ON LIST"))</f>
        <v/>
      </c>
      <c r="H316" s="35">
        <f>IF(OR(G316="",G316="NOT ON LIST"),"",VLOOKUP(G316,Students!$A:$C,2,FALSE))</f>
        <v/>
      </c>
      <c r="I316" s="35">
        <f>IF(OR(G316="",G316="NOT ON LIST"),"",VLOOKUP(G316,Students!$A:$C,3,FALSE)&amp;"")</f>
        <v/>
      </c>
    </row>
    <row r="317">
      <c r="A317" s="31" t="n">
        <v>46339.82291666666</v>
      </c>
      <c r="B317" s="32" t="inlineStr">
        <is>
          <t>Luna Nguyen</t>
        </is>
      </c>
      <c r="C317" s="32" t="inlineStr">
        <is>
          <t>Grace Nguyen</t>
        </is>
      </c>
      <c r="D317" s="33" t="n">
        <v>50</v>
      </c>
      <c r="E317" s="32" t="inlineStr">
        <is>
          <t>OneCause</t>
        </is>
      </c>
      <c r="F317" s="34">
        <f>IF(A317="","",IFERROR(INT(A317),"check date"))</f>
        <v/>
      </c>
      <c r="G317" s="35">
        <f>IF(B317="","",IFERROR(INDEX(Students!$A:$A,MATCH(TRIM(B317),Students!$A:$A,0)),"NOT ON LIST"))</f>
        <v/>
      </c>
      <c r="H317" s="35">
        <f>IF(OR(G317="",G317="NOT ON LIST"),"",VLOOKUP(G317,Students!$A:$C,2,FALSE))</f>
        <v/>
      </c>
      <c r="I317" s="35">
        <f>IF(OR(G317="",G317="NOT ON LIST"),"",VLOOKUP(G317,Students!$A:$C,3,FALSE)&amp;"")</f>
        <v/>
      </c>
    </row>
    <row r="318">
      <c r="A318" s="31" t="n">
        <v>46336.71875</v>
      </c>
      <c r="B318" s="32" t="inlineStr">
        <is>
          <t>Evelyn Torres</t>
        </is>
      </c>
      <c r="C318" s="32" t="inlineStr">
        <is>
          <t>Nora Torres</t>
        </is>
      </c>
      <c r="D318" s="33" t="n">
        <v>25</v>
      </c>
      <c r="E318" s="32" t="inlineStr">
        <is>
          <t>OneCause</t>
        </is>
      </c>
      <c r="F318" s="34">
        <f>IF(A318="","",IFERROR(INT(A318),"check date"))</f>
        <v/>
      </c>
      <c r="G318" s="35">
        <f>IF(B318="","",IFERROR(INDEX(Students!$A:$A,MATCH(TRIM(B318),Students!$A:$A,0)),"NOT ON LIST"))</f>
        <v/>
      </c>
      <c r="H318" s="35">
        <f>IF(OR(G318="",G318="NOT ON LIST"),"",VLOOKUP(G318,Students!$A:$C,2,FALSE))</f>
        <v/>
      </c>
      <c r="I318" s="35">
        <f>IF(OR(G318="",G318="NOT ON LIST"),"",VLOOKUP(G318,Students!$A:$C,3,FALSE)&amp;"")</f>
        <v/>
      </c>
    </row>
    <row r="319">
      <c r="A319" s="31" t="n">
        <v>46332.76041666666</v>
      </c>
      <c r="B319" s="32" t="inlineStr">
        <is>
          <t>Mia Garcia</t>
        </is>
      </c>
      <c r="C319" s="32" t="inlineStr">
        <is>
          <t>Elena Garcia</t>
        </is>
      </c>
      <c r="D319" s="33" t="n">
        <v>10</v>
      </c>
      <c r="E319" s="32" t="inlineStr">
        <is>
          <t>OneCause</t>
        </is>
      </c>
      <c r="F319" s="34">
        <f>IF(A319="","",IFERROR(INT(A319),"check date"))</f>
        <v/>
      </c>
      <c r="G319" s="35">
        <f>IF(B319="","",IFERROR(INDEX(Students!$A:$A,MATCH(TRIM(B319),Students!$A:$A,0)),"NOT ON LIST"))</f>
        <v/>
      </c>
      <c r="H319" s="35">
        <f>IF(OR(G319="",G319="NOT ON LIST"),"",VLOOKUP(G319,Students!$A:$C,2,FALSE))</f>
        <v/>
      </c>
      <c r="I319" s="35">
        <f>IF(OR(G319="",G319="NOT ON LIST"),"",VLOOKUP(G319,Students!$A:$C,3,FALSE)&amp;"")</f>
        <v/>
      </c>
    </row>
    <row r="320">
      <c r="A320" s="31" t="n">
        <v>46336.375</v>
      </c>
      <c r="B320" s="32" t="inlineStr">
        <is>
          <t>Mateo Sullivan</t>
        </is>
      </c>
      <c r="C320" s="32" t="inlineStr">
        <is>
          <t>Mateo Sullivan</t>
        </is>
      </c>
      <c r="D320" s="33" t="n">
        <v>25</v>
      </c>
      <c r="E320" s="32" t="inlineStr">
        <is>
          <t>OneCause</t>
        </is>
      </c>
      <c r="F320" s="34">
        <f>IF(A320="","",IFERROR(INT(A320),"check date"))</f>
        <v/>
      </c>
      <c r="G320" s="35">
        <f>IF(B320="","",IFERROR(INDEX(Students!$A:$A,MATCH(TRIM(B320),Students!$A:$A,0)),"NOT ON LIST"))</f>
        <v/>
      </c>
      <c r="H320" s="35">
        <f>IF(OR(G320="",G320="NOT ON LIST"),"",VLOOKUP(G320,Students!$A:$C,2,FALSE))</f>
        <v/>
      </c>
      <c r="I320" s="35">
        <f>IF(OR(G320="",G320="NOT ON LIST"),"",VLOOKUP(G320,Students!$A:$C,3,FALSE)&amp;"")</f>
        <v/>
      </c>
    </row>
    <row r="321">
      <c r="A321" s="31" t="n">
        <v>46337</v>
      </c>
      <c r="B321" s="32" t="inlineStr">
        <is>
          <t>Sofia Williams</t>
        </is>
      </c>
      <c r="C321" s="32" t="inlineStr">
        <is>
          <t>Diego Williams</t>
        </is>
      </c>
      <c r="D321" s="33" t="n">
        <v>25</v>
      </c>
      <c r="E321" s="32" t="inlineStr">
        <is>
          <t>Cash</t>
        </is>
      </c>
      <c r="F321" s="34">
        <f>IF(A321="","",IFERROR(INT(A321),"check date"))</f>
        <v/>
      </c>
      <c r="G321" s="35">
        <f>IF(B321="","",IFERROR(INDEX(Students!$A:$A,MATCH(TRIM(B321),Students!$A:$A,0)),"NOT ON LIST"))</f>
        <v/>
      </c>
      <c r="H321" s="35">
        <f>IF(OR(G321="",G321="NOT ON LIST"),"",VLOOKUP(G321,Students!$A:$C,2,FALSE))</f>
        <v/>
      </c>
      <c r="I321" s="35">
        <f>IF(OR(G321="",G321="NOT ON LIST"),"",VLOOKUP(G321,Students!$A:$C,3,FALSE)&amp;"")</f>
        <v/>
      </c>
    </row>
    <row r="322">
      <c r="A322" s="31" t="n">
        <v>46327.66666666666</v>
      </c>
      <c r="B322" s="32" t="inlineStr">
        <is>
          <t>Chloe Cruz</t>
        </is>
      </c>
      <c r="C322" s="32" t="inlineStr">
        <is>
          <t>Amelia Cruz</t>
        </is>
      </c>
      <c r="D322" s="33" t="n">
        <v>10</v>
      </c>
      <c r="E322" s="32" t="inlineStr">
        <is>
          <t>OneCause</t>
        </is>
      </c>
      <c r="F322" s="34">
        <f>IF(A322="","",IFERROR(INT(A322),"check date"))</f>
        <v/>
      </c>
      <c r="G322" s="35">
        <f>IF(B322="","",IFERROR(INDEX(Students!$A:$A,MATCH(TRIM(B322),Students!$A:$A,0)),"NOT ON LIST"))</f>
        <v/>
      </c>
      <c r="H322" s="35">
        <f>IF(OR(G322="",G322="NOT ON LIST"),"",VLOOKUP(G322,Students!$A:$C,2,FALSE))</f>
        <v/>
      </c>
      <c r="I322" s="35">
        <f>IF(OR(G322="",G322="NOT ON LIST"),"",VLOOKUP(G322,Students!$A:$C,3,FALSE)&amp;"")</f>
        <v/>
      </c>
    </row>
    <row r="323">
      <c r="A323" s="31" t="n">
        <v>46338.71875</v>
      </c>
      <c r="B323" s="32" t="inlineStr">
        <is>
          <t>Chloe Gomez</t>
        </is>
      </c>
      <c r="C323" s="32" t="inlineStr">
        <is>
          <t>Aria Gomez</t>
        </is>
      </c>
      <c r="D323" s="33" t="n">
        <v>25</v>
      </c>
      <c r="E323" s="32" t="inlineStr">
        <is>
          <t>OneCause</t>
        </is>
      </c>
      <c r="F323" s="34">
        <f>IF(A323="","",IFERROR(INT(A323),"check date"))</f>
        <v/>
      </c>
      <c r="G323" s="35">
        <f>IF(B323="","",IFERROR(INDEX(Students!$A:$A,MATCH(TRIM(B323),Students!$A:$A,0)),"NOT ON LIST"))</f>
        <v/>
      </c>
      <c r="H323" s="35">
        <f>IF(OR(G323="",G323="NOT ON LIST"),"",VLOOKUP(G323,Students!$A:$C,2,FALSE))</f>
        <v/>
      </c>
      <c r="I323" s="35">
        <f>IF(OR(G323="",G323="NOT ON LIST"),"",VLOOKUP(G323,Students!$A:$C,3,FALSE)&amp;"")</f>
        <v/>
      </c>
    </row>
    <row r="324">
      <c r="A324" s="31" t="n">
        <v>46328.3125</v>
      </c>
      <c r="B324" s="32" t="inlineStr">
        <is>
          <t>Adrian Byrne</t>
        </is>
      </c>
      <c r="C324" s="32" t="inlineStr">
        <is>
          <t>Daniel Byrne</t>
        </is>
      </c>
      <c r="D324" s="33" t="n">
        <v>50</v>
      </c>
      <c r="E324" s="32" t="inlineStr">
        <is>
          <t>OneCause</t>
        </is>
      </c>
      <c r="F324" s="34">
        <f>IF(A324="","",IFERROR(INT(A324),"check date"))</f>
        <v/>
      </c>
      <c r="G324" s="35">
        <f>IF(B324="","",IFERROR(INDEX(Students!$A:$A,MATCH(TRIM(B324),Students!$A:$A,0)),"NOT ON LIST"))</f>
        <v/>
      </c>
      <c r="H324" s="35">
        <f>IF(OR(G324="",G324="NOT ON LIST"),"",VLOOKUP(G324,Students!$A:$C,2,FALSE))</f>
        <v/>
      </c>
      <c r="I324" s="35">
        <f>IF(OR(G324="",G324="NOT ON LIST"),"",VLOOKUP(G324,Students!$A:$C,3,FALSE)&amp;"")</f>
        <v/>
      </c>
    </row>
    <row r="325">
      <c r="A325" s="31" t="n">
        <v>46331.57291666666</v>
      </c>
      <c r="B325" s="32" t="inlineStr">
        <is>
          <t>Adrian Ruiz</t>
        </is>
      </c>
      <c r="C325" s="32" t="inlineStr">
        <is>
          <t>Nicolas Ruiz</t>
        </is>
      </c>
      <c r="D325" s="33" t="n">
        <v>100</v>
      </c>
      <c r="E325" s="32" t="inlineStr">
        <is>
          <t>OneCause</t>
        </is>
      </c>
      <c r="F325" s="34">
        <f>IF(A325="","",IFERROR(INT(A325),"check date"))</f>
        <v/>
      </c>
      <c r="G325" s="35">
        <f>IF(B325="","",IFERROR(INDEX(Students!$A:$A,MATCH(TRIM(B325),Students!$A:$A,0)),"NOT ON LIST"))</f>
        <v/>
      </c>
      <c r="H325" s="35">
        <f>IF(OR(G325="",G325="NOT ON LIST"),"",VLOOKUP(G325,Students!$A:$C,2,FALSE))</f>
        <v/>
      </c>
      <c r="I325" s="35">
        <f>IF(OR(G325="",G325="NOT ON LIST"),"",VLOOKUP(G325,Students!$A:$C,3,FALSE)&amp;"")</f>
        <v/>
      </c>
    </row>
    <row r="326">
      <c r="A326" s="31" t="n">
        <v>46339.79166666666</v>
      </c>
      <c r="B326" s="32" t="inlineStr">
        <is>
          <t>Valentina Smith</t>
        </is>
      </c>
      <c r="C326" s="32" t="inlineStr">
        <is>
          <t>Valentina Smith</t>
        </is>
      </c>
      <c r="D326" s="33" t="n">
        <v>20</v>
      </c>
      <c r="E326" s="32" t="inlineStr">
        <is>
          <t>OneCause</t>
        </is>
      </c>
      <c r="F326" s="34">
        <f>IF(A326="","",IFERROR(INT(A326),"check date"))</f>
        <v/>
      </c>
      <c r="G326" s="35">
        <f>IF(B326="","",IFERROR(INDEX(Students!$A:$A,MATCH(TRIM(B326),Students!$A:$A,0)),"NOT ON LIST"))</f>
        <v/>
      </c>
      <c r="H326" s="35">
        <f>IF(OR(G326="",G326="NOT ON LIST"),"",VLOOKUP(G326,Students!$A:$C,2,FALSE))</f>
        <v/>
      </c>
      <c r="I326" s="35">
        <f>IF(OR(G326="",G326="NOT ON LIST"),"",VLOOKUP(G326,Students!$A:$C,3,FALSE)&amp;"")</f>
        <v/>
      </c>
    </row>
    <row r="327">
      <c r="A327" s="31" t="n">
        <v>46339</v>
      </c>
      <c r="B327" s="32" t="inlineStr">
        <is>
          <t>Ava Perez</t>
        </is>
      </c>
      <c r="C327" s="32" t="inlineStr">
        <is>
          <t>Julian Perez</t>
        </is>
      </c>
      <c r="D327" s="33" t="n">
        <v>75</v>
      </c>
      <c r="E327" s="32" t="inlineStr">
        <is>
          <t>Cash</t>
        </is>
      </c>
      <c r="F327" s="34">
        <f>IF(A327="","",IFERROR(INT(A327),"check date"))</f>
        <v/>
      </c>
      <c r="G327" s="35">
        <f>IF(B327="","",IFERROR(INDEX(Students!$A:$A,MATCH(TRIM(B327),Students!$A:$A,0)),"NOT ON LIST"))</f>
        <v/>
      </c>
      <c r="H327" s="35">
        <f>IF(OR(G327="",G327="NOT ON LIST"),"",VLOOKUP(G327,Students!$A:$C,2,FALSE))</f>
        <v/>
      </c>
      <c r="I327" s="35">
        <f>IF(OR(G327="",G327="NOT ON LIST"),"",VLOOKUP(G327,Students!$A:$C,3,FALSE)&amp;"")</f>
        <v/>
      </c>
    </row>
    <row r="328">
      <c r="A328" s="31" t="n">
        <v>46329.58333333334</v>
      </c>
      <c r="B328" s="32" t="inlineStr">
        <is>
          <t>Grace Gonzalez</t>
        </is>
      </c>
      <c r="C328" s="32" t="inlineStr">
        <is>
          <t>Isaac Gonzalez</t>
        </is>
      </c>
      <c r="D328" s="33" t="n">
        <v>100</v>
      </c>
      <c r="E328" s="32" t="inlineStr">
        <is>
          <t>OneCause</t>
        </is>
      </c>
      <c r="F328" s="34">
        <f>IF(A328="","",IFERROR(INT(A328),"check date"))</f>
        <v/>
      </c>
      <c r="G328" s="35">
        <f>IF(B328="","",IFERROR(INDEX(Students!$A:$A,MATCH(TRIM(B328),Students!$A:$A,0)),"NOT ON LIST"))</f>
        <v/>
      </c>
      <c r="H328" s="35">
        <f>IF(OR(G328="",G328="NOT ON LIST"),"",VLOOKUP(G328,Students!$A:$C,2,FALSE))</f>
        <v/>
      </c>
      <c r="I328" s="35">
        <f>IF(OR(G328="",G328="NOT ON LIST"),"",VLOOKUP(G328,Students!$A:$C,3,FALSE)&amp;"")</f>
        <v/>
      </c>
    </row>
    <row r="329">
      <c r="A329" s="31" t="n">
        <v>46332.6875</v>
      </c>
      <c r="B329" s="32" t="inlineStr">
        <is>
          <t>Liam Garcia</t>
        </is>
      </c>
      <c r="C329" s="32" t="inlineStr">
        <is>
          <t>Maya Garcia</t>
        </is>
      </c>
      <c r="D329" s="33" t="n">
        <v>50</v>
      </c>
      <c r="E329" s="32" t="inlineStr">
        <is>
          <t>OneCause</t>
        </is>
      </c>
      <c r="F329" s="34">
        <f>IF(A329="","",IFERROR(INT(A329),"check date"))</f>
        <v/>
      </c>
      <c r="G329" s="35">
        <f>IF(B329="","",IFERROR(INDEX(Students!$A:$A,MATCH(TRIM(B329),Students!$A:$A,0)),"NOT ON LIST"))</f>
        <v/>
      </c>
      <c r="H329" s="35">
        <f>IF(OR(G329="",G329="NOT ON LIST"),"",VLOOKUP(G329,Students!$A:$C,2,FALSE))</f>
        <v/>
      </c>
      <c r="I329" s="35">
        <f>IF(OR(G329="",G329="NOT ON LIST"),"",VLOOKUP(G329,Students!$A:$C,3,FALSE)&amp;"")</f>
        <v/>
      </c>
    </row>
    <row r="330">
      <c r="A330" s="31" t="n">
        <v>46325.78125</v>
      </c>
      <c r="B330" s="32" t="inlineStr">
        <is>
          <t>Emma Walsh</t>
        </is>
      </c>
      <c r="C330" s="32" t="inlineStr">
        <is>
          <t>Nora Walsh</t>
        </is>
      </c>
      <c r="D330" s="33" t="n">
        <v>25</v>
      </c>
      <c r="E330" s="32" t="inlineStr">
        <is>
          <t>OneCause</t>
        </is>
      </c>
      <c r="F330" s="34">
        <f>IF(A330="","",IFERROR(INT(A330),"check date"))</f>
        <v/>
      </c>
      <c r="G330" s="35">
        <f>IF(B330="","",IFERROR(INDEX(Students!$A:$A,MATCH(TRIM(B330),Students!$A:$A,0)),"NOT ON LIST"))</f>
        <v/>
      </c>
      <c r="H330" s="35">
        <f>IF(OR(G330="",G330="NOT ON LIST"),"",VLOOKUP(G330,Students!$A:$C,2,FALSE))</f>
        <v/>
      </c>
      <c r="I330" s="35">
        <f>IF(OR(G330="",G330="NOT ON LIST"),"",VLOOKUP(G330,Students!$A:$C,3,FALSE)&amp;"")</f>
        <v/>
      </c>
    </row>
    <row r="331">
      <c r="A331" s="31" t="n">
        <v>46339.39583333334</v>
      </c>
      <c r="B331" s="32" t="inlineStr">
        <is>
          <t>Nora Ramirez</t>
        </is>
      </c>
      <c r="C331" s="32" t="inlineStr">
        <is>
          <t>Lily Ramirez</t>
        </is>
      </c>
      <c r="D331" s="33" t="n">
        <v>20</v>
      </c>
      <c r="E331" s="32" t="inlineStr">
        <is>
          <t>OneCause</t>
        </is>
      </c>
      <c r="F331" s="34">
        <f>IF(A331="","",IFERROR(INT(A331),"check date"))</f>
        <v/>
      </c>
      <c r="G331" s="35">
        <f>IF(B331="","",IFERROR(INDEX(Students!$A:$A,MATCH(TRIM(B331),Students!$A:$A,0)),"NOT ON LIST"))</f>
        <v/>
      </c>
      <c r="H331" s="35">
        <f>IF(OR(G331="",G331="NOT ON LIST"),"",VLOOKUP(G331,Students!$A:$C,2,FALSE))</f>
        <v/>
      </c>
      <c r="I331" s="35">
        <f>IF(OR(G331="",G331="NOT ON LIST"),"",VLOOKUP(G331,Students!$A:$C,3,FALSE)&amp;"")</f>
        <v/>
      </c>
    </row>
    <row r="332">
      <c r="A332" s="31" t="n">
        <v>46336.625</v>
      </c>
      <c r="B332" s="32" t="inlineStr">
        <is>
          <t>Clara Sullivan</t>
        </is>
      </c>
      <c r="C332" s="32" t="inlineStr">
        <is>
          <t>Luna Sullivan</t>
        </is>
      </c>
      <c r="D332" s="33" t="n">
        <v>50</v>
      </c>
      <c r="E332" s="32" t="inlineStr">
        <is>
          <t>OneCause</t>
        </is>
      </c>
      <c r="F332" s="34">
        <f>IF(A332="","",IFERROR(INT(A332),"check date"))</f>
        <v/>
      </c>
      <c r="G332" s="35">
        <f>IF(B332="","",IFERROR(INDEX(Students!$A:$A,MATCH(TRIM(B332),Students!$A:$A,0)),"NOT ON LIST"))</f>
        <v/>
      </c>
      <c r="H332" s="35">
        <f>IF(OR(G332="",G332="NOT ON LIST"),"",VLOOKUP(G332,Students!$A:$C,2,FALSE))</f>
        <v/>
      </c>
      <c r="I332" s="35">
        <f>IF(OR(G332="",G332="NOT ON LIST"),"",VLOOKUP(G332,Students!$A:$C,3,FALSE)&amp;"")</f>
        <v/>
      </c>
    </row>
    <row r="333">
      <c r="A333" s="31" t="n">
        <v>46333</v>
      </c>
      <c r="B333" s="32" t="inlineStr">
        <is>
          <t>Samuel Gutierrez</t>
        </is>
      </c>
      <c r="C333" s="32" t="inlineStr">
        <is>
          <t>Sofia Gutierrez</t>
        </is>
      </c>
      <c r="D333" s="33" t="n">
        <v>50</v>
      </c>
      <c r="E333" s="32" t="inlineStr">
        <is>
          <t>Check</t>
        </is>
      </c>
      <c r="F333" s="34">
        <f>IF(A333="","",IFERROR(INT(A333),"check date"))</f>
        <v/>
      </c>
      <c r="G333" s="35">
        <f>IF(B333="","",IFERROR(INDEX(Students!$A:$A,MATCH(TRIM(B333),Students!$A:$A,0)),"NOT ON LIST"))</f>
        <v/>
      </c>
      <c r="H333" s="35">
        <f>IF(OR(G333="",G333="NOT ON LIST"),"",VLOOKUP(G333,Students!$A:$C,2,FALSE))</f>
        <v/>
      </c>
      <c r="I333" s="35">
        <f>IF(OR(G333="",G333="NOT ON LIST"),"",VLOOKUP(G333,Students!$A:$C,3,FALSE)&amp;"")</f>
        <v/>
      </c>
    </row>
    <row r="334">
      <c r="A334" s="31" t="n">
        <v>46329.375</v>
      </c>
      <c r="B334" s="32" t="inlineStr">
        <is>
          <t>Chloe Diaz</t>
        </is>
      </c>
      <c r="C334" s="32" t="inlineStr">
        <is>
          <t>Santiago Diaz</t>
        </is>
      </c>
      <c r="D334" s="33" t="n">
        <v>20</v>
      </c>
      <c r="E334" s="32" t="inlineStr">
        <is>
          <t>OneCause</t>
        </is>
      </c>
      <c r="F334" s="34">
        <f>IF(A334="","",IFERROR(INT(A334),"check date"))</f>
        <v/>
      </c>
      <c r="G334" s="35">
        <f>IF(B334="","",IFERROR(INDEX(Students!$A:$A,MATCH(TRIM(B334),Students!$A:$A,0)),"NOT ON LIST"))</f>
        <v/>
      </c>
      <c r="H334" s="35">
        <f>IF(OR(G334="",G334="NOT ON LIST"),"",VLOOKUP(G334,Students!$A:$C,2,FALSE))</f>
        <v/>
      </c>
      <c r="I334" s="35">
        <f>IF(OR(G334="",G334="NOT ON LIST"),"",VLOOKUP(G334,Students!$A:$C,3,FALSE)&amp;"")</f>
        <v/>
      </c>
    </row>
    <row r="335">
      <c r="A335" s="31" t="n">
        <v>46334</v>
      </c>
      <c r="B335" s="32" t="inlineStr">
        <is>
          <t>Luna Alvarez</t>
        </is>
      </c>
      <c r="C335" s="32" t="inlineStr">
        <is>
          <t>Aria Alvarez</t>
        </is>
      </c>
      <c r="D335" s="33" t="n">
        <v>100</v>
      </c>
      <c r="E335" s="32" t="inlineStr">
        <is>
          <t>Cash</t>
        </is>
      </c>
      <c r="F335" s="34">
        <f>IF(A335="","",IFERROR(INT(A335),"check date"))</f>
        <v/>
      </c>
      <c r="G335" s="35">
        <f>IF(B335="","",IFERROR(INDEX(Students!$A:$A,MATCH(TRIM(B335),Students!$A:$A,0)),"NOT ON LIST"))</f>
        <v/>
      </c>
      <c r="H335" s="35">
        <f>IF(OR(G335="",G335="NOT ON LIST"),"",VLOOKUP(G335,Students!$A:$C,2,FALSE))</f>
        <v/>
      </c>
      <c r="I335" s="35">
        <f>IF(OR(G335="",G335="NOT ON LIST"),"",VLOOKUP(G335,Students!$A:$C,3,FALSE)&amp;"")</f>
        <v/>
      </c>
    </row>
    <row r="336">
      <c r="A336" s="31" t="n">
        <v>46330.32291666666</v>
      </c>
      <c r="B336" s="32" t="inlineStr">
        <is>
          <t>Lucas Kelly</t>
        </is>
      </c>
      <c r="C336" s="32" t="inlineStr">
        <is>
          <t>Daniel Kelly</t>
        </is>
      </c>
      <c r="D336" s="33" t="n">
        <v>100</v>
      </c>
      <c r="E336" s="32" t="inlineStr">
        <is>
          <t>OneCause</t>
        </is>
      </c>
      <c r="F336" s="34">
        <f>IF(A336="","",IFERROR(INT(A336),"check date"))</f>
        <v/>
      </c>
      <c r="G336" s="35">
        <f>IF(B336="","",IFERROR(INDEX(Students!$A:$A,MATCH(TRIM(B336),Students!$A:$A,0)),"NOT ON LIST"))</f>
        <v/>
      </c>
      <c r="H336" s="35">
        <f>IF(OR(G336="",G336="NOT ON LIST"),"",VLOOKUP(G336,Students!$A:$C,2,FALSE))</f>
        <v/>
      </c>
      <c r="I336" s="35">
        <f>IF(OR(G336="",G336="NOT ON LIST"),"",VLOOKUP(G336,Students!$A:$C,3,FALSE)&amp;"")</f>
        <v/>
      </c>
    </row>
    <row r="337">
      <c r="A337" s="31" t="n">
        <v>46338.46875</v>
      </c>
      <c r="B337" s="32" t="inlineStr">
        <is>
          <t>Evelyn Walsh</t>
        </is>
      </c>
      <c r="C337" s="32" t="inlineStr">
        <is>
          <t>David Walsh</t>
        </is>
      </c>
      <c r="D337" s="33" t="n">
        <v>50</v>
      </c>
      <c r="E337" s="32" t="inlineStr">
        <is>
          <t>OneCause</t>
        </is>
      </c>
      <c r="F337" s="34">
        <f>IF(A337="","",IFERROR(INT(A337),"check date"))</f>
        <v/>
      </c>
      <c r="G337" s="35">
        <f>IF(B337="","",IFERROR(INDEX(Students!$A:$A,MATCH(TRIM(B337),Students!$A:$A,0)),"NOT ON LIST"))</f>
        <v/>
      </c>
      <c r="H337" s="35">
        <f>IF(OR(G337="",G337="NOT ON LIST"),"",VLOOKUP(G337,Students!$A:$C,2,FALSE))</f>
        <v/>
      </c>
      <c r="I337" s="35">
        <f>IF(OR(G337="",G337="NOT ON LIST"),"",VLOOKUP(G337,Students!$A:$C,3,FALSE)&amp;"")</f>
        <v/>
      </c>
    </row>
    <row r="338">
      <c r="A338" s="31" t="n">
        <v>46325.77083333334</v>
      </c>
      <c r="B338" s="32" t="inlineStr">
        <is>
          <t>Joseph Ramos</t>
        </is>
      </c>
      <c r="C338" s="32" t="inlineStr">
        <is>
          <t>Ella Ramos</t>
        </is>
      </c>
      <c r="D338" s="33" t="n">
        <v>100</v>
      </c>
      <c r="E338" s="32" t="inlineStr">
        <is>
          <t>OneCause</t>
        </is>
      </c>
      <c r="F338" s="34">
        <f>IF(A338="","",IFERROR(INT(A338),"check date"))</f>
        <v/>
      </c>
      <c r="G338" s="35">
        <f>IF(B338="","",IFERROR(INDEX(Students!$A:$A,MATCH(TRIM(B338),Students!$A:$A,0)),"NOT ON LIST"))</f>
        <v/>
      </c>
      <c r="H338" s="35">
        <f>IF(OR(G338="",G338="NOT ON LIST"),"",VLOOKUP(G338,Students!$A:$C,2,FALSE))</f>
        <v/>
      </c>
      <c r="I338" s="35">
        <f>IF(OR(G338="",G338="NOT ON LIST"),"",VLOOKUP(G338,Students!$A:$C,3,FALSE)&amp;"")</f>
        <v/>
      </c>
    </row>
    <row r="339">
      <c r="A339" s="31" t="n">
        <v>46339.41666666666</v>
      </c>
      <c r="B339" s="32" t="inlineStr">
        <is>
          <t>Leo Johnson</t>
        </is>
      </c>
      <c r="C339" s="32" t="inlineStr">
        <is>
          <t>Diego Johnson</t>
        </is>
      </c>
      <c r="D339" s="33" t="n">
        <v>100</v>
      </c>
      <c r="E339" s="32" t="inlineStr">
        <is>
          <t>OneCause</t>
        </is>
      </c>
      <c r="F339" s="34">
        <f>IF(A339="","",IFERROR(INT(A339),"check date"))</f>
        <v/>
      </c>
      <c r="G339" s="35">
        <f>IF(B339="","",IFERROR(INDEX(Students!$A:$A,MATCH(TRIM(B339),Students!$A:$A,0)),"NOT ON LIST"))</f>
        <v/>
      </c>
      <c r="H339" s="35">
        <f>IF(OR(G339="",G339="NOT ON LIST"),"",VLOOKUP(G339,Students!$A:$C,2,FALSE))</f>
        <v/>
      </c>
      <c r="I339" s="35">
        <f>IF(OR(G339="",G339="NOT ON LIST"),"",VLOOKUP(G339,Students!$A:$C,3,FALSE)&amp;"")</f>
        <v/>
      </c>
    </row>
    <row r="340">
      <c r="A340" s="31" t="n">
        <v>46333.5625</v>
      </c>
      <c r="B340" s="32" t="inlineStr">
        <is>
          <t>Thomas Diaz</t>
        </is>
      </c>
      <c r="C340" s="32" t="inlineStr">
        <is>
          <t>Emma Diaz</t>
        </is>
      </c>
      <c r="D340" s="33" t="n">
        <v>20</v>
      </c>
      <c r="E340" s="32" t="inlineStr">
        <is>
          <t>OneCause</t>
        </is>
      </c>
      <c r="F340" s="34">
        <f>IF(A340="","",IFERROR(INT(A340),"check date"))</f>
        <v/>
      </c>
      <c r="G340" s="35">
        <f>IF(B340="","",IFERROR(INDEX(Students!$A:$A,MATCH(TRIM(B340),Students!$A:$A,0)),"NOT ON LIST"))</f>
        <v/>
      </c>
      <c r="H340" s="35">
        <f>IF(OR(G340="",G340="NOT ON LIST"),"",VLOOKUP(G340,Students!$A:$C,2,FALSE))</f>
        <v/>
      </c>
      <c r="I340" s="35">
        <f>IF(OR(G340="",G340="NOT ON LIST"),"",VLOOKUP(G340,Students!$A:$C,3,FALSE)&amp;"")</f>
        <v/>
      </c>
    </row>
    <row r="341">
      <c r="A341" s="31" t="n">
        <v>46326.67708333334</v>
      </c>
      <c r="B341" s="32" t="inlineStr">
        <is>
          <t>Joseph Williams</t>
        </is>
      </c>
      <c r="C341" s="32" t="inlineStr">
        <is>
          <t>Julian Williams</t>
        </is>
      </c>
      <c r="D341" s="33" t="n">
        <v>10</v>
      </c>
      <c r="E341" s="32" t="inlineStr">
        <is>
          <t>OneCause</t>
        </is>
      </c>
      <c r="F341" s="34">
        <f>IF(A341="","",IFERROR(INT(A341),"check date"))</f>
        <v/>
      </c>
      <c r="G341" s="35">
        <f>IF(B341="","",IFERROR(INDEX(Students!$A:$A,MATCH(TRIM(B341),Students!$A:$A,0)),"NOT ON LIST"))</f>
        <v/>
      </c>
      <c r="H341" s="35">
        <f>IF(OR(G341="",G341="NOT ON LIST"),"",VLOOKUP(G341,Students!$A:$C,2,FALSE))</f>
        <v/>
      </c>
      <c r="I341" s="35">
        <f>IF(OR(G341="",G341="NOT ON LIST"),"",VLOOKUP(G341,Students!$A:$C,3,FALSE)&amp;"")</f>
        <v/>
      </c>
    </row>
    <row r="342">
      <c r="A342" s="31" t="n">
        <v>46337.78125</v>
      </c>
      <c r="B342" s="32" t="inlineStr">
        <is>
          <t>Sofia Nguyen</t>
        </is>
      </c>
      <c r="C342" s="32" t="inlineStr">
        <is>
          <t>Santiago Nguyen</t>
        </is>
      </c>
      <c r="D342" s="33" t="n">
        <v>25</v>
      </c>
      <c r="E342" s="32" t="inlineStr">
        <is>
          <t>OneCause</t>
        </is>
      </c>
      <c r="F342" s="34">
        <f>IF(A342="","",IFERROR(INT(A342),"check date"))</f>
        <v/>
      </c>
      <c r="G342" s="35">
        <f>IF(B342="","",IFERROR(INDEX(Students!$A:$A,MATCH(TRIM(B342),Students!$A:$A,0)),"NOT ON LIST"))</f>
        <v/>
      </c>
      <c r="H342" s="35">
        <f>IF(OR(G342="",G342="NOT ON LIST"),"",VLOOKUP(G342,Students!$A:$C,2,FALSE))</f>
        <v/>
      </c>
      <c r="I342" s="35">
        <f>IF(OR(G342="",G342="NOT ON LIST"),"",VLOOKUP(G342,Students!$A:$C,3,FALSE)&amp;"")</f>
        <v/>
      </c>
    </row>
    <row r="343">
      <c r="A343" s="31" t="n">
        <v>46328.3125</v>
      </c>
      <c r="B343" s="32" t="inlineStr">
        <is>
          <t>Noah Rodriguez</t>
        </is>
      </c>
      <c r="C343" s="32" t="inlineStr">
        <is>
          <t>Mia Rodriguez</t>
        </is>
      </c>
      <c r="D343" s="33" t="n">
        <v>40</v>
      </c>
      <c r="E343" s="32" t="inlineStr">
        <is>
          <t>OneCause</t>
        </is>
      </c>
      <c r="F343" s="34">
        <f>IF(A343="","",IFERROR(INT(A343),"check date"))</f>
        <v/>
      </c>
      <c r="G343" s="35">
        <f>IF(B343="","",IFERROR(INDEX(Students!$A:$A,MATCH(TRIM(B343),Students!$A:$A,0)),"NOT ON LIST"))</f>
        <v/>
      </c>
      <c r="H343" s="35">
        <f>IF(OR(G343="",G343="NOT ON LIST"),"",VLOOKUP(G343,Students!$A:$C,2,FALSE))</f>
        <v/>
      </c>
      <c r="I343" s="35">
        <f>IF(OR(G343="",G343="NOT ON LIST"),"",VLOOKUP(G343,Students!$A:$C,3,FALSE)&amp;"")</f>
        <v/>
      </c>
    </row>
    <row r="344">
      <c r="A344" s="31" t="n">
        <v>46325</v>
      </c>
      <c r="B344" s="32" t="inlineStr">
        <is>
          <t>Clara Gutierrez</t>
        </is>
      </c>
      <c r="C344" s="32" t="inlineStr">
        <is>
          <t>Lucas Gutierrez</t>
        </is>
      </c>
      <c r="D344" s="33" t="n">
        <v>40</v>
      </c>
      <c r="E344" s="32" t="inlineStr">
        <is>
          <t>Check</t>
        </is>
      </c>
      <c r="F344" s="34">
        <f>IF(A344="","",IFERROR(INT(A344),"check date"))</f>
        <v/>
      </c>
      <c r="G344" s="35">
        <f>IF(B344="","",IFERROR(INDEX(Students!$A:$A,MATCH(TRIM(B344),Students!$A:$A,0)),"NOT ON LIST"))</f>
        <v/>
      </c>
      <c r="H344" s="35">
        <f>IF(OR(G344="",G344="NOT ON LIST"),"",VLOOKUP(G344,Students!$A:$C,2,FALSE))</f>
        <v/>
      </c>
      <c r="I344" s="35">
        <f>IF(OR(G344="",G344="NOT ON LIST"),"",VLOOKUP(G344,Students!$A:$C,3,FALSE)&amp;"")</f>
        <v/>
      </c>
    </row>
    <row r="345">
      <c r="A345" s="31" t="n">
        <v>46330.72916666666</v>
      </c>
      <c r="B345" s="32" t="inlineStr">
        <is>
          <t>Liam Byrne</t>
        </is>
      </c>
      <c r="C345" s="32" t="inlineStr">
        <is>
          <t>Maya Byrne</t>
        </is>
      </c>
      <c r="D345" s="33" t="n">
        <v>25</v>
      </c>
      <c r="E345" s="32" t="inlineStr">
        <is>
          <t>OneCause</t>
        </is>
      </c>
      <c r="F345" s="34">
        <f>IF(A345="","",IFERROR(INT(A345),"check date"))</f>
        <v/>
      </c>
      <c r="G345" s="35">
        <f>IF(B345="","",IFERROR(INDEX(Students!$A:$A,MATCH(TRIM(B345),Students!$A:$A,0)),"NOT ON LIST"))</f>
        <v/>
      </c>
      <c r="H345" s="35">
        <f>IF(OR(G345="",G345="NOT ON LIST"),"",VLOOKUP(G345,Students!$A:$C,2,FALSE))</f>
        <v/>
      </c>
      <c r="I345" s="35">
        <f>IF(OR(G345="",G345="NOT ON LIST"),"",VLOOKUP(G345,Students!$A:$C,3,FALSE)&amp;"")</f>
        <v/>
      </c>
    </row>
    <row r="346">
      <c r="A346" s="31" t="n">
        <v>46334.39583333334</v>
      </c>
      <c r="B346" s="32" t="inlineStr">
        <is>
          <t>Mia Byrne</t>
        </is>
      </c>
      <c r="C346" s="32" t="inlineStr">
        <is>
          <t>Maya Byrne</t>
        </is>
      </c>
      <c r="D346" s="33" t="n">
        <v>100</v>
      </c>
      <c r="E346" s="32" t="inlineStr">
        <is>
          <t>OneCause</t>
        </is>
      </c>
      <c r="F346" s="34">
        <f>IF(A346="","",IFERROR(INT(A346),"check date"))</f>
        <v/>
      </c>
      <c r="G346" s="35">
        <f>IF(B346="","",IFERROR(INDEX(Students!$A:$A,MATCH(TRIM(B346),Students!$A:$A,0)),"NOT ON LIST"))</f>
        <v/>
      </c>
      <c r="H346" s="35">
        <f>IF(OR(G346="",G346="NOT ON LIST"),"",VLOOKUP(G346,Students!$A:$C,2,FALSE))</f>
        <v/>
      </c>
      <c r="I346" s="35">
        <f>IF(OR(G346="",G346="NOT ON LIST"),"",VLOOKUP(G346,Students!$A:$C,3,FALSE)&amp;"")</f>
        <v/>
      </c>
    </row>
    <row r="347">
      <c r="A347" s="31" t="n">
        <v>46336.58333333334</v>
      </c>
      <c r="B347" s="32" t="inlineStr">
        <is>
          <t>Ava Sanchez</t>
        </is>
      </c>
      <c r="C347" s="32" t="inlineStr">
        <is>
          <t>Samuel Sanchez</t>
        </is>
      </c>
      <c r="D347" s="33" t="n">
        <v>25</v>
      </c>
      <c r="E347" s="32" t="inlineStr">
        <is>
          <t>OneCause</t>
        </is>
      </c>
      <c r="F347" s="34">
        <f>IF(A347="","",IFERROR(INT(A347),"check date"))</f>
        <v/>
      </c>
      <c r="G347" s="35">
        <f>IF(B347="","",IFERROR(INDEX(Students!$A:$A,MATCH(TRIM(B347),Students!$A:$A,0)),"NOT ON LIST"))</f>
        <v/>
      </c>
      <c r="H347" s="35">
        <f>IF(OR(G347="",G347="NOT ON LIST"),"",VLOOKUP(G347,Students!$A:$C,2,FALSE))</f>
        <v/>
      </c>
      <c r="I347" s="35">
        <f>IF(OR(G347="",G347="NOT ON LIST"),"",VLOOKUP(G347,Students!$A:$C,3,FALSE)&amp;"")</f>
        <v/>
      </c>
    </row>
    <row r="348">
      <c r="A348" s="31" t="n">
        <v>46331.75</v>
      </c>
      <c r="B348" s="32" t="inlineStr">
        <is>
          <t>Benjamin Sullivan</t>
        </is>
      </c>
      <c r="C348" s="32" t="inlineStr">
        <is>
          <t>Benjamin Sullivan</t>
        </is>
      </c>
      <c r="D348" s="33" t="n">
        <v>25</v>
      </c>
      <c r="E348" s="32" t="inlineStr">
        <is>
          <t>OneCause</t>
        </is>
      </c>
      <c r="F348" s="34">
        <f>IF(A348="","",IFERROR(INT(A348),"check date"))</f>
        <v/>
      </c>
      <c r="G348" s="35">
        <f>IF(B348="","",IFERROR(INDEX(Students!$A:$A,MATCH(TRIM(B348),Students!$A:$A,0)),"NOT ON LIST"))</f>
        <v/>
      </c>
      <c r="H348" s="35">
        <f>IF(OR(G348="",G348="NOT ON LIST"),"",VLOOKUP(G348,Students!$A:$C,2,FALSE))</f>
        <v/>
      </c>
      <c r="I348" s="35">
        <f>IF(OR(G348="",G348="NOT ON LIST"),"",VLOOKUP(G348,Students!$A:$C,3,FALSE)&amp;"")</f>
        <v/>
      </c>
    </row>
    <row r="349">
      <c r="A349" s="31" t="n">
        <v>46330.71875</v>
      </c>
      <c r="B349" s="32" t="inlineStr">
        <is>
          <t>Maya Ryan</t>
        </is>
      </c>
      <c r="C349" s="32" t="inlineStr">
        <is>
          <t>Luna Ryan</t>
        </is>
      </c>
      <c r="D349" s="33" t="n">
        <v>50</v>
      </c>
      <c r="E349" s="32" t="inlineStr">
        <is>
          <t>OneCause</t>
        </is>
      </c>
      <c r="F349" s="34">
        <f>IF(A349="","",IFERROR(INT(A349),"check date"))</f>
        <v/>
      </c>
      <c r="G349" s="35">
        <f>IF(B349="","",IFERROR(INDEX(Students!$A:$A,MATCH(TRIM(B349),Students!$A:$A,0)),"NOT ON LIST"))</f>
        <v/>
      </c>
      <c r="H349" s="35">
        <f>IF(OR(G349="",G349="NOT ON LIST"),"",VLOOKUP(G349,Students!$A:$C,2,FALSE))</f>
        <v/>
      </c>
      <c r="I349" s="35">
        <f>IF(OR(G349="",G349="NOT ON LIST"),"",VLOOKUP(G349,Students!$A:$C,3,FALSE)&amp;"")</f>
        <v/>
      </c>
    </row>
    <row r="350">
      <c r="A350" s="31" t="n">
        <v>46331.69791666666</v>
      </c>
      <c r="B350" s="32" t="inlineStr">
        <is>
          <t>Isaac Diaz</t>
        </is>
      </c>
      <c r="C350" s="32" t="inlineStr">
        <is>
          <t>Olivia Diaz</t>
        </is>
      </c>
      <c r="D350" s="33" t="n">
        <v>20</v>
      </c>
      <c r="E350" s="32" t="inlineStr">
        <is>
          <t>OneCause</t>
        </is>
      </c>
      <c r="F350" s="34">
        <f>IF(A350="","",IFERROR(INT(A350),"check date"))</f>
        <v/>
      </c>
      <c r="G350" s="35">
        <f>IF(B350="","",IFERROR(INDEX(Students!$A:$A,MATCH(TRIM(B350),Students!$A:$A,0)),"NOT ON LIST"))</f>
        <v/>
      </c>
      <c r="H350" s="35">
        <f>IF(OR(G350="",G350="NOT ON LIST"),"",VLOOKUP(G350,Students!$A:$C,2,FALSE))</f>
        <v/>
      </c>
      <c r="I350" s="35">
        <f>IF(OR(G350="",G350="NOT ON LIST"),"",VLOOKUP(G350,Students!$A:$C,3,FALSE)&amp;"")</f>
        <v/>
      </c>
    </row>
    <row r="351">
      <c r="A351" s="31" t="n">
        <v>46338.36458333334</v>
      </c>
      <c r="B351" s="32" t="inlineStr">
        <is>
          <t>Adrian Nguyen</t>
        </is>
      </c>
      <c r="C351" s="32" t="inlineStr">
        <is>
          <t>Nicolas Nguyen</t>
        </is>
      </c>
      <c r="D351" s="33" t="n">
        <v>20</v>
      </c>
      <c r="E351" s="32" t="inlineStr">
        <is>
          <t>OneCause</t>
        </is>
      </c>
      <c r="F351" s="34">
        <f>IF(A351="","",IFERROR(INT(A351),"check date"))</f>
        <v/>
      </c>
      <c r="G351" s="35">
        <f>IF(B351="","",IFERROR(INDEX(Students!$A:$A,MATCH(TRIM(B351),Students!$A:$A,0)),"NOT ON LIST"))</f>
        <v/>
      </c>
      <c r="H351" s="35">
        <f>IF(OR(G351="",G351="NOT ON LIST"),"",VLOOKUP(G351,Students!$A:$C,2,FALSE))</f>
        <v/>
      </c>
      <c r="I351" s="35">
        <f>IF(OR(G351="",G351="NOT ON LIST"),"",VLOOKUP(G351,Students!$A:$C,3,FALSE)&amp;"")</f>
        <v/>
      </c>
    </row>
    <row r="352">
      <c r="A352" s="31" t="n">
        <v>46328.66666666666</v>
      </c>
      <c r="B352" s="32" t="inlineStr">
        <is>
          <t>Ava Brown</t>
        </is>
      </c>
      <c r="C352" s="32" t="inlineStr">
        <is>
          <t>Lily Brown</t>
        </is>
      </c>
      <c r="D352" s="33" t="n">
        <v>20</v>
      </c>
      <c r="E352" s="32" t="inlineStr">
        <is>
          <t>OneCause</t>
        </is>
      </c>
      <c r="F352" s="34">
        <f>IF(A352="","",IFERROR(INT(A352),"check date"))</f>
        <v/>
      </c>
      <c r="G352" s="35">
        <f>IF(B352="","",IFERROR(INDEX(Students!$A:$A,MATCH(TRIM(B352),Students!$A:$A,0)),"NOT ON LIST"))</f>
        <v/>
      </c>
      <c r="H352" s="35">
        <f>IF(OR(G352="",G352="NOT ON LIST"),"",VLOOKUP(G352,Students!$A:$C,2,FALSE))</f>
        <v/>
      </c>
      <c r="I352" s="35">
        <f>IF(OR(G352="",G352="NOT ON LIST"),"",VLOOKUP(G352,Students!$A:$C,3,FALSE)&amp;"")</f>
        <v/>
      </c>
    </row>
    <row r="353">
      <c r="A353" s="31" t="n">
        <v>46332.70833333334</v>
      </c>
      <c r="B353" s="32" t="inlineStr">
        <is>
          <t>Nora Kim</t>
        </is>
      </c>
      <c r="C353" s="32" t="inlineStr">
        <is>
          <t>Olivia Kim</t>
        </is>
      </c>
      <c r="D353" s="33" t="n">
        <v>20</v>
      </c>
      <c r="E353" s="32" t="inlineStr">
        <is>
          <t>OneCause</t>
        </is>
      </c>
      <c r="F353" s="34">
        <f>IF(A353="","",IFERROR(INT(A353),"check date"))</f>
        <v/>
      </c>
      <c r="G353" s="35">
        <f>IF(B353="","",IFERROR(INDEX(Students!$A:$A,MATCH(TRIM(B353),Students!$A:$A,0)),"NOT ON LIST"))</f>
        <v/>
      </c>
      <c r="H353" s="35">
        <f>IF(OR(G353="",G353="NOT ON LIST"),"",VLOOKUP(G353,Students!$A:$C,2,FALSE))</f>
        <v/>
      </c>
      <c r="I353" s="35">
        <f>IF(OR(G353="",G353="NOT ON LIST"),"",VLOOKUP(G353,Students!$A:$C,3,FALSE)&amp;"")</f>
        <v/>
      </c>
    </row>
    <row r="354">
      <c r="A354" s="31" t="n">
        <v>46333.59375</v>
      </c>
      <c r="B354" s="32" t="inlineStr">
        <is>
          <t>Nora Ramirez</t>
        </is>
      </c>
      <c r="C354" s="32" t="inlineStr">
        <is>
          <t>Leo Ramirez</t>
        </is>
      </c>
      <c r="D354" s="33" t="n">
        <v>25</v>
      </c>
      <c r="E354" s="32" t="inlineStr">
        <is>
          <t>OneCause</t>
        </is>
      </c>
      <c r="F354" s="34">
        <f>IF(A354="","",IFERROR(INT(A354),"check date"))</f>
        <v/>
      </c>
      <c r="G354" s="35">
        <f>IF(B354="","",IFERROR(INDEX(Students!$A:$A,MATCH(TRIM(B354),Students!$A:$A,0)),"NOT ON LIST"))</f>
        <v/>
      </c>
      <c r="H354" s="35">
        <f>IF(OR(G354="",G354="NOT ON LIST"),"",VLOOKUP(G354,Students!$A:$C,2,FALSE))</f>
        <v/>
      </c>
      <c r="I354" s="35">
        <f>IF(OR(G354="",G354="NOT ON LIST"),"",VLOOKUP(G354,Students!$A:$C,3,FALSE)&amp;"")</f>
        <v/>
      </c>
    </row>
    <row r="355">
      <c r="A355" s="31" t="n">
        <v>46334.79166666666</v>
      </c>
      <c r="B355" s="32" t="inlineStr">
        <is>
          <t>Clara Williams</t>
        </is>
      </c>
      <c r="C355" s="32" t="inlineStr">
        <is>
          <t>Valentina Williams</t>
        </is>
      </c>
      <c r="D355" s="33" t="n">
        <v>100</v>
      </c>
      <c r="E355" s="32" t="inlineStr">
        <is>
          <t>OneCause</t>
        </is>
      </c>
      <c r="F355" s="34">
        <f>IF(A355="","",IFERROR(INT(A355),"check date"))</f>
        <v/>
      </c>
      <c r="G355" s="35">
        <f>IF(B355="","",IFERROR(INDEX(Students!$A:$A,MATCH(TRIM(B355),Students!$A:$A,0)),"NOT ON LIST"))</f>
        <v/>
      </c>
      <c r="H355" s="35">
        <f>IF(OR(G355="",G355="NOT ON LIST"),"",VLOOKUP(G355,Students!$A:$C,2,FALSE))</f>
        <v/>
      </c>
      <c r="I355" s="35">
        <f>IF(OR(G355="",G355="NOT ON LIST"),"",VLOOKUP(G355,Students!$A:$C,3,FALSE)&amp;"")</f>
        <v/>
      </c>
    </row>
    <row r="356">
      <c r="A356" s="31" t="n">
        <v>46325.57291666666</v>
      </c>
      <c r="B356" s="32" t="inlineStr">
        <is>
          <t>Grace Gonzalez</t>
        </is>
      </c>
      <c r="C356" s="32" t="inlineStr">
        <is>
          <t>Adrian Gonzalez</t>
        </is>
      </c>
      <c r="D356" s="33" t="n">
        <v>100</v>
      </c>
      <c r="E356" s="32" t="inlineStr">
        <is>
          <t>OneCause</t>
        </is>
      </c>
      <c r="F356" s="34">
        <f>IF(A356="","",IFERROR(INT(A356),"check date"))</f>
        <v/>
      </c>
      <c r="G356" s="35">
        <f>IF(B356="","",IFERROR(INDEX(Students!$A:$A,MATCH(TRIM(B356),Students!$A:$A,0)),"NOT ON LIST"))</f>
        <v/>
      </c>
      <c r="H356" s="35">
        <f>IF(OR(G356="",G356="NOT ON LIST"),"",VLOOKUP(G356,Students!$A:$C,2,FALSE))</f>
        <v/>
      </c>
      <c r="I356" s="35">
        <f>IF(OR(G356="",G356="NOT ON LIST"),"",VLOOKUP(G356,Students!$A:$C,3,FALSE)&amp;"")</f>
        <v/>
      </c>
    </row>
    <row r="357">
      <c r="A357" s="31" t="n">
        <v>46334.57291666666</v>
      </c>
      <c r="B357" s="32" t="inlineStr">
        <is>
          <t>Nicolas Rivera</t>
        </is>
      </c>
      <c r="C357" s="32" t="inlineStr">
        <is>
          <t>Evelyn Rivera</t>
        </is>
      </c>
      <c r="D357" s="33" t="n">
        <v>25</v>
      </c>
      <c r="E357" s="32" t="inlineStr">
        <is>
          <t>OneCause</t>
        </is>
      </c>
      <c r="F357" s="34">
        <f>IF(A357="","",IFERROR(INT(A357),"check date"))</f>
        <v/>
      </c>
      <c r="G357" s="35">
        <f>IF(B357="","",IFERROR(INDEX(Students!$A:$A,MATCH(TRIM(B357),Students!$A:$A,0)),"NOT ON LIST"))</f>
        <v/>
      </c>
      <c r="H357" s="35">
        <f>IF(OR(G357="",G357="NOT ON LIST"),"",VLOOKUP(G357,Students!$A:$C,2,FALSE))</f>
        <v/>
      </c>
      <c r="I357" s="35">
        <f>IF(OR(G357="",G357="NOT ON LIST"),"",VLOOKUP(G357,Students!$A:$C,3,FALSE)&amp;"")</f>
        <v/>
      </c>
    </row>
    <row r="358">
      <c r="A358" s="31" t="n">
        <v>46338.64583333334</v>
      </c>
      <c r="B358" s="32" t="inlineStr">
        <is>
          <t>Maya Nguyen</t>
        </is>
      </c>
      <c r="C358" s="32" t="inlineStr">
        <is>
          <t>Nora Nguyen</t>
        </is>
      </c>
      <c r="D358" s="33" t="n">
        <v>150</v>
      </c>
      <c r="E358" s="32" t="inlineStr">
        <is>
          <t>OneCause</t>
        </is>
      </c>
      <c r="F358" s="34">
        <f>IF(A358="","",IFERROR(INT(A358),"check date"))</f>
        <v/>
      </c>
      <c r="G358" s="35">
        <f>IF(B358="","",IFERROR(INDEX(Students!$A:$A,MATCH(TRIM(B358),Students!$A:$A,0)),"NOT ON LIST"))</f>
        <v/>
      </c>
      <c r="H358" s="35">
        <f>IF(OR(G358="",G358="NOT ON LIST"),"",VLOOKUP(G358,Students!$A:$C,2,FALSE))</f>
        <v/>
      </c>
      <c r="I358" s="35">
        <f>IF(OR(G358="",G358="NOT ON LIST"),"",VLOOKUP(G358,Students!$A:$C,3,FALSE)&amp;"")</f>
        <v/>
      </c>
    </row>
    <row r="359">
      <c r="A359" s="31" t="n">
        <v>46332</v>
      </c>
      <c r="B359" s="32" t="inlineStr">
        <is>
          <t>Mateo Kelly</t>
        </is>
      </c>
      <c r="C359" s="32" t="inlineStr">
        <is>
          <t>Joseph Kelly</t>
        </is>
      </c>
      <c r="D359" s="33" t="n">
        <v>40</v>
      </c>
      <c r="E359" s="32" t="inlineStr">
        <is>
          <t>Check</t>
        </is>
      </c>
      <c r="F359" s="34">
        <f>IF(A359="","",IFERROR(INT(A359),"check date"))</f>
        <v/>
      </c>
      <c r="G359" s="35">
        <f>IF(B359="","",IFERROR(INDEX(Students!$A:$A,MATCH(TRIM(B359),Students!$A:$A,0)),"NOT ON LIST"))</f>
        <v/>
      </c>
      <c r="H359" s="35">
        <f>IF(OR(G359="",G359="NOT ON LIST"),"",VLOOKUP(G359,Students!$A:$C,2,FALSE))</f>
        <v/>
      </c>
      <c r="I359" s="35">
        <f>IF(OR(G359="",G359="NOT ON LIST"),"",VLOOKUP(G359,Students!$A:$C,3,FALSE)&amp;"")</f>
        <v/>
      </c>
    </row>
    <row r="360">
      <c r="A360" s="31" t="n">
        <v>46339.34375</v>
      </c>
      <c r="B360" s="32" t="inlineStr">
        <is>
          <t>Julian Castillo</t>
        </is>
      </c>
      <c r="C360" s="32" t="inlineStr">
        <is>
          <t>Chloe Castillo</t>
        </is>
      </c>
      <c r="D360" s="33" t="n">
        <v>150</v>
      </c>
      <c r="E360" s="32" t="inlineStr">
        <is>
          <t>OneCause</t>
        </is>
      </c>
      <c r="F360" s="34">
        <f>IF(A360="","",IFERROR(INT(A360),"check date"))</f>
        <v/>
      </c>
      <c r="G360" s="35">
        <f>IF(B360="","",IFERROR(INDEX(Students!$A:$A,MATCH(TRIM(B360),Students!$A:$A,0)),"NOT ON LIST"))</f>
        <v/>
      </c>
      <c r="H360" s="35">
        <f>IF(OR(G360="",G360="NOT ON LIST"),"",VLOOKUP(G360,Students!$A:$C,2,FALSE))</f>
        <v/>
      </c>
      <c r="I360" s="35">
        <f>IF(OR(G360="",G360="NOT ON LIST"),"",VLOOKUP(G360,Students!$A:$C,3,FALSE)&amp;"")</f>
        <v/>
      </c>
    </row>
    <row r="361">
      <c r="A361" s="31" t="n">
        <v>46334.86458333334</v>
      </c>
      <c r="B361" s="32" t="inlineStr">
        <is>
          <t>Nicolas Rivera</t>
        </is>
      </c>
      <c r="C361" s="32" t="inlineStr">
        <is>
          <t>Lucas Rivera</t>
        </is>
      </c>
      <c r="D361" s="33" t="n">
        <v>75</v>
      </c>
      <c r="E361" s="32" t="inlineStr">
        <is>
          <t>OneCause</t>
        </is>
      </c>
      <c r="F361" s="34">
        <f>IF(A361="","",IFERROR(INT(A361),"check date"))</f>
        <v/>
      </c>
      <c r="G361" s="35">
        <f>IF(B361="","",IFERROR(INDEX(Students!$A:$A,MATCH(TRIM(B361),Students!$A:$A,0)),"NOT ON LIST"))</f>
        <v/>
      </c>
      <c r="H361" s="35">
        <f>IF(OR(G361="",G361="NOT ON LIST"),"",VLOOKUP(G361,Students!$A:$C,2,FALSE))</f>
        <v/>
      </c>
      <c r="I361" s="35">
        <f>IF(OR(G361="",G361="NOT ON LIST"),"",VLOOKUP(G361,Students!$A:$C,3,FALSE)&amp;"")</f>
        <v/>
      </c>
    </row>
    <row r="362">
      <c r="A362" s="31" t="n">
        <v>46329.8125</v>
      </c>
      <c r="B362" s="32" t="inlineStr">
        <is>
          <t>Elijah Byrne</t>
        </is>
      </c>
      <c r="C362" s="32" t="inlineStr">
        <is>
          <t>Elijah Byrne</t>
        </is>
      </c>
      <c r="D362" s="33" t="n">
        <v>100</v>
      </c>
      <c r="E362" s="32" t="inlineStr">
        <is>
          <t>OneCause</t>
        </is>
      </c>
      <c r="F362" s="34">
        <f>IF(A362="","",IFERROR(INT(A362),"check date"))</f>
        <v/>
      </c>
      <c r="G362" s="35">
        <f>IF(B362="","",IFERROR(INDEX(Students!$A:$A,MATCH(TRIM(B362),Students!$A:$A,0)),"NOT ON LIST"))</f>
        <v/>
      </c>
      <c r="H362" s="35">
        <f>IF(OR(G362="",G362="NOT ON LIST"),"",VLOOKUP(G362,Students!$A:$C,2,FALSE))</f>
        <v/>
      </c>
      <c r="I362" s="35">
        <f>IF(OR(G362="",G362="NOT ON LIST"),"",VLOOKUP(G362,Students!$A:$C,3,FALSE)&amp;"")</f>
        <v/>
      </c>
    </row>
    <row r="363">
      <c r="A363" s="31" t="n">
        <v>46338.48958333334</v>
      </c>
      <c r="B363" s="32" t="inlineStr">
        <is>
          <t>Thomas Gutierrez</t>
        </is>
      </c>
      <c r="C363" s="32" t="inlineStr">
        <is>
          <t>Ella Gutierrez</t>
        </is>
      </c>
      <c r="D363" s="33" t="n">
        <v>20</v>
      </c>
      <c r="E363" s="32" t="inlineStr">
        <is>
          <t>OneCause</t>
        </is>
      </c>
      <c r="F363" s="34">
        <f>IF(A363="","",IFERROR(INT(A363),"check date"))</f>
        <v/>
      </c>
      <c r="G363" s="35">
        <f>IF(B363="","",IFERROR(INDEX(Students!$A:$A,MATCH(TRIM(B363),Students!$A:$A,0)),"NOT ON LIST"))</f>
        <v/>
      </c>
      <c r="H363" s="35">
        <f>IF(OR(G363="",G363="NOT ON LIST"),"",VLOOKUP(G363,Students!$A:$C,2,FALSE))</f>
        <v/>
      </c>
      <c r="I363" s="35">
        <f>IF(OR(G363="",G363="NOT ON LIST"),"",VLOOKUP(G363,Students!$A:$C,3,FALSE)&amp;"")</f>
        <v/>
      </c>
    </row>
    <row r="364">
      <c r="A364" s="31" t="n">
        <v>46338.80208333334</v>
      </c>
      <c r="B364" s="32" t="inlineStr">
        <is>
          <t>Elijah Cruz</t>
        </is>
      </c>
      <c r="C364" s="32" t="inlineStr">
        <is>
          <t>Elena Cruz</t>
        </is>
      </c>
      <c r="D364" s="33" t="n">
        <v>50</v>
      </c>
      <c r="E364" s="32" t="inlineStr">
        <is>
          <t>OneCause</t>
        </is>
      </c>
      <c r="F364" s="34">
        <f>IF(A364="","",IFERROR(INT(A364),"check date"))</f>
        <v/>
      </c>
      <c r="G364" s="35">
        <f>IF(B364="","",IFERROR(INDEX(Students!$A:$A,MATCH(TRIM(B364),Students!$A:$A,0)),"NOT ON LIST"))</f>
        <v/>
      </c>
      <c r="H364" s="35">
        <f>IF(OR(G364="",G364="NOT ON LIST"),"",VLOOKUP(G364,Students!$A:$C,2,FALSE))</f>
        <v/>
      </c>
      <c r="I364" s="35">
        <f>IF(OR(G364="",G364="NOT ON LIST"),"",VLOOKUP(G364,Students!$A:$C,3,FALSE)&amp;"")</f>
        <v/>
      </c>
    </row>
    <row r="365">
      <c r="A365" s="31" t="n">
        <v>46325.8125</v>
      </c>
      <c r="B365" s="32" t="inlineStr">
        <is>
          <t>Clara Sullivan</t>
        </is>
      </c>
      <c r="C365" s="32" t="inlineStr">
        <is>
          <t>Sofia Sullivan</t>
        </is>
      </c>
      <c r="D365" s="33" t="n">
        <v>150</v>
      </c>
      <c r="E365" s="32" t="inlineStr">
        <is>
          <t>OneCause</t>
        </is>
      </c>
      <c r="F365" s="34">
        <f>IF(A365="","",IFERROR(INT(A365),"check date"))</f>
        <v/>
      </c>
      <c r="G365" s="35">
        <f>IF(B365="","",IFERROR(INDEX(Students!$A:$A,MATCH(TRIM(B365),Students!$A:$A,0)),"NOT ON LIST"))</f>
        <v/>
      </c>
      <c r="H365" s="35">
        <f>IF(OR(G365="",G365="NOT ON LIST"),"",VLOOKUP(G365,Students!$A:$C,2,FALSE))</f>
        <v/>
      </c>
      <c r="I365" s="35">
        <f>IF(OR(G365="",G365="NOT ON LIST"),"",VLOOKUP(G365,Students!$A:$C,3,FALSE)&amp;"")</f>
        <v/>
      </c>
    </row>
    <row r="366">
      <c r="A366" s="31" t="n">
        <v>46326.77083333334</v>
      </c>
      <c r="B366" s="32" t="inlineStr">
        <is>
          <t>Grace Walsh</t>
        </is>
      </c>
      <c r="C366" s="32" t="inlineStr">
        <is>
          <t>Chloe Walsh</t>
        </is>
      </c>
      <c r="D366" s="33" t="n">
        <v>25</v>
      </c>
      <c r="E366" s="32" t="inlineStr">
        <is>
          <t>OneCause</t>
        </is>
      </c>
      <c r="F366" s="34">
        <f>IF(A366="","",IFERROR(INT(A366),"check date"))</f>
        <v/>
      </c>
      <c r="G366" s="35">
        <f>IF(B366="","",IFERROR(INDEX(Students!$A:$A,MATCH(TRIM(B366),Students!$A:$A,0)),"NOT ON LIST"))</f>
        <v/>
      </c>
      <c r="H366" s="35">
        <f>IF(OR(G366="",G366="NOT ON LIST"),"",VLOOKUP(G366,Students!$A:$C,2,FALSE))</f>
        <v/>
      </c>
      <c r="I366" s="35">
        <f>IF(OR(G366="",G366="NOT ON LIST"),"",VLOOKUP(G366,Students!$A:$C,3,FALSE)&amp;"")</f>
        <v/>
      </c>
    </row>
    <row r="367">
      <c r="A367" s="31" t="n">
        <v>46336.78125</v>
      </c>
      <c r="B367" s="32" t="inlineStr">
        <is>
          <t>Isabella Ruiz</t>
        </is>
      </c>
      <c r="C367" s="32" t="inlineStr">
        <is>
          <t>Ava Ruiz</t>
        </is>
      </c>
      <c r="D367" s="33" t="n">
        <v>10</v>
      </c>
      <c r="E367" s="32" t="inlineStr">
        <is>
          <t>OneCause</t>
        </is>
      </c>
      <c r="F367" s="34">
        <f>IF(A367="","",IFERROR(INT(A367),"check date"))</f>
        <v/>
      </c>
      <c r="G367" s="35">
        <f>IF(B367="","",IFERROR(INDEX(Students!$A:$A,MATCH(TRIM(B367),Students!$A:$A,0)),"NOT ON LIST"))</f>
        <v/>
      </c>
      <c r="H367" s="35">
        <f>IF(OR(G367="",G367="NOT ON LIST"),"",VLOOKUP(G367,Students!$A:$C,2,FALSE))</f>
        <v/>
      </c>
      <c r="I367" s="35">
        <f>IF(OR(G367="",G367="NOT ON LIST"),"",VLOOKUP(G367,Students!$A:$C,3,FALSE)&amp;"")</f>
        <v/>
      </c>
    </row>
    <row r="368">
      <c r="A368" s="31" t="n">
        <v>46325.4375</v>
      </c>
      <c r="B368" s="32" t="inlineStr">
        <is>
          <t>Nicolas Rivera</t>
        </is>
      </c>
      <c r="C368" s="32" t="inlineStr">
        <is>
          <t>Diego Rivera</t>
        </is>
      </c>
      <c r="D368" s="33" t="n">
        <v>50</v>
      </c>
      <c r="E368" s="32" t="inlineStr">
        <is>
          <t>OneCause</t>
        </is>
      </c>
      <c r="F368" s="34">
        <f>IF(A368="","",IFERROR(INT(A368),"check date"))</f>
        <v/>
      </c>
      <c r="G368" s="35">
        <f>IF(B368="","",IFERROR(INDEX(Students!$A:$A,MATCH(TRIM(B368),Students!$A:$A,0)),"NOT ON LIST"))</f>
        <v/>
      </c>
      <c r="H368" s="35">
        <f>IF(OR(G368="",G368="NOT ON LIST"),"",VLOOKUP(G368,Students!$A:$C,2,FALSE))</f>
        <v/>
      </c>
      <c r="I368" s="35">
        <f>IF(OR(G368="",G368="NOT ON LIST"),"",VLOOKUP(G368,Students!$A:$C,3,FALSE)&amp;"")</f>
        <v/>
      </c>
    </row>
    <row r="369">
      <c r="A369" s="31" t="n">
        <v>46339.5625</v>
      </c>
      <c r="B369" s="32" t="inlineStr">
        <is>
          <t>Ava Perez</t>
        </is>
      </c>
      <c r="C369" s="32" t="inlineStr">
        <is>
          <t>Liam Perez</t>
        </is>
      </c>
      <c r="D369" s="33" t="n">
        <v>100</v>
      </c>
      <c r="E369" s="32" t="inlineStr">
        <is>
          <t>OneCause</t>
        </is>
      </c>
      <c r="F369" s="34">
        <f>IF(A369="","",IFERROR(INT(A369),"check date"))</f>
        <v/>
      </c>
      <c r="G369" s="35">
        <f>IF(B369="","",IFERROR(INDEX(Students!$A:$A,MATCH(TRIM(B369),Students!$A:$A,0)),"NOT ON LIST"))</f>
        <v/>
      </c>
      <c r="H369" s="35">
        <f>IF(OR(G369="",G369="NOT ON LIST"),"",VLOOKUP(G369,Students!$A:$C,2,FALSE))</f>
        <v/>
      </c>
      <c r="I369" s="35">
        <f>IF(OR(G369="",G369="NOT ON LIST"),"",VLOOKUP(G369,Students!$A:$C,3,FALSE)&amp;"")</f>
        <v/>
      </c>
    </row>
    <row r="370">
      <c r="A370" s="31" t="n">
        <v>46338.34375</v>
      </c>
      <c r="B370" s="32" t="inlineStr">
        <is>
          <t>Zoe Rivera</t>
        </is>
      </c>
      <c r="C370" s="32" t="inlineStr">
        <is>
          <t>Lucas Rivera</t>
        </is>
      </c>
      <c r="D370" s="33" t="n">
        <v>20</v>
      </c>
      <c r="E370" s="32" t="inlineStr">
        <is>
          <t>OneCause</t>
        </is>
      </c>
      <c r="F370" s="34">
        <f>IF(A370="","",IFERROR(INT(A370),"check date"))</f>
        <v/>
      </c>
      <c r="G370" s="35">
        <f>IF(B370="","",IFERROR(INDEX(Students!$A:$A,MATCH(TRIM(B370),Students!$A:$A,0)),"NOT ON LIST"))</f>
        <v/>
      </c>
      <c r="H370" s="35">
        <f>IF(OR(G370="",G370="NOT ON LIST"),"",VLOOKUP(G370,Students!$A:$C,2,FALSE))</f>
        <v/>
      </c>
      <c r="I370" s="35">
        <f>IF(OR(G370="",G370="NOT ON LIST"),"",VLOOKUP(G370,Students!$A:$C,3,FALSE)&amp;"")</f>
        <v/>
      </c>
    </row>
    <row r="371">
      <c r="A371" s="31" t="n">
        <v>46329.32291666666</v>
      </c>
      <c r="B371" s="32" t="inlineStr">
        <is>
          <t>Samuel Diaz</t>
        </is>
      </c>
      <c r="C371" s="32" t="inlineStr">
        <is>
          <t>David Diaz</t>
        </is>
      </c>
      <c r="D371" s="33" t="n">
        <v>75</v>
      </c>
      <c r="E371" s="32" t="inlineStr">
        <is>
          <t>OneCause</t>
        </is>
      </c>
      <c r="F371" s="34">
        <f>IF(A371="","",IFERROR(INT(A371),"check date"))</f>
        <v/>
      </c>
      <c r="G371" s="35">
        <f>IF(B371="","",IFERROR(INDEX(Students!$A:$A,MATCH(TRIM(B371),Students!$A:$A,0)),"NOT ON LIST"))</f>
        <v/>
      </c>
      <c r="H371" s="35">
        <f>IF(OR(G371="",G371="NOT ON LIST"),"",VLOOKUP(G371,Students!$A:$C,2,FALSE))</f>
        <v/>
      </c>
      <c r="I371" s="35">
        <f>IF(OR(G371="",G371="NOT ON LIST"),"",VLOOKUP(G371,Students!$A:$C,3,FALSE)&amp;"")</f>
        <v/>
      </c>
    </row>
    <row r="372">
      <c r="A372" s="31" t="n">
        <v>46336.90625</v>
      </c>
      <c r="B372" s="32" t="inlineStr">
        <is>
          <t>Adrian Ruiz</t>
        </is>
      </c>
      <c r="C372" s="32" t="inlineStr">
        <is>
          <t>James Ruiz</t>
        </is>
      </c>
      <c r="D372" s="33" t="n">
        <v>20</v>
      </c>
      <c r="E372" s="32" t="inlineStr">
        <is>
          <t>OneCause</t>
        </is>
      </c>
      <c r="F372" s="34">
        <f>IF(A372="","",IFERROR(INT(A372),"check date"))</f>
        <v/>
      </c>
      <c r="G372" s="35">
        <f>IF(B372="","",IFERROR(INDEX(Students!$A:$A,MATCH(TRIM(B372),Students!$A:$A,0)),"NOT ON LIST"))</f>
        <v/>
      </c>
      <c r="H372" s="35">
        <f>IF(OR(G372="",G372="NOT ON LIST"),"",VLOOKUP(G372,Students!$A:$C,2,FALSE))</f>
        <v/>
      </c>
      <c r="I372" s="35">
        <f>IF(OR(G372="",G372="NOT ON LIST"),"",VLOOKUP(G372,Students!$A:$C,3,FALSE)&amp;"")</f>
        <v/>
      </c>
    </row>
    <row r="373">
      <c r="A373" s="31" t="n">
        <v>46335.875</v>
      </c>
      <c r="B373" s="32" t="inlineStr">
        <is>
          <t>Evelyn Cruz</t>
        </is>
      </c>
      <c r="C373" s="32" t="inlineStr">
        <is>
          <t>Leo Cruz</t>
        </is>
      </c>
      <c r="D373" s="33" t="n">
        <v>25</v>
      </c>
      <c r="E373" s="32" t="inlineStr">
        <is>
          <t>OneCause</t>
        </is>
      </c>
      <c r="F373" s="34">
        <f>IF(A373="","",IFERROR(INT(A373),"check date"))</f>
        <v/>
      </c>
      <c r="G373" s="35">
        <f>IF(B373="","",IFERROR(INDEX(Students!$A:$A,MATCH(TRIM(B373),Students!$A:$A,0)),"NOT ON LIST"))</f>
        <v/>
      </c>
      <c r="H373" s="35">
        <f>IF(OR(G373="",G373="NOT ON LIST"),"",VLOOKUP(G373,Students!$A:$C,2,FALSE))</f>
        <v/>
      </c>
      <c r="I373" s="35">
        <f>IF(OR(G373="",G373="NOT ON LIST"),"",VLOOKUP(G373,Students!$A:$C,3,FALSE)&amp;"")</f>
        <v/>
      </c>
    </row>
    <row r="374">
      <c r="A374" s="31" t="n">
        <v>46332.83333333334</v>
      </c>
      <c r="B374" s="32" t="inlineStr">
        <is>
          <t>Joseph Chavez</t>
        </is>
      </c>
      <c r="C374" s="32" t="inlineStr">
        <is>
          <t>Harper Chavez</t>
        </is>
      </c>
      <c r="D374" s="33" t="n">
        <v>25</v>
      </c>
      <c r="E374" s="32" t="inlineStr">
        <is>
          <t>OneCause</t>
        </is>
      </c>
      <c r="F374" s="34">
        <f>IF(A374="","",IFERROR(INT(A374),"check date"))</f>
        <v/>
      </c>
      <c r="G374" s="35">
        <f>IF(B374="","",IFERROR(INDEX(Students!$A:$A,MATCH(TRIM(B374),Students!$A:$A,0)),"NOT ON LIST"))</f>
        <v/>
      </c>
      <c r="H374" s="35">
        <f>IF(OR(G374="",G374="NOT ON LIST"),"",VLOOKUP(G374,Students!$A:$C,2,FALSE))</f>
        <v/>
      </c>
      <c r="I374" s="35">
        <f>IF(OR(G374="",G374="NOT ON LIST"),"",VLOOKUP(G374,Students!$A:$C,3,FALSE)&amp;"")</f>
        <v/>
      </c>
    </row>
    <row r="375">
      <c r="A375" s="31" t="n">
        <v>46335</v>
      </c>
      <c r="B375" s="32" t="inlineStr">
        <is>
          <t>Evelyn Cruz</t>
        </is>
      </c>
      <c r="C375" s="32" t="inlineStr">
        <is>
          <t>Lucas Cruz</t>
        </is>
      </c>
      <c r="D375" s="33" t="n">
        <v>20</v>
      </c>
      <c r="E375" s="32" t="inlineStr">
        <is>
          <t>Cash</t>
        </is>
      </c>
      <c r="F375" s="34">
        <f>IF(A375="","",IFERROR(INT(A375),"check date"))</f>
        <v/>
      </c>
      <c r="G375" s="35">
        <f>IF(B375="","",IFERROR(INDEX(Students!$A:$A,MATCH(TRIM(B375),Students!$A:$A,0)),"NOT ON LIST"))</f>
        <v/>
      </c>
      <c r="H375" s="35">
        <f>IF(OR(G375="",G375="NOT ON LIST"),"",VLOOKUP(G375,Students!$A:$C,2,FALSE))</f>
        <v/>
      </c>
      <c r="I375" s="35">
        <f>IF(OR(G375="",G375="NOT ON LIST"),"",VLOOKUP(G375,Students!$A:$C,3,FALSE)&amp;"")</f>
        <v/>
      </c>
    </row>
    <row r="376">
      <c r="A376" s="31" t="n">
        <v>46332.61458333334</v>
      </c>
      <c r="B376" s="32" t="inlineStr">
        <is>
          <t>Harper Reyes</t>
        </is>
      </c>
      <c r="C376" s="32" t="inlineStr">
        <is>
          <t>Diego Reyes</t>
        </is>
      </c>
      <c r="D376" s="33" t="n">
        <v>75</v>
      </c>
      <c r="E376" s="32" t="inlineStr">
        <is>
          <t>OneCause</t>
        </is>
      </c>
      <c r="F376" s="34">
        <f>IF(A376="","",IFERROR(INT(A376),"check date"))</f>
        <v/>
      </c>
      <c r="G376" s="35">
        <f>IF(B376="","",IFERROR(INDEX(Students!$A:$A,MATCH(TRIM(B376),Students!$A:$A,0)),"NOT ON LIST"))</f>
        <v/>
      </c>
      <c r="H376" s="35">
        <f>IF(OR(G376="",G376="NOT ON LIST"),"",VLOOKUP(G376,Students!$A:$C,2,FALSE))</f>
        <v/>
      </c>
      <c r="I376" s="35">
        <f>IF(OR(G376="",G376="NOT ON LIST"),"",VLOOKUP(G376,Students!$A:$C,3,FALSE)&amp;"")</f>
        <v/>
      </c>
    </row>
    <row r="377">
      <c r="A377" s="31" t="n">
        <v>46333.30208333334</v>
      </c>
      <c r="B377" s="32" t="inlineStr">
        <is>
          <t>Valentina Smith</t>
        </is>
      </c>
      <c r="C377" s="32" t="inlineStr">
        <is>
          <t>Aria Smith</t>
        </is>
      </c>
      <c r="D377" s="33" t="n">
        <v>25</v>
      </c>
      <c r="E377" s="32" t="inlineStr">
        <is>
          <t>OneCause</t>
        </is>
      </c>
      <c r="F377" s="34">
        <f>IF(A377="","",IFERROR(INT(A377),"check date"))</f>
        <v/>
      </c>
      <c r="G377" s="35">
        <f>IF(B377="","",IFERROR(INDEX(Students!$A:$A,MATCH(TRIM(B377),Students!$A:$A,0)),"NOT ON LIST"))</f>
        <v/>
      </c>
      <c r="H377" s="35">
        <f>IF(OR(G377="",G377="NOT ON LIST"),"",VLOOKUP(G377,Students!$A:$C,2,FALSE))</f>
        <v/>
      </c>
      <c r="I377" s="35">
        <f>IF(OR(G377="",G377="NOT ON LIST"),"",VLOOKUP(G377,Students!$A:$C,3,FALSE)&amp;"")</f>
        <v/>
      </c>
    </row>
    <row r="378">
      <c r="A378" s="31" t="n">
        <v>46339.61458333334</v>
      </c>
      <c r="B378" s="32" t="inlineStr">
        <is>
          <t>Maya Kim</t>
        </is>
      </c>
      <c r="C378" s="32" t="inlineStr">
        <is>
          <t>Emma Kim</t>
        </is>
      </c>
      <c r="D378" s="33" t="n">
        <v>100</v>
      </c>
      <c r="E378" s="32" t="inlineStr">
        <is>
          <t>OneCause</t>
        </is>
      </c>
      <c r="F378" s="34">
        <f>IF(A378="","",IFERROR(INT(A378),"check date"))</f>
        <v/>
      </c>
      <c r="G378" s="35">
        <f>IF(B378="","",IFERROR(INDEX(Students!$A:$A,MATCH(TRIM(B378),Students!$A:$A,0)),"NOT ON LIST"))</f>
        <v/>
      </c>
      <c r="H378" s="35">
        <f>IF(OR(G378="",G378="NOT ON LIST"),"",VLOOKUP(G378,Students!$A:$C,2,FALSE))</f>
        <v/>
      </c>
      <c r="I378" s="35">
        <f>IF(OR(G378="",G378="NOT ON LIST"),"",VLOOKUP(G378,Students!$A:$C,3,FALSE)&amp;"")</f>
        <v/>
      </c>
    </row>
    <row r="379">
      <c r="A379" s="31" t="n">
        <v>46331</v>
      </c>
      <c r="B379" s="32" t="inlineStr">
        <is>
          <t>Thomas Williams</t>
        </is>
      </c>
      <c r="C379" s="32" t="inlineStr">
        <is>
          <t>Maya Williams</t>
        </is>
      </c>
      <c r="D379" s="33" t="n">
        <v>100</v>
      </c>
      <c r="E379" s="32" t="inlineStr">
        <is>
          <t>Check</t>
        </is>
      </c>
      <c r="F379" s="34">
        <f>IF(A379="","",IFERROR(INT(A379),"check date"))</f>
        <v/>
      </c>
      <c r="G379" s="35">
        <f>IF(B379="","",IFERROR(INDEX(Students!$A:$A,MATCH(TRIM(B379),Students!$A:$A,0)),"NOT ON LIST"))</f>
        <v/>
      </c>
      <c r="H379" s="35">
        <f>IF(OR(G379="",G379="NOT ON LIST"),"",VLOOKUP(G379,Students!$A:$C,2,FALSE))</f>
        <v/>
      </c>
      <c r="I379" s="35">
        <f>IF(OR(G379="",G379="NOT ON LIST"),"",VLOOKUP(G379,Students!$A:$C,3,FALSE)&amp;"")</f>
        <v/>
      </c>
    </row>
    <row r="380">
      <c r="A380" s="31" t="n">
        <v>46336.8125</v>
      </c>
      <c r="B380" s="32" t="inlineStr">
        <is>
          <t>Ella Lopez</t>
        </is>
      </c>
      <c r="C380" s="32" t="inlineStr">
        <is>
          <t>Elijah Lopez</t>
        </is>
      </c>
      <c r="D380" s="33" t="n">
        <v>10</v>
      </c>
      <c r="E380" s="32" t="inlineStr">
        <is>
          <t>OneCause</t>
        </is>
      </c>
      <c r="F380" s="34">
        <f>IF(A380="","",IFERROR(INT(A380),"check date"))</f>
        <v/>
      </c>
      <c r="G380" s="35">
        <f>IF(B380="","",IFERROR(INDEX(Students!$A:$A,MATCH(TRIM(B380),Students!$A:$A,0)),"NOT ON LIST"))</f>
        <v/>
      </c>
      <c r="H380" s="35">
        <f>IF(OR(G380="",G380="NOT ON LIST"),"",VLOOKUP(G380,Students!$A:$C,2,FALSE))</f>
        <v/>
      </c>
      <c r="I380" s="35">
        <f>IF(OR(G380="",G380="NOT ON LIST"),"",VLOOKUP(G380,Students!$A:$C,3,FALSE)&amp;"")</f>
        <v/>
      </c>
    </row>
    <row r="381">
      <c r="A381" s="31" t="n">
        <v>46336.52083333334</v>
      </c>
      <c r="B381" s="32" t="inlineStr">
        <is>
          <t>Valentina Castillo</t>
        </is>
      </c>
      <c r="C381" s="32" t="inlineStr">
        <is>
          <t>Amelia Castillo</t>
        </is>
      </c>
      <c r="D381" s="33" t="n">
        <v>50</v>
      </c>
      <c r="E381" s="32" t="inlineStr">
        <is>
          <t>OneCause</t>
        </is>
      </c>
      <c r="F381" s="34">
        <f>IF(A381="","",IFERROR(INT(A381),"check date"))</f>
        <v/>
      </c>
      <c r="G381" s="35">
        <f>IF(B381="","",IFERROR(INDEX(Students!$A:$A,MATCH(TRIM(B381),Students!$A:$A,0)),"NOT ON LIST"))</f>
        <v/>
      </c>
      <c r="H381" s="35">
        <f>IF(OR(G381="",G381="NOT ON LIST"),"",VLOOKUP(G381,Students!$A:$C,2,FALSE))</f>
        <v/>
      </c>
      <c r="I381" s="35">
        <f>IF(OR(G381="",G381="NOT ON LIST"),"",VLOOKUP(G381,Students!$A:$C,3,FALSE)&amp;"")</f>
        <v/>
      </c>
    </row>
    <row r="382">
      <c r="A382" s="31" t="n">
        <v>46338.86458333334</v>
      </c>
      <c r="B382" s="32" t="inlineStr">
        <is>
          <t>Elijah Vasquez</t>
        </is>
      </c>
      <c r="C382" s="32" t="inlineStr">
        <is>
          <t>David Vasquez</t>
        </is>
      </c>
      <c r="D382" s="33" t="n">
        <v>10</v>
      </c>
      <c r="E382" s="32" t="inlineStr">
        <is>
          <t>OneCause</t>
        </is>
      </c>
      <c r="F382" s="34">
        <f>IF(A382="","",IFERROR(INT(A382),"check date"))</f>
        <v/>
      </c>
      <c r="G382" s="35">
        <f>IF(B382="","",IFERROR(INDEX(Students!$A:$A,MATCH(TRIM(B382),Students!$A:$A,0)),"NOT ON LIST"))</f>
        <v/>
      </c>
      <c r="H382" s="35">
        <f>IF(OR(G382="",G382="NOT ON LIST"),"",VLOOKUP(G382,Students!$A:$C,2,FALSE))</f>
        <v/>
      </c>
      <c r="I382" s="35">
        <f>IF(OR(G382="",G382="NOT ON LIST"),"",VLOOKUP(G382,Students!$A:$C,3,FALSE)&amp;"")</f>
        <v/>
      </c>
    </row>
    <row r="383">
      <c r="A383" s="31" t="n">
        <v>46339.76041666666</v>
      </c>
      <c r="B383" s="32" t="inlineStr">
        <is>
          <t>Liam Murphy</t>
        </is>
      </c>
      <c r="C383" s="32" t="inlineStr">
        <is>
          <t>Isaac Murphy</t>
        </is>
      </c>
      <c r="D383" s="33" t="n">
        <v>150</v>
      </c>
      <c r="E383" s="32" t="inlineStr">
        <is>
          <t>OneCause</t>
        </is>
      </c>
      <c r="F383" s="34">
        <f>IF(A383="","",IFERROR(INT(A383),"check date"))</f>
        <v/>
      </c>
      <c r="G383" s="35">
        <f>IF(B383="","",IFERROR(INDEX(Students!$A:$A,MATCH(TRIM(B383),Students!$A:$A,0)),"NOT ON LIST"))</f>
        <v/>
      </c>
      <c r="H383" s="35">
        <f>IF(OR(G383="",G383="NOT ON LIST"),"",VLOOKUP(G383,Students!$A:$C,2,FALSE))</f>
        <v/>
      </c>
      <c r="I383" s="35">
        <f>IF(OR(G383="",G383="NOT ON LIST"),"",VLOOKUP(G383,Students!$A:$C,3,FALSE)&amp;"")</f>
        <v/>
      </c>
    </row>
    <row r="384">
      <c r="A384" s="31" t="n">
        <v>46338</v>
      </c>
      <c r="B384" s="32" t="inlineStr">
        <is>
          <t>Olivia Morales</t>
        </is>
      </c>
      <c r="C384" s="32" t="inlineStr">
        <is>
          <t>Evelyn Morales</t>
        </is>
      </c>
      <c r="D384" s="33" t="n">
        <v>20</v>
      </c>
      <c r="E384" s="32" t="inlineStr">
        <is>
          <t>Check</t>
        </is>
      </c>
      <c r="F384" s="34">
        <f>IF(A384="","",IFERROR(INT(A384),"check date"))</f>
        <v/>
      </c>
      <c r="G384" s="35">
        <f>IF(B384="","",IFERROR(INDEX(Students!$A:$A,MATCH(TRIM(B384),Students!$A:$A,0)),"NOT ON LIST"))</f>
        <v/>
      </c>
      <c r="H384" s="35">
        <f>IF(OR(G384="",G384="NOT ON LIST"),"",VLOOKUP(G384,Students!$A:$C,2,FALSE))</f>
        <v/>
      </c>
      <c r="I384" s="35">
        <f>IF(OR(G384="",G384="NOT ON LIST"),"",VLOOKUP(G384,Students!$A:$C,3,FALSE)&amp;"")</f>
        <v/>
      </c>
    </row>
    <row r="385">
      <c r="A385" s="31" t="n">
        <v>46328.42708333334</v>
      </c>
      <c r="B385" s="32" t="inlineStr">
        <is>
          <t>Elena Smith</t>
        </is>
      </c>
      <c r="C385" s="32" t="inlineStr">
        <is>
          <t>Mateo Smith</t>
        </is>
      </c>
      <c r="D385" s="33" t="n">
        <v>150</v>
      </c>
      <c r="E385" s="32" t="inlineStr">
        <is>
          <t>OneCause</t>
        </is>
      </c>
      <c r="F385" s="34">
        <f>IF(A385="","",IFERROR(INT(A385),"check date"))</f>
        <v/>
      </c>
      <c r="G385" s="35">
        <f>IF(B385="","",IFERROR(INDEX(Students!$A:$A,MATCH(TRIM(B385),Students!$A:$A,0)),"NOT ON LIST"))</f>
        <v/>
      </c>
      <c r="H385" s="35">
        <f>IF(OR(G385="",G385="NOT ON LIST"),"",VLOOKUP(G385,Students!$A:$C,2,FALSE))</f>
        <v/>
      </c>
      <c r="I385" s="35">
        <f>IF(OR(G385="",G385="NOT ON LIST"),"",VLOOKUP(G385,Students!$A:$C,3,FALSE)&amp;"")</f>
        <v/>
      </c>
    </row>
    <row r="386">
      <c r="A386" s="31" t="n">
        <v>46329.625</v>
      </c>
      <c r="B386" s="32" t="inlineStr">
        <is>
          <t>Thomas Kelly</t>
        </is>
      </c>
      <c r="C386" s="32" t="inlineStr">
        <is>
          <t>Lily Kelly</t>
        </is>
      </c>
      <c r="D386" s="33" t="n">
        <v>20</v>
      </c>
      <c r="E386" s="32" t="inlineStr">
        <is>
          <t>OneCause</t>
        </is>
      </c>
      <c r="F386" s="34">
        <f>IF(A386="","",IFERROR(INT(A386),"check date"))</f>
        <v/>
      </c>
      <c r="G386" s="35">
        <f>IF(B386="","",IFERROR(INDEX(Students!$A:$A,MATCH(TRIM(B386),Students!$A:$A,0)),"NOT ON LIST"))</f>
        <v/>
      </c>
      <c r="H386" s="35">
        <f>IF(OR(G386="",G386="NOT ON LIST"),"",VLOOKUP(G386,Students!$A:$C,2,FALSE))</f>
        <v/>
      </c>
      <c r="I386" s="35">
        <f>IF(OR(G386="",G386="NOT ON LIST"),"",VLOOKUP(G386,Students!$A:$C,3,FALSE)&amp;"")</f>
        <v/>
      </c>
    </row>
    <row r="387">
      <c r="A387" s="31" t="n">
        <v>46325.47916666666</v>
      </c>
      <c r="B387" s="32" t="inlineStr">
        <is>
          <t>Grace Murphy</t>
        </is>
      </c>
      <c r="C387" s="32" t="inlineStr">
        <is>
          <t>Luna Murphy</t>
        </is>
      </c>
      <c r="D387" s="33" t="n">
        <v>50</v>
      </c>
      <c r="E387" s="32" t="inlineStr">
        <is>
          <t>OneCause</t>
        </is>
      </c>
      <c r="F387" s="34">
        <f>IF(A387="","",IFERROR(INT(A387),"check date"))</f>
        <v/>
      </c>
      <c r="G387" s="35">
        <f>IF(B387="","",IFERROR(INDEX(Students!$A:$A,MATCH(TRIM(B387),Students!$A:$A,0)),"NOT ON LIST"))</f>
        <v/>
      </c>
      <c r="H387" s="35">
        <f>IF(OR(G387="",G387="NOT ON LIST"),"",VLOOKUP(G387,Students!$A:$C,2,FALSE))</f>
        <v/>
      </c>
      <c r="I387" s="35">
        <f>IF(OR(G387="",G387="NOT ON LIST"),"",VLOOKUP(G387,Students!$A:$C,3,FALSE)&amp;"")</f>
        <v/>
      </c>
    </row>
    <row r="388">
      <c r="A388" s="31" t="n">
        <v>46332.46875</v>
      </c>
      <c r="B388" s="32" t="inlineStr">
        <is>
          <t>Thomas Kelly</t>
        </is>
      </c>
      <c r="C388" s="32" t="inlineStr">
        <is>
          <t>Maya Kelly</t>
        </is>
      </c>
      <c r="D388" s="33" t="n">
        <v>25</v>
      </c>
      <c r="E388" s="32" t="inlineStr">
        <is>
          <t>OneCause</t>
        </is>
      </c>
      <c r="F388" s="34">
        <f>IF(A388="","",IFERROR(INT(A388),"check date"))</f>
        <v/>
      </c>
      <c r="G388" s="35">
        <f>IF(B388="","",IFERROR(INDEX(Students!$A:$A,MATCH(TRIM(B388),Students!$A:$A,0)),"NOT ON LIST"))</f>
        <v/>
      </c>
      <c r="H388" s="35">
        <f>IF(OR(G388="",G388="NOT ON LIST"),"",VLOOKUP(G388,Students!$A:$C,2,FALSE))</f>
        <v/>
      </c>
      <c r="I388" s="35">
        <f>IF(OR(G388="",G388="NOT ON LIST"),"",VLOOKUP(G388,Students!$A:$C,3,FALSE)&amp;"")</f>
        <v/>
      </c>
    </row>
    <row r="389">
      <c r="A389" s="31" t="n">
        <v>46334.51041666666</v>
      </c>
      <c r="B389" s="32" t="inlineStr">
        <is>
          <t>Samuel Diaz</t>
        </is>
      </c>
      <c r="C389" s="32" t="inlineStr">
        <is>
          <t>Camila Diaz</t>
        </is>
      </c>
      <c r="D389" s="33" t="n">
        <v>25</v>
      </c>
      <c r="E389" s="32" t="inlineStr">
        <is>
          <t>OneCause</t>
        </is>
      </c>
      <c r="F389" s="34">
        <f>IF(A389="","",IFERROR(INT(A389),"check date"))</f>
        <v/>
      </c>
      <c r="G389" s="35">
        <f>IF(B389="","",IFERROR(INDEX(Students!$A:$A,MATCH(TRIM(B389),Students!$A:$A,0)),"NOT ON LIST"))</f>
        <v/>
      </c>
      <c r="H389" s="35">
        <f>IF(OR(G389="",G389="NOT ON LIST"),"",VLOOKUP(G389,Students!$A:$C,2,FALSE))</f>
        <v/>
      </c>
      <c r="I389" s="35">
        <f>IF(OR(G389="",G389="NOT ON LIST"),"",VLOOKUP(G389,Students!$A:$C,3,FALSE)&amp;"")</f>
        <v/>
      </c>
    </row>
    <row r="390">
      <c r="A390" s="31" t="n">
        <v>46329.66666666666</v>
      </c>
      <c r="B390" s="32" t="inlineStr">
        <is>
          <t>Elena Diaz</t>
        </is>
      </c>
      <c r="C390" s="32" t="inlineStr">
        <is>
          <t>Olivia Diaz</t>
        </is>
      </c>
      <c r="D390" s="33" t="n">
        <v>25</v>
      </c>
      <c r="E390" s="32" t="inlineStr">
        <is>
          <t>OneCause</t>
        </is>
      </c>
      <c r="F390" s="34">
        <f>IF(A390="","",IFERROR(INT(A390),"check date"))</f>
        <v/>
      </c>
      <c r="G390" s="35">
        <f>IF(B390="","",IFERROR(INDEX(Students!$A:$A,MATCH(TRIM(B390),Students!$A:$A,0)),"NOT ON LIST"))</f>
        <v/>
      </c>
      <c r="H390" s="35">
        <f>IF(OR(G390="",G390="NOT ON LIST"),"",VLOOKUP(G390,Students!$A:$C,2,FALSE))</f>
        <v/>
      </c>
      <c r="I390" s="35">
        <f>IF(OR(G390="",G390="NOT ON LIST"),"",VLOOKUP(G390,Students!$A:$C,3,FALSE)&amp;"")</f>
        <v/>
      </c>
    </row>
    <row r="391">
      <c r="A391" s="31" t="n">
        <v>46338.40625</v>
      </c>
      <c r="B391" s="32" t="inlineStr">
        <is>
          <t>Mateo Gutierrez</t>
        </is>
      </c>
      <c r="C391" s="32" t="inlineStr">
        <is>
          <t>Lucas Gutierrez</t>
        </is>
      </c>
      <c r="D391" s="33" t="n">
        <v>50</v>
      </c>
      <c r="E391" s="32" t="inlineStr">
        <is>
          <t>OneCause</t>
        </is>
      </c>
      <c r="F391" s="34">
        <f>IF(A391="","",IFERROR(INT(A391),"check date"))</f>
        <v/>
      </c>
      <c r="G391" s="35">
        <f>IF(B391="","",IFERROR(INDEX(Students!$A:$A,MATCH(TRIM(B391),Students!$A:$A,0)),"NOT ON LIST"))</f>
        <v/>
      </c>
      <c r="H391" s="35">
        <f>IF(OR(G391="",G391="NOT ON LIST"),"",VLOOKUP(G391,Students!$A:$C,2,FALSE))</f>
        <v/>
      </c>
      <c r="I391" s="35">
        <f>IF(OR(G391="",G391="NOT ON LIST"),"",VLOOKUP(G391,Students!$A:$C,3,FALSE)&amp;"")</f>
        <v/>
      </c>
    </row>
    <row r="392">
      <c r="A392" s="31" t="n">
        <v>46331</v>
      </c>
      <c r="B392" s="32" t="inlineStr">
        <is>
          <t>Julian Lopez</t>
        </is>
      </c>
      <c r="C392" s="32" t="inlineStr">
        <is>
          <t>James Lopez</t>
        </is>
      </c>
      <c r="D392" s="33" t="n">
        <v>50</v>
      </c>
      <c r="E392" s="32" t="inlineStr">
        <is>
          <t>Cash</t>
        </is>
      </c>
      <c r="F392" s="34">
        <f>IF(A392="","",IFERROR(INT(A392),"check date"))</f>
        <v/>
      </c>
      <c r="G392" s="35">
        <f>IF(B392="","",IFERROR(INDEX(Students!$A:$A,MATCH(TRIM(B392),Students!$A:$A,0)),"NOT ON LIST"))</f>
        <v/>
      </c>
      <c r="H392" s="35">
        <f>IF(OR(G392="",G392="NOT ON LIST"),"",VLOOKUP(G392,Students!$A:$C,2,FALSE))</f>
        <v/>
      </c>
      <c r="I392" s="35">
        <f>IF(OR(G392="",G392="NOT ON LIST"),"",VLOOKUP(G392,Students!$A:$C,3,FALSE)&amp;"")</f>
        <v/>
      </c>
    </row>
    <row r="393">
      <c r="A393" s="31" t="n">
        <v>46335.54166666666</v>
      </c>
      <c r="B393" s="32" t="inlineStr">
        <is>
          <t>Isaac Martinez</t>
        </is>
      </c>
      <c r="C393" s="32" t="inlineStr">
        <is>
          <t>Sofia Martinez</t>
        </is>
      </c>
      <c r="D393" s="33" t="n">
        <v>100</v>
      </c>
      <c r="E393" s="32" t="inlineStr">
        <is>
          <t>OneCause</t>
        </is>
      </c>
      <c r="F393" s="34">
        <f>IF(A393="","",IFERROR(INT(A393),"check date"))</f>
        <v/>
      </c>
      <c r="G393" s="35">
        <f>IF(B393="","",IFERROR(INDEX(Students!$A:$A,MATCH(TRIM(B393),Students!$A:$A,0)),"NOT ON LIST"))</f>
        <v/>
      </c>
      <c r="H393" s="35">
        <f>IF(OR(G393="",G393="NOT ON LIST"),"",VLOOKUP(G393,Students!$A:$C,2,FALSE))</f>
        <v/>
      </c>
      <c r="I393" s="35">
        <f>IF(OR(G393="",G393="NOT ON LIST"),"",VLOOKUP(G393,Students!$A:$C,3,FALSE)&amp;"")</f>
        <v/>
      </c>
    </row>
    <row r="394">
      <c r="A394" s="31" t="n">
        <v>46334.53125</v>
      </c>
      <c r="B394" s="32" t="inlineStr">
        <is>
          <t>Harper Johnson</t>
        </is>
      </c>
      <c r="C394" s="32" t="inlineStr">
        <is>
          <t>Benjamin Johnson</t>
        </is>
      </c>
      <c r="D394" s="33" t="n">
        <v>50</v>
      </c>
      <c r="E394" s="32" t="inlineStr">
        <is>
          <t>OneCause</t>
        </is>
      </c>
      <c r="F394" s="34">
        <f>IF(A394="","",IFERROR(INT(A394),"check date"))</f>
        <v/>
      </c>
      <c r="G394" s="35">
        <f>IF(B394="","",IFERROR(INDEX(Students!$A:$A,MATCH(TRIM(B394),Students!$A:$A,0)),"NOT ON LIST"))</f>
        <v/>
      </c>
      <c r="H394" s="35">
        <f>IF(OR(G394="",G394="NOT ON LIST"),"",VLOOKUP(G394,Students!$A:$C,2,FALSE))</f>
        <v/>
      </c>
      <c r="I394" s="35">
        <f>IF(OR(G394="",G394="NOT ON LIST"),"",VLOOKUP(G394,Students!$A:$C,3,FALSE)&amp;"")</f>
        <v/>
      </c>
    </row>
    <row r="395">
      <c r="A395" s="31" t="n">
        <v>46325.70833333334</v>
      </c>
      <c r="B395" s="32" t="inlineStr">
        <is>
          <t>Daniel Cruz</t>
        </is>
      </c>
      <c r="C395" s="32" t="inlineStr">
        <is>
          <t>Samuel Cruz</t>
        </is>
      </c>
      <c r="D395" s="33" t="n">
        <v>20</v>
      </c>
      <c r="E395" s="32" t="inlineStr">
        <is>
          <t>OneCause</t>
        </is>
      </c>
      <c r="F395" s="34">
        <f>IF(A395="","",IFERROR(INT(A395),"check date"))</f>
        <v/>
      </c>
      <c r="G395" s="35">
        <f>IF(B395="","",IFERROR(INDEX(Students!$A:$A,MATCH(TRIM(B395),Students!$A:$A,0)),"NOT ON LIST"))</f>
        <v/>
      </c>
      <c r="H395" s="35">
        <f>IF(OR(G395="",G395="NOT ON LIST"),"",VLOOKUP(G395,Students!$A:$C,2,FALSE))</f>
        <v/>
      </c>
      <c r="I395" s="35">
        <f>IF(OR(G395="",G395="NOT ON LIST"),"",VLOOKUP(G395,Students!$A:$C,3,FALSE)&amp;"")</f>
        <v/>
      </c>
    </row>
    <row r="396">
      <c r="A396" s="31" t="n">
        <v>46335.5</v>
      </c>
      <c r="B396" s="32" t="inlineStr">
        <is>
          <t>Isaac Williams</t>
        </is>
      </c>
      <c r="C396" s="32" t="inlineStr">
        <is>
          <t>Elena Williams</t>
        </is>
      </c>
      <c r="D396" s="33" t="n">
        <v>20</v>
      </c>
      <c r="E396" s="32" t="inlineStr">
        <is>
          <t>OneCause</t>
        </is>
      </c>
      <c r="F396" s="34">
        <f>IF(A396="","",IFERROR(INT(A396),"check date"))</f>
        <v/>
      </c>
      <c r="G396" s="35">
        <f>IF(B396="","",IFERROR(INDEX(Students!$A:$A,MATCH(TRIM(B396),Students!$A:$A,0)),"NOT ON LIST"))</f>
        <v/>
      </c>
      <c r="H396" s="35">
        <f>IF(OR(G396="",G396="NOT ON LIST"),"",VLOOKUP(G396,Students!$A:$C,2,FALSE))</f>
        <v/>
      </c>
      <c r="I396" s="35">
        <f>IF(OR(G396="",G396="NOT ON LIST"),"",VLOOKUP(G396,Students!$A:$C,3,FALSE)&amp;"")</f>
        <v/>
      </c>
    </row>
    <row r="397">
      <c r="A397" s="31" t="n">
        <v>46332.42708333334</v>
      </c>
      <c r="B397" s="32" t="inlineStr">
        <is>
          <t>Emma Martinez</t>
        </is>
      </c>
      <c r="C397" s="32" t="inlineStr">
        <is>
          <t>Nicolas Martinez</t>
        </is>
      </c>
      <c r="D397" s="33" t="n">
        <v>50</v>
      </c>
      <c r="E397" s="32" t="inlineStr">
        <is>
          <t>OneCause</t>
        </is>
      </c>
      <c r="F397" s="34">
        <f>IF(A397="","",IFERROR(INT(A397),"check date"))</f>
        <v/>
      </c>
      <c r="G397" s="35">
        <f>IF(B397="","",IFERROR(INDEX(Students!$A:$A,MATCH(TRIM(B397),Students!$A:$A,0)),"NOT ON LIST"))</f>
        <v/>
      </c>
      <c r="H397" s="35">
        <f>IF(OR(G397="",G397="NOT ON LIST"),"",VLOOKUP(G397,Students!$A:$C,2,FALSE))</f>
        <v/>
      </c>
      <c r="I397" s="35">
        <f>IF(OR(G397="",G397="NOT ON LIST"),"",VLOOKUP(G397,Students!$A:$C,3,FALSE)&amp;"")</f>
        <v/>
      </c>
    </row>
    <row r="398">
      <c r="A398" s="31" t="n">
        <v>46339.53125</v>
      </c>
      <c r="B398" s="32" t="inlineStr">
        <is>
          <t>Santiago Alvarez</t>
        </is>
      </c>
      <c r="C398" s="32" t="inlineStr">
        <is>
          <t>Liam Alvarez</t>
        </is>
      </c>
      <c r="D398" s="33" t="n">
        <v>25</v>
      </c>
      <c r="E398" s="32" t="inlineStr">
        <is>
          <t>OneCause</t>
        </is>
      </c>
      <c r="F398" s="34">
        <f>IF(A398="","",IFERROR(INT(A398),"check date"))</f>
        <v/>
      </c>
      <c r="G398" s="35">
        <f>IF(B398="","",IFERROR(INDEX(Students!$A:$A,MATCH(TRIM(B398),Students!$A:$A,0)),"NOT ON LIST"))</f>
        <v/>
      </c>
      <c r="H398" s="35">
        <f>IF(OR(G398="",G398="NOT ON LIST"),"",VLOOKUP(G398,Students!$A:$C,2,FALSE))</f>
        <v/>
      </c>
      <c r="I398" s="35">
        <f>IF(OR(G398="",G398="NOT ON LIST"),"",VLOOKUP(G398,Students!$A:$C,3,FALSE)&amp;"")</f>
        <v/>
      </c>
    </row>
    <row r="399">
      <c r="A399" s="31" t="n">
        <v>46330.85416666666</v>
      </c>
      <c r="B399" s="32" t="inlineStr">
        <is>
          <t>Mateo Cruz</t>
        </is>
      </c>
      <c r="C399" s="32" t="inlineStr">
        <is>
          <t>Gabriel Cruz</t>
        </is>
      </c>
      <c r="D399" s="33" t="n">
        <v>20</v>
      </c>
      <c r="E399" s="32" t="inlineStr">
        <is>
          <t>OneCause</t>
        </is>
      </c>
      <c r="F399" s="34">
        <f>IF(A399="","",IFERROR(INT(A399),"check date"))</f>
        <v/>
      </c>
      <c r="G399" s="35">
        <f>IF(B399="","",IFERROR(INDEX(Students!$A:$A,MATCH(TRIM(B399),Students!$A:$A,0)),"NOT ON LIST"))</f>
        <v/>
      </c>
      <c r="H399" s="35">
        <f>IF(OR(G399="",G399="NOT ON LIST"),"",VLOOKUP(G399,Students!$A:$C,2,FALSE))</f>
        <v/>
      </c>
      <c r="I399" s="35">
        <f>IF(OR(G399="",G399="NOT ON LIST"),"",VLOOKUP(G399,Students!$A:$C,3,FALSE)&amp;"")</f>
        <v/>
      </c>
    </row>
    <row r="400">
      <c r="A400" s="31" t="n">
        <v>46325.36458333334</v>
      </c>
      <c r="B400" s="32" t="inlineStr">
        <is>
          <t>Lily Patel</t>
        </is>
      </c>
      <c r="C400" s="32" t="inlineStr">
        <is>
          <t>Olivia Patel</t>
        </is>
      </c>
      <c r="D400" s="33" t="n">
        <v>25</v>
      </c>
      <c r="E400" s="32" t="inlineStr">
        <is>
          <t>OneCause</t>
        </is>
      </c>
      <c r="F400" s="34">
        <f>IF(A400="","",IFERROR(INT(A400),"check date"))</f>
        <v/>
      </c>
      <c r="G400" s="35">
        <f>IF(B400="","",IFERROR(INDEX(Students!$A:$A,MATCH(TRIM(B400),Students!$A:$A,0)),"NOT ON LIST"))</f>
        <v/>
      </c>
      <c r="H400" s="35">
        <f>IF(OR(G400="",G400="NOT ON LIST"),"",VLOOKUP(G400,Students!$A:$C,2,FALSE))</f>
        <v/>
      </c>
      <c r="I400" s="35">
        <f>IF(OR(G400="",G400="NOT ON LIST"),"",VLOOKUP(G400,Students!$A:$C,3,FALSE)&amp;"")</f>
        <v/>
      </c>
    </row>
    <row r="401">
      <c r="A401" s="31" t="n">
        <v>46339.89583333334</v>
      </c>
      <c r="B401" s="32" t="inlineStr">
        <is>
          <t>Harper Johnson</t>
        </is>
      </c>
      <c r="C401" s="32" t="inlineStr">
        <is>
          <t>Noah Johnson</t>
        </is>
      </c>
      <c r="D401" s="33" t="n">
        <v>50</v>
      </c>
      <c r="E401" s="32" t="inlineStr">
        <is>
          <t>OneCause</t>
        </is>
      </c>
      <c r="F401" s="34">
        <f>IF(A401="","",IFERROR(INT(A401),"check date"))</f>
        <v/>
      </c>
      <c r="G401" s="35">
        <f>IF(B401="","",IFERROR(INDEX(Students!$A:$A,MATCH(TRIM(B401),Students!$A:$A,0)),"NOT ON LIST"))</f>
        <v/>
      </c>
      <c r="H401" s="35">
        <f>IF(OR(G401="",G401="NOT ON LIST"),"",VLOOKUP(G401,Students!$A:$C,2,FALSE))</f>
        <v/>
      </c>
      <c r="I401" s="35">
        <f>IF(OR(G401="",G401="NOT ON LIST"),"",VLOOKUP(G401,Students!$A:$C,3,FALSE)&amp;"")</f>
        <v/>
      </c>
    </row>
    <row r="402">
      <c r="A402" s="31" t="n">
        <v>46328.78125</v>
      </c>
      <c r="B402" s="32" t="inlineStr">
        <is>
          <t>Mia Kim</t>
        </is>
      </c>
      <c r="C402" s="32" t="inlineStr">
        <is>
          <t>Camila Kim</t>
        </is>
      </c>
      <c r="D402" s="33" t="n">
        <v>25</v>
      </c>
      <c r="E402" s="32" t="inlineStr">
        <is>
          <t>OneCause</t>
        </is>
      </c>
      <c r="F402" s="34">
        <f>IF(A402="","",IFERROR(INT(A402),"check date"))</f>
        <v/>
      </c>
      <c r="G402" s="35">
        <f>IF(B402="","",IFERROR(INDEX(Students!$A:$A,MATCH(TRIM(B402),Students!$A:$A,0)),"NOT ON LIST"))</f>
        <v/>
      </c>
      <c r="H402" s="35">
        <f>IF(OR(G402="",G402="NOT ON LIST"),"",VLOOKUP(G402,Students!$A:$C,2,FALSE))</f>
        <v/>
      </c>
      <c r="I402" s="35">
        <f>IF(OR(G402="",G402="NOT ON LIST"),"",VLOOKUP(G402,Students!$A:$C,3,FALSE)&amp;"")</f>
        <v/>
      </c>
    </row>
    <row r="403">
      <c r="A403" s="31" t="n">
        <v>46339.69791666666</v>
      </c>
      <c r="B403" s="32" t="inlineStr">
        <is>
          <t>James Alvarez</t>
        </is>
      </c>
      <c r="C403" s="32" t="inlineStr">
        <is>
          <t>Aria Alvarez</t>
        </is>
      </c>
      <c r="D403" s="33" t="n">
        <v>20</v>
      </c>
      <c r="E403" s="32" t="inlineStr">
        <is>
          <t>OneCause</t>
        </is>
      </c>
      <c r="F403" s="34">
        <f>IF(A403="","",IFERROR(INT(A403),"check date"))</f>
        <v/>
      </c>
      <c r="G403" s="35">
        <f>IF(B403="","",IFERROR(INDEX(Students!$A:$A,MATCH(TRIM(B403),Students!$A:$A,0)),"NOT ON LIST"))</f>
        <v/>
      </c>
      <c r="H403" s="35">
        <f>IF(OR(G403="",G403="NOT ON LIST"),"",VLOOKUP(G403,Students!$A:$C,2,FALSE))</f>
        <v/>
      </c>
      <c r="I403" s="35">
        <f>IF(OR(G403="",G403="NOT ON LIST"),"",VLOOKUP(G403,Students!$A:$C,3,FALSE)&amp;"")</f>
        <v/>
      </c>
    </row>
    <row r="404">
      <c r="A404" s="31" t="n">
        <v>46339.77083333334</v>
      </c>
      <c r="B404" s="32" t="inlineStr">
        <is>
          <t>Gabriel Sanchez</t>
        </is>
      </c>
      <c r="C404" s="32" t="inlineStr">
        <is>
          <t>Luna Sanchez</t>
        </is>
      </c>
      <c r="D404" s="33" t="n">
        <v>100</v>
      </c>
      <c r="E404" s="32" t="inlineStr">
        <is>
          <t>OneCause</t>
        </is>
      </c>
      <c r="F404" s="34">
        <f>IF(A404="","",IFERROR(INT(A404),"check date"))</f>
        <v/>
      </c>
      <c r="G404" s="35">
        <f>IF(B404="","",IFERROR(INDEX(Students!$A:$A,MATCH(TRIM(B404),Students!$A:$A,0)),"NOT ON LIST"))</f>
        <v/>
      </c>
      <c r="H404" s="35">
        <f>IF(OR(G404="",G404="NOT ON LIST"),"",VLOOKUP(G404,Students!$A:$C,2,FALSE))</f>
        <v/>
      </c>
      <c r="I404" s="35">
        <f>IF(OR(G404="",G404="NOT ON LIST"),"",VLOOKUP(G404,Students!$A:$C,3,FALSE)&amp;"")</f>
        <v/>
      </c>
    </row>
    <row r="405">
      <c r="A405" s="31" t="n">
        <v>46329.39583333334</v>
      </c>
      <c r="B405" s="32" t="inlineStr">
        <is>
          <t>Joseph Kelly</t>
        </is>
      </c>
      <c r="C405" s="32" t="inlineStr">
        <is>
          <t>Diego Kelly</t>
        </is>
      </c>
      <c r="D405" s="33" t="n">
        <v>40</v>
      </c>
      <c r="E405" s="32" t="inlineStr">
        <is>
          <t>OneCause</t>
        </is>
      </c>
      <c r="F405" s="34">
        <f>IF(A405="","",IFERROR(INT(A405),"check date"))</f>
        <v/>
      </c>
      <c r="G405" s="35">
        <f>IF(B405="","",IFERROR(INDEX(Students!$A:$A,MATCH(TRIM(B405),Students!$A:$A,0)),"NOT ON LIST"))</f>
        <v/>
      </c>
      <c r="H405" s="35">
        <f>IF(OR(G405="",G405="NOT ON LIST"),"",VLOOKUP(G405,Students!$A:$C,2,FALSE))</f>
        <v/>
      </c>
      <c r="I405" s="35">
        <f>IF(OR(G405="",G405="NOT ON LIST"),"",VLOOKUP(G405,Students!$A:$C,3,FALSE)&amp;"")</f>
        <v/>
      </c>
    </row>
    <row r="406">
      <c r="A406" s="31" t="n">
        <v>46325.88541666666</v>
      </c>
      <c r="B406" s="32" t="inlineStr">
        <is>
          <t>Grace Walsh</t>
        </is>
      </c>
      <c r="C406" s="32" t="inlineStr">
        <is>
          <t>Joseph Walsh</t>
        </is>
      </c>
      <c r="D406" s="33" t="n">
        <v>50</v>
      </c>
      <c r="E406" s="32" t="inlineStr">
        <is>
          <t>OneCause</t>
        </is>
      </c>
      <c r="F406" s="34">
        <f>IF(A406="","",IFERROR(INT(A406),"check date"))</f>
        <v/>
      </c>
      <c r="G406" s="35">
        <f>IF(B406="","",IFERROR(INDEX(Students!$A:$A,MATCH(TRIM(B406),Students!$A:$A,0)),"NOT ON LIST"))</f>
        <v/>
      </c>
      <c r="H406" s="35">
        <f>IF(OR(G406="",G406="NOT ON LIST"),"",VLOOKUP(G406,Students!$A:$C,2,FALSE))</f>
        <v/>
      </c>
      <c r="I406" s="35">
        <f>IF(OR(G406="",G406="NOT ON LIST"),"",VLOOKUP(G406,Students!$A:$C,3,FALSE)&amp;"")</f>
        <v/>
      </c>
    </row>
    <row r="407">
      <c r="A407" s="31" t="n">
        <v>46328.6875</v>
      </c>
      <c r="B407" s="32" t="inlineStr">
        <is>
          <t>Joseph Ryan</t>
        </is>
      </c>
      <c r="C407" s="32" t="inlineStr">
        <is>
          <t>Daniel Ryan</t>
        </is>
      </c>
      <c r="D407" s="33" t="n">
        <v>75</v>
      </c>
      <c r="E407" s="32" t="inlineStr">
        <is>
          <t>OneCause</t>
        </is>
      </c>
      <c r="F407" s="34">
        <f>IF(A407="","",IFERROR(INT(A407),"check date"))</f>
        <v/>
      </c>
      <c r="G407" s="35">
        <f>IF(B407="","",IFERROR(INDEX(Students!$A:$A,MATCH(TRIM(B407),Students!$A:$A,0)),"NOT ON LIST"))</f>
        <v/>
      </c>
      <c r="H407" s="35">
        <f>IF(OR(G407="",G407="NOT ON LIST"),"",VLOOKUP(G407,Students!$A:$C,2,FALSE))</f>
        <v/>
      </c>
      <c r="I407" s="35">
        <f>IF(OR(G407="",G407="NOT ON LIST"),"",VLOOKUP(G407,Students!$A:$C,3,FALSE)&amp;"")</f>
        <v/>
      </c>
    </row>
    <row r="408">
      <c r="A408" s="31" t="n">
        <v>46325.29166666666</v>
      </c>
      <c r="B408" s="32" t="inlineStr">
        <is>
          <t>Clara Garcia</t>
        </is>
      </c>
      <c r="C408" s="32" t="inlineStr">
        <is>
          <t>Isaac Garcia</t>
        </is>
      </c>
      <c r="D408" s="33" t="n">
        <v>40</v>
      </c>
      <c r="E408" s="32" t="inlineStr">
        <is>
          <t>OneCause</t>
        </is>
      </c>
      <c r="F408" s="34">
        <f>IF(A408="","",IFERROR(INT(A408),"check date"))</f>
        <v/>
      </c>
      <c r="G408" s="35">
        <f>IF(B408="","",IFERROR(INDEX(Students!$A:$A,MATCH(TRIM(B408),Students!$A:$A,0)),"NOT ON LIST"))</f>
        <v/>
      </c>
      <c r="H408" s="35">
        <f>IF(OR(G408="",G408="NOT ON LIST"),"",VLOOKUP(G408,Students!$A:$C,2,FALSE))</f>
        <v/>
      </c>
      <c r="I408" s="35">
        <f>IF(OR(G408="",G408="NOT ON LIST"),"",VLOOKUP(G408,Students!$A:$C,3,FALSE)&amp;"")</f>
        <v/>
      </c>
    </row>
    <row r="409">
      <c r="A409" s="31" t="n">
        <v>46338.82291666666</v>
      </c>
      <c r="B409" s="32" t="inlineStr">
        <is>
          <t>Evelyn Diaz</t>
        </is>
      </c>
      <c r="C409" s="32" t="inlineStr">
        <is>
          <t>Lucas Diaz</t>
        </is>
      </c>
      <c r="D409" s="33" t="n">
        <v>25</v>
      </c>
      <c r="E409" s="32" t="inlineStr">
        <is>
          <t>OneCause</t>
        </is>
      </c>
      <c r="F409" s="34">
        <f>IF(A409="","",IFERROR(INT(A409),"check date"))</f>
        <v/>
      </c>
      <c r="G409" s="35">
        <f>IF(B409="","",IFERROR(INDEX(Students!$A:$A,MATCH(TRIM(B409),Students!$A:$A,0)),"NOT ON LIST"))</f>
        <v/>
      </c>
      <c r="H409" s="35">
        <f>IF(OR(G409="",G409="NOT ON LIST"),"",VLOOKUP(G409,Students!$A:$C,2,FALSE))</f>
        <v/>
      </c>
      <c r="I409" s="35">
        <f>IF(OR(G409="",G409="NOT ON LIST"),"",VLOOKUP(G409,Students!$A:$C,3,FALSE)&amp;"")</f>
        <v/>
      </c>
    </row>
    <row r="410">
      <c r="A410" s="31" t="n">
        <v>46332.44791666666</v>
      </c>
      <c r="B410" s="32" t="inlineStr">
        <is>
          <t>Maya Flores</t>
        </is>
      </c>
      <c r="C410" s="32" t="inlineStr">
        <is>
          <t>Daniel Flores</t>
        </is>
      </c>
      <c r="D410" s="33" t="n">
        <v>40</v>
      </c>
      <c r="E410" s="32" t="inlineStr">
        <is>
          <t>OneCause</t>
        </is>
      </c>
      <c r="F410" s="34">
        <f>IF(A410="","",IFERROR(INT(A410),"check date"))</f>
        <v/>
      </c>
      <c r="G410" s="35">
        <f>IF(B410="","",IFERROR(INDEX(Students!$A:$A,MATCH(TRIM(B410),Students!$A:$A,0)),"NOT ON LIST"))</f>
        <v/>
      </c>
      <c r="H410" s="35">
        <f>IF(OR(G410="",G410="NOT ON LIST"),"",VLOOKUP(G410,Students!$A:$C,2,FALSE))</f>
        <v/>
      </c>
      <c r="I410" s="35">
        <f>IF(OR(G410="",G410="NOT ON LIST"),"",VLOOKUP(G410,Students!$A:$C,3,FALSE)&amp;"")</f>
        <v/>
      </c>
    </row>
    <row r="411">
      <c r="A411" s="31" t="n">
        <v>46327.85416666666</v>
      </c>
      <c r="B411" s="32" t="inlineStr">
        <is>
          <t>James Brown</t>
        </is>
      </c>
      <c r="C411" s="32" t="inlineStr">
        <is>
          <t>Lily Brown</t>
        </is>
      </c>
      <c r="D411" s="33" t="n">
        <v>100</v>
      </c>
      <c r="E411" s="32" t="inlineStr">
        <is>
          <t>OneCause</t>
        </is>
      </c>
      <c r="F411" s="34">
        <f>IF(A411="","",IFERROR(INT(A411),"check date"))</f>
        <v/>
      </c>
      <c r="G411" s="35">
        <f>IF(B411="","",IFERROR(INDEX(Students!$A:$A,MATCH(TRIM(B411),Students!$A:$A,0)),"NOT ON LIST"))</f>
        <v/>
      </c>
      <c r="H411" s="35">
        <f>IF(OR(G411="",G411="NOT ON LIST"),"",VLOOKUP(G411,Students!$A:$C,2,FALSE))</f>
        <v/>
      </c>
      <c r="I411" s="35">
        <f>IF(OR(G411="",G411="NOT ON LIST"),"",VLOOKUP(G411,Students!$A:$C,3,FALSE)&amp;"")</f>
        <v/>
      </c>
    </row>
    <row r="412">
      <c r="A412" s="31" t="n">
        <v>46327.60416666666</v>
      </c>
      <c r="B412" s="32" t="inlineStr">
        <is>
          <t>Grace Garcia</t>
        </is>
      </c>
      <c r="C412" s="32" t="inlineStr">
        <is>
          <t>Diego Garcia</t>
        </is>
      </c>
      <c r="D412" s="33" t="n">
        <v>50</v>
      </c>
      <c r="E412" s="32" t="inlineStr">
        <is>
          <t>OneCause</t>
        </is>
      </c>
      <c r="F412" s="34">
        <f>IF(A412="","",IFERROR(INT(A412),"check date"))</f>
        <v/>
      </c>
      <c r="G412" s="35">
        <f>IF(B412="","",IFERROR(INDEX(Students!$A:$A,MATCH(TRIM(B412),Students!$A:$A,0)),"NOT ON LIST"))</f>
        <v/>
      </c>
      <c r="H412" s="35">
        <f>IF(OR(G412="",G412="NOT ON LIST"),"",VLOOKUP(G412,Students!$A:$C,2,FALSE))</f>
        <v/>
      </c>
      <c r="I412" s="35">
        <f>IF(OR(G412="",G412="NOT ON LIST"),"",VLOOKUP(G412,Students!$A:$C,3,FALSE)&amp;"")</f>
        <v/>
      </c>
    </row>
    <row r="413">
      <c r="A413" s="31" t="n">
        <v>46329.64583333334</v>
      </c>
      <c r="B413" s="32" t="inlineStr">
        <is>
          <t>Amelia Vasquez</t>
        </is>
      </c>
      <c r="C413" s="32" t="inlineStr">
        <is>
          <t>Clara Vasquez</t>
        </is>
      </c>
      <c r="D413" s="33" t="n">
        <v>25</v>
      </c>
      <c r="E413" s="32" t="inlineStr">
        <is>
          <t>OneCause</t>
        </is>
      </c>
      <c r="F413" s="34">
        <f>IF(A413="","",IFERROR(INT(A413),"check date"))</f>
        <v/>
      </c>
      <c r="G413" s="35">
        <f>IF(B413="","",IFERROR(INDEX(Students!$A:$A,MATCH(TRIM(B413),Students!$A:$A,0)),"NOT ON LIST"))</f>
        <v/>
      </c>
      <c r="H413" s="35">
        <f>IF(OR(G413="",G413="NOT ON LIST"),"",VLOOKUP(G413,Students!$A:$C,2,FALSE))</f>
        <v/>
      </c>
      <c r="I413" s="35">
        <f>IF(OR(G413="",G413="NOT ON LIST"),"",VLOOKUP(G413,Students!$A:$C,3,FALSE)&amp;"")</f>
        <v/>
      </c>
    </row>
    <row r="414">
      <c r="A414" s="31" t="n">
        <v>46328.29166666666</v>
      </c>
      <c r="B414" s="32" t="inlineStr">
        <is>
          <t>Sofia Gutierrez</t>
        </is>
      </c>
      <c r="C414" s="32" t="inlineStr">
        <is>
          <t>Daniel Gutierrez</t>
        </is>
      </c>
      <c r="D414" s="33" t="n">
        <v>25</v>
      </c>
      <c r="E414" s="32" t="inlineStr">
        <is>
          <t>OneCause</t>
        </is>
      </c>
      <c r="F414" s="34">
        <f>IF(A414="","",IFERROR(INT(A414),"check date"))</f>
        <v/>
      </c>
      <c r="G414" s="35">
        <f>IF(B414="","",IFERROR(INDEX(Students!$A:$A,MATCH(TRIM(B414),Students!$A:$A,0)),"NOT ON LIST"))</f>
        <v/>
      </c>
      <c r="H414" s="35">
        <f>IF(OR(G414="",G414="NOT ON LIST"),"",VLOOKUP(G414,Students!$A:$C,2,FALSE))</f>
        <v/>
      </c>
      <c r="I414" s="35">
        <f>IF(OR(G414="",G414="NOT ON LIST"),"",VLOOKUP(G414,Students!$A:$C,3,FALSE)&amp;"")</f>
        <v/>
      </c>
    </row>
    <row r="415">
      <c r="A415" s="31" t="n">
        <v>46338.84375</v>
      </c>
      <c r="B415" s="32" t="inlineStr">
        <is>
          <t>Liam Castillo</t>
        </is>
      </c>
      <c r="C415" s="32" t="inlineStr">
        <is>
          <t>Liam Castillo</t>
        </is>
      </c>
      <c r="D415" s="33" t="n">
        <v>25</v>
      </c>
      <c r="E415" s="32" t="inlineStr">
        <is>
          <t>OneCause</t>
        </is>
      </c>
      <c r="F415" s="34">
        <f>IF(A415="","",IFERROR(INT(A415),"check date"))</f>
        <v/>
      </c>
      <c r="G415" s="35">
        <f>IF(B415="","",IFERROR(INDEX(Students!$A:$A,MATCH(TRIM(B415),Students!$A:$A,0)),"NOT ON LIST"))</f>
        <v/>
      </c>
      <c r="H415" s="35">
        <f>IF(OR(G415="",G415="NOT ON LIST"),"",VLOOKUP(G415,Students!$A:$C,2,FALSE))</f>
        <v/>
      </c>
      <c r="I415" s="35">
        <f>IF(OR(G415="",G415="NOT ON LIST"),"",VLOOKUP(G415,Students!$A:$C,3,FALSE)&amp;"")</f>
        <v/>
      </c>
    </row>
    <row r="416">
      <c r="A416" s="31" t="n">
        <v>46338.46875</v>
      </c>
      <c r="B416" s="32" t="inlineStr">
        <is>
          <t>Clara Sullivan</t>
        </is>
      </c>
      <c r="C416" s="32" t="inlineStr">
        <is>
          <t>Olivia Sullivan</t>
        </is>
      </c>
      <c r="D416" s="33" t="n">
        <v>150</v>
      </c>
      <c r="E416" s="32" t="inlineStr">
        <is>
          <t>OneCause</t>
        </is>
      </c>
      <c r="F416" s="34">
        <f>IF(A416="","",IFERROR(INT(A416),"check date"))</f>
        <v/>
      </c>
      <c r="G416" s="35">
        <f>IF(B416="","",IFERROR(INDEX(Students!$A:$A,MATCH(TRIM(B416),Students!$A:$A,0)),"NOT ON LIST"))</f>
        <v/>
      </c>
      <c r="H416" s="35">
        <f>IF(OR(G416="",G416="NOT ON LIST"),"",VLOOKUP(G416,Students!$A:$C,2,FALSE))</f>
        <v/>
      </c>
      <c r="I416" s="35">
        <f>IF(OR(G416="",G416="NOT ON LIST"),"",VLOOKUP(G416,Students!$A:$C,3,FALSE)&amp;"")</f>
        <v/>
      </c>
    </row>
    <row r="417">
      <c r="A417" s="31" t="n">
        <v>46326</v>
      </c>
      <c r="B417" s="32" t="inlineStr">
        <is>
          <t>Emma Williams</t>
        </is>
      </c>
      <c r="C417" s="32" t="inlineStr">
        <is>
          <t>Lily Williams</t>
        </is>
      </c>
      <c r="D417" s="33" t="n">
        <v>10</v>
      </c>
      <c r="E417" s="32" t="inlineStr">
        <is>
          <t>Cash</t>
        </is>
      </c>
      <c r="F417" s="34">
        <f>IF(A417="","",IFERROR(INT(A417),"check date"))</f>
        <v/>
      </c>
      <c r="G417" s="35">
        <f>IF(B417="","",IFERROR(INDEX(Students!$A:$A,MATCH(TRIM(B417),Students!$A:$A,0)),"NOT ON LIST"))</f>
        <v/>
      </c>
      <c r="H417" s="35">
        <f>IF(OR(G417="",G417="NOT ON LIST"),"",VLOOKUP(G417,Students!$A:$C,2,FALSE))</f>
        <v/>
      </c>
      <c r="I417" s="35">
        <f>IF(OR(G417="",G417="NOT ON LIST"),"",VLOOKUP(G417,Students!$A:$C,3,FALSE)&amp;"")</f>
        <v/>
      </c>
    </row>
    <row r="418">
      <c r="A418" s="31" t="n">
        <v>46330.32291666666</v>
      </c>
      <c r="B418" s="32" t="inlineStr">
        <is>
          <t>Leo Gutierrez</t>
        </is>
      </c>
      <c r="C418" s="32" t="inlineStr">
        <is>
          <t>Diego Gutierrez</t>
        </is>
      </c>
      <c r="D418" s="33" t="n">
        <v>10</v>
      </c>
      <c r="E418" s="32" t="inlineStr">
        <is>
          <t>OneCause</t>
        </is>
      </c>
      <c r="F418" s="34">
        <f>IF(A418="","",IFERROR(INT(A418),"check date"))</f>
        <v/>
      </c>
      <c r="G418" s="35">
        <f>IF(B418="","",IFERROR(INDEX(Students!$A:$A,MATCH(TRIM(B418),Students!$A:$A,0)),"NOT ON LIST"))</f>
        <v/>
      </c>
      <c r="H418" s="35">
        <f>IF(OR(G418="",G418="NOT ON LIST"),"",VLOOKUP(G418,Students!$A:$C,2,FALSE))</f>
        <v/>
      </c>
      <c r="I418" s="35">
        <f>IF(OR(G418="",G418="NOT ON LIST"),"",VLOOKUP(G418,Students!$A:$C,3,FALSE)&amp;"")</f>
        <v/>
      </c>
    </row>
    <row r="419">
      <c r="A419" s="31" t="n">
        <v>46338.85416666666</v>
      </c>
      <c r="B419" s="32" t="inlineStr">
        <is>
          <t>Lily Gomez</t>
        </is>
      </c>
      <c r="C419" s="32" t="inlineStr">
        <is>
          <t>Elijah Gomez</t>
        </is>
      </c>
      <c r="D419" s="33" t="n">
        <v>25</v>
      </c>
      <c r="E419" s="32" t="inlineStr">
        <is>
          <t>OneCause</t>
        </is>
      </c>
      <c r="F419" s="34">
        <f>IF(A419="","",IFERROR(INT(A419),"check date"))</f>
        <v/>
      </c>
      <c r="G419" s="35">
        <f>IF(B419="","",IFERROR(INDEX(Students!$A:$A,MATCH(TRIM(B419),Students!$A:$A,0)),"NOT ON LIST"))</f>
        <v/>
      </c>
      <c r="H419" s="35">
        <f>IF(OR(G419="",G419="NOT ON LIST"),"",VLOOKUP(G419,Students!$A:$C,2,FALSE))</f>
        <v/>
      </c>
      <c r="I419" s="35">
        <f>IF(OR(G419="",G419="NOT ON LIST"),"",VLOOKUP(G419,Students!$A:$C,3,FALSE)&amp;"")</f>
        <v/>
      </c>
    </row>
    <row r="420">
      <c r="A420" s="31" t="n">
        <v>46334.46875</v>
      </c>
      <c r="B420" s="32" t="inlineStr">
        <is>
          <t>Nora Kim</t>
        </is>
      </c>
      <c r="C420" s="32" t="inlineStr">
        <is>
          <t>Nicolas Kim</t>
        </is>
      </c>
      <c r="D420" s="33" t="n">
        <v>50</v>
      </c>
      <c r="E420" s="32" t="inlineStr">
        <is>
          <t>OneCause</t>
        </is>
      </c>
      <c r="F420" s="34">
        <f>IF(A420="","",IFERROR(INT(A420),"check date"))</f>
        <v/>
      </c>
      <c r="G420" s="35">
        <f>IF(B420="","",IFERROR(INDEX(Students!$A:$A,MATCH(TRIM(B420),Students!$A:$A,0)),"NOT ON LIST"))</f>
        <v/>
      </c>
      <c r="H420" s="35">
        <f>IF(OR(G420="",G420="NOT ON LIST"),"",VLOOKUP(G420,Students!$A:$C,2,FALSE))</f>
        <v/>
      </c>
      <c r="I420" s="35">
        <f>IF(OR(G420="",G420="NOT ON LIST"),"",VLOOKUP(G420,Students!$A:$C,3,FALSE)&amp;"")</f>
        <v/>
      </c>
    </row>
    <row r="421">
      <c r="A421" s="31" t="n">
        <v>46336.38541666666</v>
      </c>
      <c r="B421" s="32" t="inlineStr">
        <is>
          <t>Gabriel Murphy</t>
        </is>
      </c>
      <c r="C421" s="32" t="inlineStr">
        <is>
          <t>Camila Murphy</t>
        </is>
      </c>
      <c r="D421" s="33" t="n">
        <v>75</v>
      </c>
      <c r="E421" s="32" t="inlineStr">
        <is>
          <t>OneCause</t>
        </is>
      </c>
      <c r="F421" s="34">
        <f>IF(A421="","",IFERROR(INT(A421),"check date"))</f>
        <v/>
      </c>
      <c r="G421" s="35">
        <f>IF(B421="","",IFERROR(INDEX(Students!$A:$A,MATCH(TRIM(B421),Students!$A:$A,0)),"NOT ON LIST"))</f>
        <v/>
      </c>
      <c r="H421" s="35">
        <f>IF(OR(G421="",G421="NOT ON LIST"),"",VLOOKUP(G421,Students!$A:$C,2,FALSE))</f>
        <v/>
      </c>
      <c r="I421" s="35">
        <f>IF(OR(G421="",G421="NOT ON LIST"),"",VLOOKUP(G421,Students!$A:$C,3,FALSE)&amp;"")</f>
        <v/>
      </c>
    </row>
    <row r="422">
      <c r="A422" s="31" t="n">
        <v>46329.41666666666</v>
      </c>
      <c r="B422" s="32" t="inlineStr">
        <is>
          <t>Camila Sullivan</t>
        </is>
      </c>
      <c r="C422" s="32" t="inlineStr">
        <is>
          <t>Harper Sullivan</t>
        </is>
      </c>
      <c r="D422" s="33" t="n">
        <v>10</v>
      </c>
      <c r="E422" s="32" t="inlineStr">
        <is>
          <t>OneCause</t>
        </is>
      </c>
      <c r="F422" s="34">
        <f>IF(A422="","",IFERROR(INT(A422),"check date"))</f>
        <v/>
      </c>
      <c r="G422" s="35">
        <f>IF(B422="","",IFERROR(INDEX(Students!$A:$A,MATCH(TRIM(B422),Students!$A:$A,0)),"NOT ON LIST"))</f>
        <v/>
      </c>
      <c r="H422" s="35">
        <f>IF(OR(G422="",G422="NOT ON LIST"),"",VLOOKUP(G422,Students!$A:$C,2,FALSE))</f>
        <v/>
      </c>
      <c r="I422" s="35">
        <f>IF(OR(G422="",G422="NOT ON LIST"),"",VLOOKUP(G422,Students!$A:$C,3,FALSE)&amp;"")</f>
        <v/>
      </c>
    </row>
    <row r="423">
      <c r="A423" s="31" t="n">
        <v>46332.875</v>
      </c>
      <c r="B423" s="32" t="inlineStr">
        <is>
          <t>Daniel Garcia</t>
        </is>
      </c>
      <c r="C423" s="32" t="inlineStr">
        <is>
          <t>Elena Garcia</t>
        </is>
      </c>
      <c r="D423" s="33" t="n">
        <v>75</v>
      </c>
      <c r="E423" s="32" t="inlineStr">
        <is>
          <t>OneCause</t>
        </is>
      </c>
      <c r="F423" s="34">
        <f>IF(A423="","",IFERROR(INT(A423),"check date"))</f>
        <v/>
      </c>
      <c r="G423" s="35">
        <f>IF(B423="","",IFERROR(INDEX(Students!$A:$A,MATCH(TRIM(B423),Students!$A:$A,0)),"NOT ON LIST"))</f>
        <v/>
      </c>
      <c r="H423" s="35">
        <f>IF(OR(G423="",G423="NOT ON LIST"),"",VLOOKUP(G423,Students!$A:$C,2,FALSE))</f>
        <v/>
      </c>
      <c r="I423" s="35">
        <f>IF(OR(G423="",G423="NOT ON LIST"),"",VLOOKUP(G423,Students!$A:$C,3,FALSE)&amp;"")</f>
        <v/>
      </c>
    </row>
    <row r="424">
      <c r="A424" s="31" t="n">
        <v>46339.45833333334</v>
      </c>
      <c r="B424" s="32" t="inlineStr">
        <is>
          <t>Thomas Patel</t>
        </is>
      </c>
      <c r="C424" s="32" t="inlineStr">
        <is>
          <t>Harper Patel</t>
        </is>
      </c>
      <c r="D424" s="33" t="n">
        <v>150</v>
      </c>
      <c r="E424" s="32" t="inlineStr">
        <is>
          <t>OneCause</t>
        </is>
      </c>
      <c r="F424" s="34">
        <f>IF(A424="","",IFERROR(INT(A424),"check date"))</f>
        <v/>
      </c>
      <c r="G424" s="35">
        <f>IF(B424="","",IFERROR(INDEX(Students!$A:$A,MATCH(TRIM(B424),Students!$A:$A,0)),"NOT ON LIST"))</f>
        <v/>
      </c>
      <c r="H424" s="35">
        <f>IF(OR(G424="",G424="NOT ON LIST"),"",VLOOKUP(G424,Students!$A:$C,2,FALSE))</f>
        <v/>
      </c>
      <c r="I424" s="35">
        <f>IF(OR(G424="",G424="NOT ON LIST"),"",VLOOKUP(G424,Students!$A:$C,3,FALSE)&amp;"")</f>
        <v/>
      </c>
    </row>
    <row r="425">
      <c r="A425" s="31" t="n">
        <v>46339.66666666666</v>
      </c>
      <c r="B425" s="32" t="inlineStr">
        <is>
          <t>Adrian Diaz</t>
        </is>
      </c>
      <c r="C425" s="32" t="inlineStr">
        <is>
          <t>Ava Diaz</t>
        </is>
      </c>
      <c r="D425" s="33" t="n">
        <v>100</v>
      </c>
      <c r="E425" s="32" t="inlineStr">
        <is>
          <t>OneCause</t>
        </is>
      </c>
      <c r="F425" s="34">
        <f>IF(A425="","",IFERROR(INT(A425),"check date"))</f>
        <v/>
      </c>
      <c r="G425" s="35">
        <f>IF(B425="","",IFERROR(INDEX(Students!$A:$A,MATCH(TRIM(B425),Students!$A:$A,0)),"NOT ON LIST"))</f>
        <v/>
      </c>
      <c r="H425" s="35">
        <f>IF(OR(G425="",G425="NOT ON LIST"),"",VLOOKUP(G425,Students!$A:$C,2,FALSE))</f>
        <v/>
      </c>
      <c r="I425" s="35">
        <f>IF(OR(G425="",G425="NOT ON LIST"),"",VLOOKUP(G425,Students!$A:$C,3,FALSE)&amp;"")</f>
        <v/>
      </c>
    </row>
    <row r="426">
      <c r="A426" s="31" t="n">
        <v>46339.44791666666</v>
      </c>
      <c r="B426" s="32" t="inlineStr">
        <is>
          <t>Grace Murphy</t>
        </is>
      </c>
      <c r="C426" s="32" t="inlineStr">
        <is>
          <t>Leo Murphy</t>
        </is>
      </c>
      <c r="D426" s="33" t="n">
        <v>25</v>
      </c>
      <c r="E426" s="32" t="inlineStr">
        <is>
          <t>OneCause</t>
        </is>
      </c>
      <c r="F426" s="34">
        <f>IF(A426="","",IFERROR(INT(A426),"check date"))</f>
        <v/>
      </c>
      <c r="G426" s="35">
        <f>IF(B426="","",IFERROR(INDEX(Students!$A:$A,MATCH(TRIM(B426),Students!$A:$A,0)),"NOT ON LIST"))</f>
        <v/>
      </c>
      <c r="H426" s="35">
        <f>IF(OR(G426="",G426="NOT ON LIST"),"",VLOOKUP(G426,Students!$A:$C,2,FALSE))</f>
        <v/>
      </c>
      <c r="I426" s="35">
        <f>IF(OR(G426="",G426="NOT ON LIST"),"",VLOOKUP(G426,Students!$A:$C,3,FALSE)&amp;"")</f>
        <v/>
      </c>
    </row>
    <row r="427">
      <c r="A427" s="31" t="n">
        <v>46325</v>
      </c>
      <c r="B427" s="32" t="inlineStr">
        <is>
          <t>Evelyn Nguyen</t>
        </is>
      </c>
      <c r="C427" s="32" t="inlineStr">
        <is>
          <t>Mateo Nguyen</t>
        </is>
      </c>
      <c r="D427" s="33" t="n">
        <v>10</v>
      </c>
      <c r="E427" s="32" t="inlineStr">
        <is>
          <t>Check</t>
        </is>
      </c>
      <c r="F427" s="34">
        <f>IF(A427="","",IFERROR(INT(A427),"check date"))</f>
        <v/>
      </c>
      <c r="G427" s="35">
        <f>IF(B427="","",IFERROR(INDEX(Students!$A:$A,MATCH(TRIM(B427),Students!$A:$A,0)),"NOT ON LIST"))</f>
        <v/>
      </c>
      <c r="H427" s="35">
        <f>IF(OR(G427="",G427="NOT ON LIST"),"",VLOOKUP(G427,Students!$A:$C,2,FALSE))</f>
        <v/>
      </c>
      <c r="I427" s="35">
        <f>IF(OR(G427="",G427="NOT ON LIST"),"",VLOOKUP(G427,Students!$A:$C,3,FALSE)&amp;"")</f>
        <v/>
      </c>
    </row>
    <row r="428">
      <c r="A428" s="31" t="n">
        <v>46330.83333333334</v>
      </c>
      <c r="B428" s="32" t="inlineStr">
        <is>
          <t>Adrian Ortiz</t>
        </is>
      </c>
      <c r="C428" s="32" t="inlineStr">
        <is>
          <t>Elena Ortiz</t>
        </is>
      </c>
      <c r="D428" s="33" t="n">
        <v>50</v>
      </c>
      <c r="E428" s="32" t="inlineStr">
        <is>
          <t>OneCause</t>
        </is>
      </c>
      <c r="F428" s="34">
        <f>IF(A428="","",IFERROR(INT(A428),"check date"))</f>
        <v/>
      </c>
      <c r="G428" s="35">
        <f>IF(B428="","",IFERROR(INDEX(Students!$A:$A,MATCH(TRIM(B428),Students!$A:$A,0)),"NOT ON LIST"))</f>
        <v/>
      </c>
      <c r="H428" s="35">
        <f>IF(OR(G428="",G428="NOT ON LIST"),"",VLOOKUP(G428,Students!$A:$C,2,FALSE))</f>
        <v/>
      </c>
      <c r="I428" s="35">
        <f>IF(OR(G428="",G428="NOT ON LIST"),"",VLOOKUP(G428,Students!$A:$C,3,FALSE)&amp;"")</f>
        <v/>
      </c>
    </row>
    <row r="429">
      <c r="A429" s="31" t="n">
        <v>46338.71875</v>
      </c>
      <c r="B429" s="32" t="inlineStr">
        <is>
          <t>Daniel Morales</t>
        </is>
      </c>
      <c r="C429" s="32" t="inlineStr">
        <is>
          <t>Grace Morales</t>
        </is>
      </c>
      <c r="D429" s="33" t="n">
        <v>40</v>
      </c>
      <c r="E429" s="32" t="inlineStr">
        <is>
          <t>OneCause</t>
        </is>
      </c>
      <c r="F429" s="34">
        <f>IF(A429="","",IFERROR(INT(A429),"check date"))</f>
        <v/>
      </c>
      <c r="G429" s="35">
        <f>IF(B429="","",IFERROR(INDEX(Students!$A:$A,MATCH(TRIM(B429),Students!$A:$A,0)),"NOT ON LIST"))</f>
        <v/>
      </c>
      <c r="H429" s="35">
        <f>IF(OR(G429="",G429="NOT ON LIST"),"",VLOOKUP(G429,Students!$A:$C,2,FALSE))</f>
        <v/>
      </c>
      <c r="I429" s="35">
        <f>IF(OR(G429="",G429="NOT ON LIST"),"",VLOOKUP(G429,Students!$A:$C,3,FALSE)&amp;"")</f>
        <v/>
      </c>
    </row>
    <row r="430">
      <c r="A430" s="31" t="n">
        <v>46332.86458333334</v>
      </c>
      <c r="B430" s="32" t="inlineStr">
        <is>
          <t>Diego Nguyen</t>
        </is>
      </c>
      <c r="C430" s="32" t="inlineStr">
        <is>
          <t>Diego Nguyen</t>
        </is>
      </c>
      <c r="D430" s="33" t="n">
        <v>150</v>
      </c>
      <c r="E430" s="32" t="inlineStr">
        <is>
          <t>OneCause</t>
        </is>
      </c>
      <c r="F430" s="34">
        <f>IF(A430="","",IFERROR(INT(A430),"check date"))</f>
        <v/>
      </c>
      <c r="G430" s="35">
        <f>IF(B430="","",IFERROR(INDEX(Students!$A:$A,MATCH(TRIM(B430),Students!$A:$A,0)),"NOT ON LIST"))</f>
        <v/>
      </c>
      <c r="H430" s="35">
        <f>IF(OR(G430="",G430="NOT ON LIST"),"",VLOOKUP(G430,Students!$A:$C,2,FALSE))</f>
        <v/>
      </c>
      <c r="I430" s="35">
        <f>IF(OR(G430="",G430="NOT ON LIST"),"",VLOOKUP(G430,Students!$A:$C,3,FALSE)&amp;"")</f>
        <v/>
      </c>
    </row>
    <row r="431">
      <c r="A431" s="31" t="n">
        <v>46338.52083333334</v>
      </c>
      <c r="B431" s="32" t="inlineStr">
        <is>
          <t>Amelia Sullivan</t>
        </is>
      </c>
      <c r="C431" s="32" t="inlineStr">
        <is>
          <t>Noah Sullivan</t>
        </is>
      </c>
      <c r="D431" s="33" t="n">
        <v>100</v>
      </c>
      <c r="E431" s="32" t="inlineStr">
        <is>
          <t>OneCause</t>
        </is>
      </c>
      <c r="F431" s="34">
        <f>IF(A431="","",IFERROR(INT(A431),"check date"))</f>
        <v/>
      </c>
      <c r="G431" s="35">
        <f>IF(B431="","",IFERROR(INDEX(Students!$A:$A,MATCH(TRIM(B431),Students!$A:$A,0)),"NOT ON LIST"))</f>
        <v/>
      </c>
      <c r="H431" s="35">
        <f>IF(OR(G431="",G431="NOT ON LIST"),"",VLOOKUP(G431,Students!$A:$C,2,FALSE))</f>
        <v/>
      </c>
      <c r="I431" s="35">
        <f>IF(OR(G431="",G431="NOT ON LIST"),"",VLOOKUP(G431,Students!$A:$C,3,FALSE)&amp;"")</f>
        <v/>
      </c>
    </row>
    <row r="432">
      <c r="A432" s="31" t="n">
        <v>46332.52083333334</v>
      </c>
      <c r="B432" s="32" t="inlineStr">
        <is>
          <t>Nicolas Lopez</t>
        </is>
      </c>
      <c r="C432" s="32" t="inlineStr">
        <is>
          <t>Harper Lopez</t>
        </is>
      </c>
      <c r="D432" s="33" t="n">
        <v>20</v>
      </c>
      <c r="E432" s="32" t="inlineStr">
        <is>
          <t>OneCause</t>
        </is>
      </c>
      <c r="F432" s="34">
        <f>IF(A432="","",IFERROR(INT(A432),"check date"))</f>
        <v/>
      </c>
      <c r="G432" s="35">
        <f>IF(B432="","",IFERROR(INDEX(Students!$A:$A,MATCH(TRIM(B432),Students!$A:$A,0)),"NOT ON LIST"))</f>
        <v/>
      </c>
      <c r="H432" s="35">
        <f>IF(OR(G432="",G432="NOT ON LIST"),"",VLOOKUP(G432,Students!$A:$C,2,FALSE))</f>
        <v/>
      </c>
      <c r="I432" s="35">
        <f>IF(OR(G432="",G432="NOT ON LIST"),"",VLOOKUP(G432,Students!$A:$C,3,FALSE)&amp;"")</f>
        <v/>
      </c>
    </row>
    <row r="433">
      <c r="A433" s="31" t="n">
        <v>46325.75</v>
      </c>
      <c r="B433" s="32" t="inlineStr">
        <is>
          <t>Evelyn Nguyen</t>
        </is>
      </c>
      <c r="C433" s="32" t="inlineStr">
        <is>
          <t>Noah Nguyen</t>
        </is>
      </c>
      <c r="D433" s="33" t="n">
        <v>100</v>
      </c>
      <c r="E433" s="32" t="inlineStr">
        <is>
          <t>OneCause</t>
        </is>
      </c>
      <c r="F433" s="34">
        <f>IF(A433="","",IFERROR(INT(A433),"check date"))</f>
        <v/>
      </c>
      <c r="G433" s="35">
        <f>IF(B433="","",IFERROR(INDEX(Students!$A:$A,MATCH(TRIM(B433),Students!$A:$A,0)),"NOT ON LIST"))</f>
        <v/>
      </c>
      <c r="H433" s="35">
        <f>IF(OR(G433="",G433="NOT ON LIST"),"",VLOOKUP(G433,Students!$A:$C,2,FALSE))</f>
        <v/>
      </c>
      <c r="I433" s="35">
        <f>IF(OR(G433="",G433="NOT ON LIST"),"",VLOOKUP(G433,Students!$A:$C,3,FALSE)&amp;"")</f>
        <v/>
      </c>
    </row>
    <row r="434">
      <c r="A434" s="31" t="n">
        <v>46332.60416666666</v>
      </c>
      <c r="B434" s="32" t="inlineStr">
        <is>
          <t>Amelia Alvarez</t>
        </is>
      </c>
      <c r="C434" s="32" t="inlineStr">
        <is>
          <t>Valentina Alvarez</t>
        </is>
      </c>
      <c r="D434" s="33" t="n">
        <v>10</v>
      </c>
      <c r="E434" s="32" t="inlineStr">
        <is>
          <t>OneCause</t>
        </is>
      </c>
      <c r="F434" s="34">
        <f>IF(A434="","",IFERROR(INT(A434),"check date"))</f>
        <v/>
      </c>
      <c r="G434" s="35">
        <f>IF(B434="","",IFERROR(INDEX(Students!$A:$A,MATCH(TRIM(B434),Students!$A:$A,0)),"NOT ON LIST"))</f>
        <v/>
      </c>
      <c r="H434" s="35">
        <f>IF(OR(G434="",G434="NOT ON LIST"),"",VLOOKUP(G434,Students!$A:$C,2,FALSE))</f>
        <v/>
      </c>
      <c r="I434" s="35">
        <f>IF(OR(G434="",G434="NOT ON LIST"),"",VLOOKUP(G434,Students!$A:$C,3,FALSE)&amp;"")</f>
        <v/>
      </c>
    </row>
    <row r="435">
      <c r="A435" s="31" t="n">
        <v>46325.48958333334</v>
      </c>
      <c r="B435" s="32" t="inlineStr">
        <is>
          <t>Joseph Gonzalez</t>
        </is>
      </c>
      <c r="C435" s="32" t="inlineStr">
        <is>
          <t>Isaac Gonzalez</t>
        </is>
      </c>
      <c r="D435" s="33" t="n">
        <v>100</v>
      </c>
      <c r="E435" s="32" t="inlineStr">
        <is>
          <t>OneCause</t>
        </is>
      </c>
      <c r="F435" s="34">
        <f>IF(A435="","",IFERROR(INT(A435),"check date"))</f>
        <v/>
      </c>
      <c r="G435" s="35">
        <f>IF(B435="","",IFERROR(INDEX(Students!$A:$A,MATCH(TRIM(B435),Students!$A:$A,0)),"NOT ON LIST"))</f>
        <v/>
      </c>
      <c r="H435" s="35">
        <f>IF(OR(G435="",G435="NOT ON LIST"),"",VLOOKUP(G435,Students!$A:$C,2,FALSE))</f>
        <v/>
      </c>
      <c r="I435" s="35">
        <f>IF(OR(G435="",G435="NOT ON LIST"),"",VLOOKUP(G435,Students!$A:$C,3,FALSE)&amp;"")</f>
        <v/>
      </c>
    </row>
    <row r="436">
      <c r="A436" s="31" t="n">
        <v>46336.85416666666</v>
      </c>
      <c r="B436" s="32" t="inlineStr">
        <is>
          <t>Elena Walsh</t>
        </is>
      </c>
      <c r="C436" s="32" t="inlineStr">
        <is>
          <t>Amelia Walsh</t>
        </is>
      </c>
      <c r="D436" s="33" t="n">
        <v>25</v>
      </c>
      <c r="E436" s="32" t="inlineStr">
        <is>
          <t>OneCause</t>
        </is>
      </c>
      <c r="F436" s="34">
        <f>IF(A436="","",IFERROR(INT(A436),"check date"))</f>
        <v/>
      </c>
      <c r="G436" s="35">
        <f>IF(B436="","",IFERROR(INDEX(Students!$A:$A,MATCH(TRIM(B436),Students!$A:$A,0)),"NOT ON LIST"))</f>
        <v/>
      </c>
      <c r="H436" s="35">
        <f>IF(OR(G436="",G436="NOT ON LIST"),"",VLOOKUP(G436,Students!$A:$C,2,FALSE))</f>
        <v/>
      </c>
      <c r="I436" s="35">
        <f>IF(OR(G436="",G436="NOT ON LIST"),"",VLOOKUP(G436,Students!$A:$C,3,FALSE)&amp;"")</f>
        <v/>
      </c>
    </row>
    <row r="437">
      <c r="A437" s="31" t="n">
        <v>46335.90625</v>
      </c>
      <c r="B437" s="32" t="inlineStr">
        <is>
          <t>Mateo Cruz</t>
        </is>
      </c>
      <c r="C437" s="32" t="inlineStr">
        <is>
          <t>Henry Cruz</t>
        </is>
      </c>
      <c r="D437" s="33" t="n">
        <v>25</v>
      </c>
      <c r="E437" s="32" t="inlineStr">
        <is>
          <t>OneCause</t>
        </is>
      </c>
      <c r="F437" s="34">
        <f>IF(A437="","",IFERROR(INT(A437),"check date"))</f>
        <v/>
      </c>
      <c r="G437" s="35">
        <f>IF(B437="","",IFERROR(INDEX(Students!$A:$A,MATCH(TRIM(B437),Students!$A:$A,0)),"NOT ON LIST"))</f>
        <v/>
      </c>
      <c r="H437" s="35">
        <f>IF(OR(G437="",G437="NOT ON LIST"),"",VLOOKUP(G437,Students!$A:$C,2,FALSE))</f>
        <v/>
      </c>
      <c r="I437" s="35">
        <f>IF(OR(G437="",G437="NOT ON LIST"),"",VLOOKUP(G437,Students!$A:$C,3,FALSE)&amp;"")</f>
        <v/>
      </c>
    </row>
    <row r="438">
      <c r="A438" s="31" t="n">
        <v>46329</v>
      </c>
      <c r="B438" s="32" t="inlineStr">
        <is>
          <t>Isaac Diaz</t>
        </is>
      </c>
      <c r="C438" s="32" t="inlineStr">
        <is>
          <t>Julian Diaz</t>
        </is>
      </c>
      <c r="D438" s="33" t="n">
        <v>25</v>
      </c>
      <c r="E438" s="32" t="inlineStr">
        <is>
          <t>Cash</t>
        </is>
      </c>
      <c r="F438" s="34">
        <f>IF(A438="","",IFERROR(INT(A438),"check date"))</f>
        <v/>
      </c>
      <c r="G438" s="35">
        <f>IF(B438="","",IFERROR(INDEX(Students!$A:$A,MATCH(TRIM(B438),Students!$A:$A,0)),"NOT ON LIST"))</f>
        <v/>
      </c>
      <c r="H438" s="35">
        <f>IF(OR(G438="",G438="NOT ON LIST"),"",VLOOKUP(G438,Students!$A:$C,2,FALSE))</f>
        <v/>
      </c>
      <c r="I438" s="35">
        <f>IF(OR(G438="",G438="NOT ON LIST"),"",VLOOKUP(G438,Students!$A:$C,3,FALSE)&amp;"")</f>
        <v/>
      </c>
    </row>
    <row r="439">
      <c r="A439" s="31" t="n">
        <v>46336.54166666666</v>
      </c>
      <c r="B439" s="32" t="inlineStr">
        <is>
          <t>Grace Reyes</t>
        </is>
      </c>
      <c r="C439" s="32" t="inlineStr">
        <is>
          <t>Zoe Reyes</t>
        </is>
      </c>
      <c r="D439" s="33" t="n">
        <v>50</v>
      </c>
      <c r="E439" s="32" t="inlineStr">
        <is>
          <t>OneCause</t>
        </is>
      </c>
      <c r="F439" s="34">
        <f>IF(A439="","",IFERROR(INT(A439),"check date"))</f>
        <v/>
      </c>
      <c r="G439" s="35">
        <f>IF(B439="","",IFERROR(INDEX(Students!$A:$A,MATCH(TRIM(B439),Students!$A:$A,0)),"NOT ON LIST"))</f>
        <v/>
      </c>
      <c r="H439" s="35">
        <f>IF(OR(G439="",G439="NOT ON LIST"),"",VLOOKUP(G439,Students!$A:$C,2,FALSE))</f>
        <v/>
      </c>
      <c r="I439" s="35">
        <f>IF(OR(G439="",G439="NOT ON LIST"),"",VLOOKUP(G439,Students!$A:$C,3,FALSE)&amp;"")</f>
        <v/>
      </c>
    </row>
    <row r="440">
      <c r="A440" s="31" t="n">
        <v>46330.54166666666</v>
      </c>
      <c r="B440" s="32" t="inlineStr">
        <is>
          <t>Mia Byrne</t>
        </is>
      </c>
      <c r="C440" s="32" t="inlineStr">
        <is>
          <t>Evelyn Byrne</t>
        </is>
      </c>
      <c r="D440" s="33" t="n">
        <v>75</v>
      </c>
      <c r="E440" s="32" t="inlineStr">
        <is>
          <t>OneCause</t>
        </is>
      </c>
      <c r="F440" s="34">
        <f>IF(A440="","",IFERROR(INT(A440),"check date"))</f>
        <v/>
      </c>
      <c r="G440" s="35">
        <f>IF(B440="","",IFERROR(INDEX(Students!$A:$A,MATCH(TRIM(B440),Students!$A:$A,0)),"NOT ON LIST"))</f>
        <v/>
      </c>
      <c r="H440" s="35">
        <f>IF(OR(G440="",G440="NOT ON LIST"),"",VLOOKUP(G440,Students!$A:$C,2,FALSE))</f>
        <v/>
      </c>
      <c r="I440" s="35">
        <f>IF(OR(G440="",G440="NOT ON LIST"),"",VLOOKUP(G440,Students!$A:$C,3,FALSE)&amp;"")</f>
        <v/>
      </c>
    </row>
    <row r="441">
      <c r="A441" s="31" t="n">
        <v>46335.3125</v>
      </c>
      <c r="B441" s="32" t="inlineStr">
        <is>
          <t>Elena Rivera</t>
        </is>
      </c>
      <c r="C441" s="32" t="inlineStr">
        <is>
          <t>Santiago Rivera</t>
        </is>
      </c>
      <c r="D441" s="33" t="n">
        <v>75</v>
      </c>
      <c r="E441" s="32" t="inlineStr">
        <is>
          <t>OneCause</t>
        </is>
      </c>
      <c r="F441" s="34">
        <f>IF(A441="","",IFERROR(INT(A441),"check date"))</f>
        <v/>
      </c>
      <c r="G441" s="35">
        <f>IF(B441="","",IFERROR(INDEX(Students!$A:$A,MATCH(TRIM(B441),Students!$A:$A,0)),"NOT ON LIST"))</f>
        <v/>
      </c>
      <c r="H441" s="35">
        <f>IF(OR(G441="",G441="NOT ON LIST"),"",VLOOKUP(G441,Students!$A:$C,2,FALSE))</f>
        <v/>
      </c>
      <c r="I441" s="35">
        <f>IF(OR(G441="",G441="NOT ON LIST"),"",VLOOKUP(G441,Students!$A:$C,3,FALSE)&amp;"")</f>
        <v/>
      </c>
    </row>
    <row r="442">
      <c r="A442" s="31" t="n">
        <v>46337.67708333334</v>
      </c>
      <c r="B442" s="32" t="inlineStr">
        <is>
          <t>Isaac Torres</t>
        </is>
      </c>
      <c r="C442" s="32" t="inlineStr">
        <is>
          <t>Diego Torres</t>
        </is>
      </c>
      <c r="D442" s="33" t="n">
        <v>100</v>
      </c>
      <c r="E442" s="32" t="inlineStr">
        <is>
          <t>OneCause</t>
        </is>
      </c>
      <c r="F442" s="34">
        <f>IF(A442="","",IFERROR(INT(A442),"check date"))</f>
        <v/>
      </c>
      <c r="G442" s="35">
        <f>IF(B442="","",IFERROR(INDEX(Students!$A:$A,MATCH(TRIM(B442),Students!$A:$A,0)),"NOT ON LIST"))</f>
        <v/>
      </c>
      <c r="H442" s="35">
        <f>IF(OR(G442="",G442="NOT ON LIST"),"",VLOOKUP(G442,Students!$A:$C,2,FALSE))</f>
        <v/>
      </c>
      <c r="I442" s="35">
        <f>IF(OR(G442="",G442="NOT ON LIST"),"",VLOOKUP(G442,Students!$A:$C,3,FALSE)&amp;"")</f>
        <v/>
      </c>
    </row>
    <row r="443">
      <c r="A443" s="31" t="n">
        <v>46330.75</v>
      </c>
      <c r="B443" s="32" t="inlineStr">
        <is>
          <t>Henry Patel</t>
        </is>
      </c>
      <c r="C443" s="32" t="inlineStr">
        <is>
          <t>Elena Patel</t>
        </is>
      </c>
      <c r="D443" s="33" t="n">
        <v>50</v>
      </c>
      <c r="E443" s="32" t="inlineStr">
        <is>
          <t>OneCause</t>
        </is>
      </c>
      <c r="F443" s="34">
        <f>IF(A443="","",IFERROR(INT(A443),"check date"))</f>
        <v/>
      </c>
      <c r="G443" s="35">
        <f>IF(B443="","",IFERROR(INDEX(Students!$A:$A,MATCH(TRIM(B443),Students!$A:$A,0)),"NOT ON LIST"))</f>
        <v/>
      </c>
      <c r="H443" s="35">
        <f>IF(OR(G443="",G443="NOT ON LIST"),"",VLOOKUP(G443,Students!$A:$C,2,FALSE))</f>
        <v/>
      </c>
      <c r="I443" s="35">
        <f>IF(OR(G443="",G443="NOT ON LIST"),"",VLOOKUP(G443,Students!$A:$C,3,FALSE)&amp;"")</f>
        <v/>
      </c>
    </row>
    <row r="444">
      <c r="A444" s="31" t="n">
        <v>46339.82291666666</v>
      </c>
      <c r="B444" s="32" t="inlineStr">
        <is>
          <t>Emma Walsh</t>
        </is>
      </c>
      <c r="C444" s="32" t="inlineStr">
        <is>
          <t>Aria Walsh</t>
        </is>
      </c>
      <c r="D444" s="33" t="n">
        <v>20</v>
      </c>
      <c r="E444" s="32" t="inlineStr">
        <is>
          <t>OneCause</t>
        </is>
      </c>
      <c r="F444" s="34">
        <f>IF(A444="","",IFERROR(INT(A444),"check date"))</f>
        <v/>
      </c>
      <c r="G444" s="35">
        <f>IF(B444="","",IFERROR(INDEX(Students!$A:$A,MATCH(TRIM(B444),Students!$A:$A,0)),"NOT ON LIST"))</f>
        <v/>
      </c>
      <c r="H444" s="35">
        <f>IF(OR(G444="",G444="NOT ON LIST"),"",VLOOKUP(G444,Students!$A:$C,2,FALSE))</f>
        <v/>
      </c>
      <c r="I444" s="35">
        <f>IF(OR(G444="",G444="NOT ON LIST"),"",VLOOKUP(G444,Students!$A:$C,3,FALSE)&amp;"")</f>
        <v/>
      </c>
    </row>
    <row r="445">
      <c r="A445" s="31" t="n">
        <v>46332.30208333334</v>
      </c>
      <c r="B445" s="32" t="inlineStr">
        <is>
          <t>Lucas Vasquez</t>
        </is>
      </c>
      <c r="C445" s="32" t="inlineStr">
        <is>
          <t>Maya Vasquez</t>
        </is>
      </c>
      <c r="D445" s="33" t="n">
        <v>25</v>
      </c>
      <c r="E445" s="32" t="inlineStr">
        <is>
          <t>OneCause</t>
        </is>
      </c>
      <c r="F445" s="34">
        <f>IF(A445="","",IFERROR(INT(A445),"check date"))</f>
        <v/>
      </c>
      <c r="G445" s="35">
        <f>IF(B445="","",IFERROR(INDEX(Students!$A:$A,MATCH(TRIM(B445),Students!$A:$A,0)),"NOT ON LIST"))</f>
        <v/>
      </c>
      <c r="H445" s="35">
        <f>IF(OR(G445="",G445="NOT ON LIST"),"",VLOOKUP(G445,Students!$A:$C,2,FALSE))</f>
        <v/>
      </c>
      <c r="I445" s="35">
        <f>IF(OR(G445="",G445="NOT ON LIST"),"",VLOOKUP(G445,Students!$A:$C,3,FALSE)&amp;"")</f>
        <v/>
      </c>
    </row>
    <row r="446">
      <c r="A446" s="31" t="n">
        <v>46336.53125</v>
      </c>
      <c r="B446" s="32" t="inlineStr">
        <is>
          <t>Emma Walsh</t>
        </is>
      </c>
      <c r="C446" s="32" t="inlineStr">
        <is>
          <t>Nicolas Walsh</t>
        </is>
      </c>
      <c r="D446" s="33" t="n">
        <v>10</v>
      </c>
      <c r="E446" s="32" t="inlineStr">
        <is>
          <t>OneCause</t>
        </is>
      </c>
      <c r="F446" s="34">
        <f>IF(A446="","",IFERROR(INT(A446),"check date"))</f>
        <v/>
      </c>
      <c r="G446" s="35">
        <f>IF(B446="","",IFERROR(INDEX(Students!$A:$A,MATCH(TRIM(B446),Students!$A:$A,0)),"NOT ON LIST"))</f>
        <v/>
      </c>
      <c r="H446" s="35">
        <f>IF(OR(G446="",G446="NOT ON LIST"),"",VLOOKUP(G446,Students!$A:$C,2,FALSE))</f>
        <v/>
      </c>
      <c r="I446" s="35">
        <f>IF(OR(G446="",G446="NOT ON LIST"),"",VLOOKUP(G446,Students!$A:$C,3,FALSE)&amp;"")</f>
        <v/>
      </c>
    </row>
    <row r="447">
      <c r="A447" s="31" t="n">
        <v>46332.42708333334</v>
      </c>
      <c r="B447" s="32" t="inlineStr">
        <is>
          <t>Mateo Kelly</t>
        </is>
      </c>
      <c r="C447" s="32" t="inlineStr">
        <is>
          <t>Sofia Kelly</t>
        </is>
      </c>
      <c r="D447" s="33" t="n">
        <v>100</v>
      </c>
      <c r="E447" s="32" t="inlineStr">
        <is>
          <t>OneCause</t>
        </is>
      </c>
      <c r="F447" s="34">
        <f>IF(A447="","",IFERROR(INT(A447),"check date"))</f>
        <v/>
      </c>
      <c r="G447" s="35">
        <f>IF(B447="","",IFERROR(INDEX(Students!$A:$A,MATCH(TRIM(B447),Students!$A:$A,0)),"NOT ON LIST"))</f>
        <v/>
      </c>
      <c r="H447" s="35">
        <f>IF(OR(G447="",G447="NOT ON LIST"),"",VLOOKUP(G447,Students!$A:$C,2,FALSE))</f>
        <v/>
      </c>
      <c r="I447" s="35">
        <f>IF(OR(G447="",G447="NOT ON LIST"),"",VLOOKUP(G447,Students!$A:$C,3,FALSE)&amp;"")</f>
        <v/>
      </c>
    </row>
    <row r="448">
      <c r="A448" s="31" t="n">
        <v>46336.59375</v>
      </c>
      <c r="B448" s="32" t="inlineStr">
        <is>
          <t>Mia Patel</t>
        </is>
      </c>
      <c r="C448" s="32" t="inlineStr">
        <is>
          <t>Isabella Patel</t>
        </is>
      </c>
      <c r="D448" s="33" t="n">
        <v>50</v>
      </c>
      <c r="E448" s="32" t="inlineStr">
        <is>
          <t>OneCause</t>
        </is>
      </c>
      <c r="F448" s="34">
        <f>IF(A448="","",IFERROR(INT(A448),"check date"))</f>
        <v/>
      </c>
      <c r="G448" s="35">
        <f>IF(B448="","",IFERROR(INDEX(Students!$A:$A,MATCH(TRIM(B448),Students!$A:$A,0)),"NOT ON LIST"))</f>
        <v/>
      </c>
      <c r="H448" s="35">
        <f>IF(OR(G448="",G448="NOT ON LIST"),"",VLOOKUP(G448,Students!$A:$C,2,FALSE))</f>
        <v/>
      </c>
      <c r="I448" s="35">
        <f>IF(OR(G448="",G448="NOT ON LIST"),"",VLOOKUP(G448,Students!$A:$C,3,FALSE)&amp;"")</f>
        <v/>
      </c>
    </row>
    <row r="449">
      <c r="A449" s="31" t="n">
        <v>46336.72916666666</v>
      </c>
      <c r="B449" s="32" t="inlineStr">
        <is>
          <t>Leo Brown</t>
        </is>
      </c>
      <c r="C449" s="32" t="inlineStr">
        <is>
          <t>Daniel Brown</t>
        </is>
      </c>
      <c r="D449" s="33" t="n">
        <v>25</v>
      </c>
      <c r="E449" s="32" t="inlineStr">
        <is>
          <t>OneCause</t>
        </is>
      </c>
      <c r="F449" s="34">
        <f>IF(A449="","",IFERROR(INT(A449),"check date"))</f>
        <v/>
      </c>
      <c r="G449" s="35">
        <f>IF(B449="","",IFERROR(INDEX(Students!$A:$A,MATCH(TRIM(B449),Students!$A:$A,0)),"NOT ON LIST"))</f>
        <v/>
      </c>
      <c r="H449" s="35">
        <f>IF(OR(G449="",G449="NOT ON LIST"),"",VLOOKUP(G449,Students!$A:$C,2,FALSE))</f>
        <v/>
      </c>
      <c r="I449" s="35">
        <f>IF(OR(G449="",G449="NOT ON LIST"),"",VLOOKUP(G449,Students!$A:$C,3,FALSE)&amp;"")</f>
        <v/>
      </c>
    </row>
    <row r="450">
      <c r="A450" s="31" t="n">
        <v>46336.40625</v>
      </c>
      <c r="B450" s="32" t="inlineStr">
        <is>
          <t>Aria O'Brien</t>
        </is>
      </c>
      <c r="C450" s="32" t="inlineStr">
        <is>
          <t>Ella O'Brien</t>
        </is>
      </c>
      <c r="D450" s="33" t="n">
        <v>100</v>
      </c>
      <c r="E450" s="32" t="inlineStr">
        <is>
          <t>OneCause</t>
        </is>
      </c>
      <c r="F450" s="34">
        <f>IF(A450="","",IFERROR(INT(A450),"check date"))</f>
        <v/>
      </c>
      <c r="G450" s="35">
        <f>IF(B450="","",IFERROR(INDEX(Students!$A:$A,MATCH(TRIM(B450),Students!$A:$A,0)),"NOT ON LIST"))</f>
        <v/>
      </c>
      <c r="H450" s="35">
        <f>IF(OR(G450="",G450="NOT ON LIST"),"",VLOOKUP(G450,Students!$A:$C,2,FALSE))</f>
        <v/>
      </c>
      <c r="I450" s="35">
        <f>IF(OR(G450="",G450="NOT ON LIST"),"",VLOOKUP(G450,Students!$A:$C,3,FALSE)&amp;"")</f>
        <v/>
      </c>
    </row>
    <row r="451">
      <c r="A451" s="31" t="n">
        <v>46333</v>
      </c>
      <c r="B451" s="32" t="inlineStr">
        <is>
          <t>Daniel Morales</t>
        </is>
      </c>
      <c r="C451" s="32" t="inlineStr">
        <is>
          <t>Henry Morales</t>
        </is>
      </c>
      <c r="D451" s="33" t="n">
        <v>25</v>
      </c>
      <c r="E451" s="32" t="inlineStr">
        <is>
          <t>Check</t>
        </is>
      </c>
      <c r="F451" s="34">
        <f>IF(A451="","",IFERROR(INT(A451),"check date"))</f>
        <v/>
      </c>
      <c r="G451" s="35">
        <f>IF(B451="","",IFERROR(INDEX(Students!$A:$A,MATCH(TRIM(B451),Students!$A:$A,0)),"NOT ON LIST"))</f>
        <v/>
      </c>
      <c r="H451" s="35">
        <f>IF(OR(G451="",G451="NOT ON LIST"),"",VLOOKUP(G451,Students!$A:$C,2,FALSE))</f>
        <v/>
      </c>
      <c r="I451" s="35">
        <f>IF(OR(G451="",G451="NOT ON LIST"),"",VLOOKUP(G451,Students!$A:$C,3,FALSE)&amp;"")</f>
        <v/>
      </c>
    </row>
    <row r="452">
      <c r="A452" s="31" t="n">
        <v>46339.41666666666</v>
      </c>
      <c r="B452" s="32" t="inlineStr">
        <is>
          <t>Aria Diaz</t>
        </is>
      </c>
      <c r="C452" s="32" t="inlineStr">
        <is>
          <t>Lucas Diaz</t>
        </is>
      </c>
      <c r="D452" s="33" t="n">
        <v>10</v>
      </c>
      <c r="E452" s="32" t="inlineStr">
        <is>
          <t>OneCause</t>
        </is>
      </c>
      <c r="F452" s="34">
        <f>IF(A452="","",IFERROR(INT(A452),"check date"))</f>
        <v/>
      </c>
      <c r="G452" s="35">
        <f>IF(B452="","",IFERROR(INDEX(Students!$A:$A,MATCH(TRIM(B452),Students!$A:$A,0)),"NOT ON LIST"))</f>
        <v/>
      </c>
      <c r="H452" s="35">
        <f>IF(OR(G452="",G452="NOT ON LIST"),"",VLOOKUP(G452,Students!$A:$C,2,FALSE))</f>
        <v/>
      </c>
      <c r="I452" s="35">
        <f>IF(OR(G452="",G452="NOT ON LIST"),"",VLOOKUP(G452,Students!$A:$C,3,FALSE)&amp;"")</f>
        <v/>
      </c>
    </row>
    <row r="453">
      <c r="A453" s="31" t="n">
        <v>46338.51041666666</v>
      </c>
      <c r="B453" s="32" t="inlineStr">
        <is>
          <t>Joseph Gonzalez</t>
        </is>
      </c>
      <c r="C453" s="32" t="inlineStr">
        <is>
          <t>Mateo Gonzalez</t>
        </is>
      </c>
      <c r="D453" s="33" t="n">
        <v>50</v>
      </c>
      <c r="E453" s="32" t="inlineStr">
        <is>
          <t>OneCause</t>
        </is>
      </c>
      <c r="F453" s="34">
        <f>IF(A453="","",IFERROR(INT(A453),"check date"))</f>
        <v/>
      </c>
      <c r="G453" s="35">
        <f>IF(B453="","",IFERROR(INDEX(Students!$A:$A,MATCH(TRIM(B453),Students!$A:$A,0)),"NOT ON LIST"))</f>
        <v/>
      </c>
      <c r="H453" s="35">
        <f>IF(OR(G453="",G453="NOT ON LIST"),"",VLOOKUP(G453,Students!$A:$C,2,FALSE))</f>
        <v/>
      </c>
      <c r="I453" s="35">
        <f>IF(OR(G453="",G453="NOT ON LIST"),"",VLOOKUP(G453,Students!$A:$C,3,FALSE)&amp;"")</f>
        <v/>
      </c>
    </row>
    <row r="454">
      <c r="A454" s="31" t="n">
        <v>46335.88541666666</v>
      </c>
      <c r="B454" s="32" t="inlineStr">
        <is>
          <t>Aria Kim</t>
        </is>
      </c>
      <c r="C454" s="32" t="inlineStr">
        <is>
          <t>Isaac Kim</t>
        </is>
      </c>
      <c r="D454" s="33" t="n">
        <v>25</v>
      </c>
      <c r="E454" s="32" t="inlineStr">
        <is>
          <t>OneCause</t>
        </is>
      </c>
      <c r="F454" s="34">
        <f>IF(A454="","",IFERROR(INT(A454),"check date"))</f>
        <v/>
      </c>
      <c r="G454" s="35">
        <f>IF(B454="","",IFERROR(INDEX(Students!$A:$A,MATCH(TRIM(B454),Students!$A:$A,0)),"NOT ON LIST"))</f>
        <v/>
      </c>
      <c r="H454" s="35">
        <f>IF(OR(G454="",G454="NOT ON LIST"),"",VLOOKUP(G454,Students!$A:$C,2,FALSE))</f>
        <v/>
      </c>
      <c r="I454" s="35">
        <f>IF(OR(G454="",G454="NOT ON LIST"),"",VLOOKUP(G454,Students!$A:$C,3,FALSE)&amp;"")</f>
        <v/>
      </c>
    </row>
    <row r="455">
      <c r="A455" s="31" t="n">
        <v>46331.80208333334</v>
      </c>
      <c r="B455" s="32" t="inlineStr">
        <is>
          <t>Thomas Patel</t>
        </is>
      </c>
      <c r="C455" s="32" t="inlineStr">
        <is>
          <t>Sofia Patel</t>
        </is>
      </c>
      <c r="D455" s="33" t="n">
        <v>150</v>
      </c>
      <c r="E455" s="32" t="inlineStr">
        <is>
          <t>OneCause</t>
        </is>
      </c>
      <c r="F455" s="34">
        <f>IF(A455="","",IFERROR(INT(A455),"check date"))</f>
        <v/>
      </c>
      <c r="G455" s="35">
        <f>IF(B455="","",IFERROR(INDEX(Students!$A:$A,MATCH(TRIM(B455),Students!$A:$A,0)),"NOT ON LIST"))</f>
        <v/>
      </c>
      <c r="H455" s="35">
        <f>IF(OR(G455="",G455="NOT ON LIST"),"",VLOOKUP(G455,Students!$A:$C,2,FALSE))</f>
        <v/>
      </c>
      <c r="I455" s="35">
        <f>IF(OR(G455="",G455="NOT ON LIST"),"",VLOOKUP(G455,Students!$A:$C,3,FALSE)&amp;"")</f>
        <v/>
      </c>
    </row>
    <row r="456">
      <c r="A456" s="31" t="n">
        <v>46339.78125</v>
      </c>
      <c r="B456" s="32" t="inlineStr">
        <is>
          <t>Isaac Rodriguez</t>
        </is>
      </c>
      <c r="C456" s="32" t="inlineStr">
        <is>
          <t>Diego Rodriguez</t>
        </is>
      </c>
      <c r="D456" s="33" t="n">
        <v>25</v>
      </c>
      <c r="E456" s="32" t="inlineStr">
        <is>
          <t>OneCause</t>
        </is>
      </c>
      <c r="F456" s="34">
        <f>IF(A456="","",IFERROR(INT(A456),"check date"))</f>
        <v/>
      </c>
      <c r="G456" s="35">
        <f>IF(B456="","",IFERROR(INDEX(Students!$A:$A,MATCH(TRIM(B456),Students!$A:$A,0)),"NOT ON LIST"))</f>
        <v/>
      </c>
      <c r="H456" s="35">
        <f>IF(OR(G456="",G456="NOT ON LIST"),"",VLOOKUP(G456,Students!$A:$C,2,FALSE))</f>
        <v/>
      </c>
      <c r="I456" s="35">
        <f>IF(OR(G456="",G456="NOT ON LIST"),"",VLOOKUP(G456,Students!$A:$C,3,FALSE)&amp;"")</f>
        <v/>
      </c>
    </row>
    <row r="457">
      <c r="A457" s="31" t="n">
        <v>46339.38541666666</v>
      </c>
      <c r="B457" s="32" t="inlineStr">
        <is>
          <t>Clara Lopez</t>
        </is>
      </c>
      <c r="C457" s="32" t="inlineStr">
        <is>
          <t>Isaac Lopez</t>
        </is>
      </c>
      <c r="D457" s="33" t="n">
        <v>150</v>
      </c>
      <c r="E457" s="32" t="inlineStr">
        <is>
          <t>OneCause</t>
        </is>
      </c>
      <c r="F457" s="34">
        <f>IF(A457="","",IFERROR(INT(A457),"check date"))</f>
        <v/>
      </c>
      <c r="G457" s="35">
        <f>IF(B457="","",IFERROR(INDEX(Students!$A:$A,MATCH(TRIM(B457),Students!$A:$A,0)),"NOT ON LIST"))</f>
        <v/>
      </c>
      <c r="H457" s="35">
        <f>IF(OR(G457="",G457="NOT ON LIST"),"",VLOOKUP(G457,Students!$A:$C,2,FALSE))</f>
        <v/>
      </c>
      <c r="I457" s="35">
        <f>IF(OR(G457="",G457="NOT ON LIST"),"",VLOOKUP(G457,Students!$A:$C,3,FALSE)&amp;"")</f>
        <v/>
      </c>
    </row>
    <row r="458">
      <c r="A458" s="31" t="n">
        <v>46339.90625</v>
      </c>
      <c r="B458" s="32" t="inlineStr">
        <is>
          <t>Thomas Gutierrez</t>
        </is>
      </c>
      <c r="C458" s="32" t="inlineStr">
        <is>
          <t>James Gutierrez</t>
        </is>
      </c>
      <c r="D458" s="33" t="n">
        <v>25</v>
      </c>
      <c r="E458" s="32" t="inlineStr">
        <is>
          <t>OneCause</t>
        </is>
      </c>
      <c r="F458" s="34">
        <f>IF(A458="","",IFERROR(INT(A458),"check date"))</f>
        <v/>
      </c>
      <c r="G458" s="35">
        <f>IF(B458="","",IFERROR(INDEX(Students!$A:$A,MATCH(TRIM(B458),Students!$A:$A,0)),"NOT ON LIST"))</f>
        <v/>
      </c>
      <c r="H458" s="35">
        <f>IF(OR(G458="",G458="NOT ON LIST"),"",VLOOKUP(G458,Students!$A:$C,2,FALSE))</f>
        <v/>
      </c>
      <c r="I458" s="35">
        <f>IF(OR(G458="",G458="NOT ON LIST"),"",VLOOKUP(G458,Students!$A:$C,3,FALSE)&amp;"")</f>
        <v/>
      </c>
    </row>
    <row r="459">
      <c r="A459" s="31" t="n">
        <v>46325.42708333334</v>
      </c>
      <c r="B459" s="32" t="inlineStr">
        <is>
          <t>Valentina Hernandez</t>
        </is>
      </c>
      <c r="C459" s="32" t="inlineStr">
        <is>
          <t>Benjamin Hernandez</t>
        </is>
      </c>
      <c r="D459" s="33" t="n">
        <v>50</v>
      </c>
      <c r="E459" s="32" t="inlineStr">
        <is>
          <t>OneCause</t>
        </is>
      </c>
      <c r="F459" s="34">
        <f>IF(A459="","",IFERROR(INT(A459),"check date"))</f>
        <v/>
      </c>
      <c r="G459" s="35">
        <f>IF(B459="","",IFERROR(INDEX(Students!$A:$A,MATCH(TRIM(B459),Students!$A:$A,0)),"NOT ON LIST"))</f>
        <v/>
      </c>
      <c r="H459" s="35">
        <f>IF(OR(G459="",G459="NOT ON LIST"),"",VLOOKUP(G459,Students!$A:$C,2,FALSE))</f>
        <v/>
      </c>
      <c r="I459" s="35">
        <f>IF(OR(G459="",G459="NOT ON LIST"),"",VLOOKUP(G459,Students!$A:$C,3,FALSE)&amp;"")</f>
        <v/>
      </c>
    </row>
    <row r="460">
      <c r="A460" s="31" t="n">
        <v>46339.47916666666</v>
      </c>
      <c r="B460" s="32" t="inlineStr">
        <is>
          <t>Isaac Byrne</t>
        </is>
      </c>
      <c r="C460" s="32" t="inlineStr">
        <is>
          <t>Liam Byrne</t>
        </is>
      </c>
      <c r="D460" s="33" t="n">
        <v>25</v>
      </c>
      <c r="E460" s="32" t="inlineStr">
        <is>
          <t>OneCause</t>
        </is>
      </c>
      <c r="F460" s="34">
        <f>IF(A460="","",IFERROR(INT(A460),"check date"))</f>
        <v/>
      </c>
      <c r="G460" s="35">
        <f>IF(B460="","",IFERROR(INDEX(Students!$A:$A,MATCH(TRIM(B460),Students!$A:$A,0)),"NOT ON LIST"))</f>
        <v/>
      </c>
      <c r="H460" s="35">
        <f>IF(OR(G460="",G460="NOT ON LIST"),"",VLOOKUP(G460,Students!$A:$C,2,FALSE))</f>
        <v/>
      </c>
      <c r="I460" s="35">
        <f>IF(OR(G460="",G460="NOT ON LIST"),"",VLOOKUP(G460,Students!$A:$C,3,FALSE)&amp;"")</f>
        <v/>
      </c>
    </row>
    <row r="461">
      <c r="A461" s="31" t="n">
        <v>46332.80208333334</v>
      </c>
      <c r="B461" s="32" t="inlineStr">
        <is>
          <t>Luna Byrne</t>
        </is>
      </c>
      <c r="C461" s="32" t="inlineStr">
        <is>
          <t>Mia Byrne</t>
        </is>
      </c>
      <c r="D461" s="33" t="n">
        <v>25</v>
      </c>
      <c r="E461" s="32" t="inlineStr">
        <is>
          <t>OneCause</t>
        </is>
      </c>
      <c r="F461" s="34">
        <f>IF(A461="","",IFERROR(INT(A461),"check date"))</f>
        <v/>
      </c>
      <c r="G461" s="35">
        <f>IF(B461="","",IFERROR(INDEX(Students!$A:$A,MATCH(TRIM(B461),Students!$A:$A,0)),"NOT ON LIST"))</f>
        <v/>
      </c>
      <c r="H461" s="35">
        <f>IF(OR(G461="",G461="NOT ON LIST"),"",VLOOKUP(G461,Students!$A:$C,2,FALSE))</f>
        <v/>
      </c>
      <c r="I461" s="35">
        <f>IF(OR(G461="",G461="NOT ON LIST"),"",VLOOKUP(G461,Students!$A:$C,3,FALSE)&amp;"")</f>
        <v/>
      </c>
    </row>
    <row r="462">
      <c r="A462" s="31" t="n">
        <v>46339.78125</v>
      </c>
      <c r="B462" s="32" t="inlineStr">
        <is>
          <t>Evelyn Gonzalez</t>
        </is>
      </c>
      <c r="C462" s="32" t="inlineStr">
        <is>
          <t>Samuel Gonzalez</t>
        </is>
      </c>
      <c r="D462" s="33" t="n">
        <v>40</v>
      </c>
      <c r="E462" s="32" t="inlineStr">
        <is>
          <t>OneCause</t>
        </is>
      </c>
      <c r="F462" s="34">
        <f>IF(A462="","",IFERROR(INT(A462),"check date"))</f>
        <v/>
      </c>
      <c r="G462" s="35">
        <f>IF(B462="","",IFERROR(INDEX(Students!$A:$A,MATCH(TRIM(B462),Students!$A:$A,0)),"NOT ON LIST"))</f>
        <v/>
      </c>
      <c r="H462" s="35">
        <f>IF(OR(G462="",G462="NOT ON LIST"),"",VLOOKUP(G462,Students!$A:$C,2,FALSE))</f>
        <v/>
      </c>
      <c r="I462" s="35">
        <f>IF(OR(G462="",G462="NOT ON LIST"),"",VLOOKUP(G462,Students!$A:$C,3,FALSE)&amp;"")</f>
        <v/>
      </c>
    </row>
    <row r="463">
      <c r="A463" s="31" t="n">
        <v>46325.69791666666</v>
      </c>
      <c r="B463" s="32" t="inlineStr">
        <is>
          <t>James Alvarez</t>
        </is>
      </c>
      <c r="C463" s="32" t="inlineStr">
        <is>
          <t>Elena Alvarez</t>
        </is>
      </c>
      <c r="D463" s="33" t="n">
        <v>100</v>
      </c>
      <c r="E463" s="32" t="inlineStr">
        <is>
          <t>OneCause</t>
        </is>
      </c>
      <c r="F463" s="34">
        <f>IF(A463="","",IFERROR(INT(A463),"check date"))</f>
        <v/>
      </c>
      <c r="G463" s="35">
        <f>IF(B463="","",IFERROR(INDEX(Students!$A:$A,MATCH(TRIM(B463),Students!$A:$A,0)),"NOT ON LIST"))</f>
        <v/>
      </c>
      <c r="H463" s="35">
        <f>IF(OR(G463="",G463="NOT ON LIST"),"",VLOOKUP(G463,Students!$A:$C,2,FALSE))</f>
        <v/>
      </c>
      <c r="I463" s="35">
        <f>IF(OR(G463="",G463="NOT ON LIST"),"",VLOOKUP(G463,Students!$A:$C,3,FALSE)&amp;"")</f>
        <v/>
      </c>
    </row>
    <row r="464">
      <c r="A464" s="31" t="n">
        <v>46327.48958333334</v>
      </c>
      <c r="B464" s="32" t="inlineStr">
        <is>
          <t>Harper Brown</t>
        </is>
      </c>
      <c r="C464" s="32" t="inlineStr">
        <is>
          <t>David Brown</t>
        </is>
      </c>
      <c r="D464" s="33" t="n">
        <v>40</v>
      </c>
      <c r="E464" s="32" t="inlineStr">
        <is>
          <t>OneCause</t>
        </is>
      </c>
      <c r="F464" s="34">
        <f>IF(A464="","",IFERROR(INT(A464),"check date"))</f>
        <v/>
      </c>
      <c r="G464" s="35">
        <f>IF(B464="","",IFERROR(INDEX(Students!$A:$A,MATCH(TRIM(B464),Students!$A:$A,0)),"NOT ON LIST"))</f>
        <v/>
      </c>
      <c r="H464" s="35">
        <f>IF(OR(G464="",G464="NOT ON LIST"),"",VLOOKUP(G464,Students!$A:$C,2,FALSE))</f>
        <v/>
      </c>
      <c r="I464" s="35">
        <f>IF(OR(G464="",G464="NOT ON LIST"),"",VLOOKUP(G464,Students!$A:$C,3,FALSE)&amp;"")</f>
        <v/>
      </c>
    </row>
    <row r="465">
      <c r="A465" s="31" t="n">
        <v>46339.5625</v>
      </c>
      <c r="B465" s="32" t="inlineStr">
        <is>
          <t>Ava Gomez</t>
        </is>
      </c>
      <c r="C465" s="32" t="inlineStr">
        <is>
          <t>Leo Gomez</t>
        </is>
      </c>
      <c r="D465" s="33" t="n">
        <v>50</v>
      </c>
      <c r="E465" s="32" t="inlineStr">
        <is>
          <t>OneCause</t>
        </is>
      </c>
      <c r="F465" s="34">
        <f>IF(A465="","",IFERROR(INT(A465),"check date"))</f>
        <v/>
      </c>
      <c r="G465" s="35">
        <f>IF(B465="","",IFERROR(INDEX(Students!$A:$A,MATCH(TRIM(B465),Students!$A:$A,0)),"NOT ON LIST"))</f>
        <v/>
      </c>
      <c r="H465" s="35">
        <f>IF(OR(G465="",G465="NOT ON LIST"),"",VLOOKUP(G465,Students!$A:$C,2,FALSE))</f>
        <v/>
      </c>
      <c r="I465" s="35">
        <f>IF(OR(G465="",G465="NOT ON LIST"),"",VLOOKUP(G465,Students!$A:$C,3,FALSE)&amp;"")</f>
        <v/>
      </c>
    </row>
    <row r="466">
      <c r="A466" s="31" t="n">
        <v>46329.41666666666</v>
      </c>
      <c r="B466" s="32" t="inlineStr">
        <is>
          <t>James Brown</t>
        </is>
      </c>
      <c r="C466" s="32" t="inlineStr">
        <is>
          <t>David Brown</t>
        </is>
      </c>
      <c r="D466" s="33" t="n">
        <v>100</v>
      </c>
      <c r="E466" s="32" t="inlineStr">
        <is>
          <t>OneCause</t>
        </is>
      </c>
      <c r="F466" s="34">
        <f>IF(A466="","",IFERROR(INT(A466),"check date"))</f>
        <v/>
      </c>
      <c r="G466" s="35">
        <f>IF(B466="","",IFERROR(INDEX(Students!$A:$A,MATCH(TRIM(B466),Students!$A:$A,0)),"NOT ON LIST"))</f>
        <v/>
      </c>
      <c r="H466" s="35">
        <f>IF(OR(G466="",G466="NOT ON LIST"),"",VLOOKUP(G466,Students!$A:$C,2,FALSE))</f>
        <v/>
      </c>
      <c r="I466" s="35">
        <f>IF(OR(G466="",G466="NOT ON LIST"),"",VLOOKUP(G466,Students!$A:$C,3,FALSE)&amp;"")</f>
        <v/>
      </c>
    </row>
    <row r="467">
      <c r="A467" s="31" t="n">
        <v>46338.53125</v>
      </c>
      <c r="B467" s="32" t="inlineStr">
        <is>
          <t>Samuel Diaz</t>
        </is>
      </c>
      <c r="C467" s="32" t="inlineStr">
        <is>
          <t>Leo Diaz</t>
        </is>
      </c>
      <c r="D467" s="33" t="n">
        <v>25</v>
      </c>
      <c r="E467" s="32" t="inlineStr">
        <is>
          <t>OneCause</t>
        </is>
      </c>
      <c r="F467" s="34">
        <f>IF(A467="","",IFERROR(INT(A467),"check date"))</f>
        <v/>
      </c>
      <c r="G467" s="35">
        <f>IF(B467="","",IFERROR(INDEX(Students!$A:$A,MATCH(TRIM(B467),Students!$A:$A,0)),"NOT ON LIST"))</f>
        <v/>
      </c>
      <c r="H467" s="35">
        <f>IF(OR(G467="",G467="NOT ON LIST"),"",VLOOKUP(G467,Students!$A:$C,2,FALSE))</f>
        <v/>
      </c>
      <c r="I467" s="35">
        <f>IF(OR(G467="",G467="NOT ON LIST"),"",VLOOKUP(G467,Students!$A:$C,3,FALSE)&amp;"")</f>
        <v/>
      </c>
    </row>
    <row r="468">
      <c r="A468" s="31" t="n">
        <v>46330.42708333334</v>
      </c>
      <c r="B468" s="32" t="inlineStr">
        <is>
          <t>Santiago Alvarez</t>
        </is>
      </c>
      <c r="C468" s="32" t="inlineStr">
        <is>
          <t>Henry Alvarez</t>
        </is>
      </c>
      <c r="D468" s="33" t="n">
        <v>50</v>
      </c>
      <c r="E468" s="32" t="inlineStr">
        <is>
          <t>OneCause</t>
        </is>
      </c>
      <c r="F468" s="34">
        <f>IF(A468="","",IFERROR(INT(A468),"check date"))</f>
        <v/>
      </c>
      <c r="G468" s="35">
        <f>IF(B468="","",IFERROR(INDEX(Students!$A:$A,MATCH(TRIM(B468),Students!$A:$A,0)),"NOT ON LIST"))</f>
        <v/>
      </c>
      <c r="H468" s="35">
        <f>IF(OR(G468="",G468="NOT ON LIST"),"",VLOOKUP(G468,Students!$A:$C,2,FALSE))</f>
        <v/>
      </c>
      <c r="I468" s="35">
        <f>IF(OR(G468="",G468="NOT ON LIST"),"",VLOOKUP(G468,Students!$A:$C,3,FALSE)&amp;"")</f>
        <v/>
      </c>
    </row>
    <row r="469">
      <c r="A469" s="31" t="n">
        <v>46333.40625</v>
      </c>
      <c r="B469" s="32" t="inlineStr">
        <is>
          <t>Joseph Gonzalez</t>
        </is>
      </c>
      <c r="C469" s="32" t="inlineStr">
        <is>
          <t>Zoe Gonzalez</t>
        </is>
      </c>
      <c r="D469" s="33" t="n">
        <v>10</v>
      </c>
      <c r="E469" s="32" t="inlineStr">
        <is>
          <t>OneCause</t>
        </is>
      </c>
      <c r="F469" s="34">
        <f>IF(A469="","",IFERROR(INT(A469),"check date"))</f>
        <v/>
      </c>
      <c r="G469" s="35">
        <f>IF(B469="","",IFERROR(INDEX(Students!$A:$A,MATCH(TRIM(B469),Students!$A:$A,0)),"NOT ON LIST"))</f>
        <v/>
      </c>
      <c r="H469" s="35">
        <f>IF(OR(G469="",G469="NOT ON LIST"),"",VLOOKUP(G469,Students!$A:$C,2,FALSE))</f>
        <v/>
      </c>
      <c r="I469" s="35">
        <f>IF(OR(G469="",G469="NOT ON LIST"),"",VLOOKUP(G469,Students!$A:$C,3,FALSE)&amp;"")</f>
        <v/>
      </c>
    </row>
    <row r="470">
      <c r="A470" s="31" t="n">
        <v>46337.32291666666</v>
      </c>
      <c r="B470" s="32" t="inlineStr">
        <is>
          <t>Julian Cruz</t>
        </is>
      </c>
      <c r="C470" s="32" t="inlineStr">
        <is>
          <t>Samuel Cruz</t>
        </is>
      </c>
      <c r="D470" s="33" t="n">
        <v>150</v>
      </c>
      <c r="E470" s="32" t="inlineStr">
        <is>
          <t>OneCause</t>
        </is>
      </c>
      <c r="F470" s="34">
        <f>IF(A470="","",IFERROR(INT(A470),"check date"))</f>
        <v/>
      </c>
      <c r="G470" s="35">
        <f>IF(B470="","",IFERROR(INDEX(Students!$A:$A,MATCH(TRIM(B470),Students!$A:$A,0)),"NOT ON LIST"))</f>
        <v/>
      </c>
      <c r="H470" s="35">
        <f>IF(OR(G470="",G470="NOT ON LIST"),"",VLOOKUP(G470,Students!$A:$C,2,FALSE))</f>
        <v/>
      </c>
      <c r="I470" s="35">
        <f>IF(OR(G470="",G470="NOT ON LIST"),"",VLOOKUP(G470,Students!$A:$C,3,FALSE)&amp;"")</f>
        <v/>
      </c>
    </row>
    <row r="471">
      <c r="A471" s="31" t="n">
        <v>46335.6875</v>
      </c>
      <c r="B471" s="32" t="inlineStr">
        <is>
          <t>Mateo Diaz</t>
        </is>
      </c>
      <c r="C471" s="32" t="inlineStr">
        <is>
          <t>Ella Diaz</t>
        </is>
      </c>
      <c r="D471" s="33" t="n">
        <v>20</v>
      </c>
      <c r="E471" s="32" t="inlineStr">
        <is>
          <t>OneCause</t>
        </is>
      </c>
      <c r="F471" s="34">
        <f>IF(A471="","",IFERROR(INT(A471),"check date"))</f>
        <v/>
      </c>
      <c r="G471" s="35">
        <f>IF(B471="","",IFERROR(INDEX(Students!$A:$A,MATCH(TRIM(B471),Students!$A:$A,0)),"NOT ON LIST"))</f>
        <v/>
      </c>
      <c r="H471" s="35">
        <f>IF(OR(G471="",G471="NOT ON LIST"),"",VLOOKUP(G471,Students!$A:$C,2,FALSE))</f>
        <v/>
      </c>
      <c r="I471" s="35">
        <f>IF(OR(G471="",G471="NOT ON LIST"),"",VLOOKUP(G471,Students!$A:$C,3,FALSE)&amp;"")</f>
        <v/>
      </c>
    </row>
    <row r="472">
      <c r="A472" s="31" t="n">
        <v>46325.63541666666</v>
      </c>
      <c r="B472" s="32" t="inlineStr">
        <is>
          <t>Chloe Reyes</t>
        </is>
      </c>
      <c r="C472" s="32" t="inlineStr">
        <is>
          <t>Isabella Reyes</t>
        </is>
      </c>
      <c r="D472" s="33" t="n">
        <v>25</v>
      </c>
      <c r="E472" s="32" t="inlineStr">
        <is>
          <t>OneCause</t>
        </is>
      </c>
      <c r="F472" s="34">
        <f>IF(A472="","",IFERROR(INT(A472),"check date"))</f>
        <v/>
      </c>
      <c r="G472" s="35">
        <f>IF(B472="","",IFERROR(INDEX(Students!$A:$A,MATCH(TRIM(B472),Students!$A:$A,0)),"NOT ON LIST"))</f>
        <v/>
      </c>
      <c r="H472" s="35">
        <f>IF(OR(G472="",G472="NOT ON LIST"),"",VLOOKUP(G472,Students!$A:$C,2,FALSE))</f>
        <v/>
      </c>
      <c r="I472" s="35">
        <f>IF(OR(G472="",G472="NOT ON LIST"),"",VLOOKUP(G472,Students!$A:$C,3,FALSE)&amp;"")</f>
        <v/>
      </c>
    </row>
    <row r="473">
      <c r="A473" s="31" t="n">
        <v>46326.52083333334</v>
      </c>
      <c r="B473" s="32" t="inlineStr">
        <is>
          <t>Emma Sullivan</t>
        </is>
      </c>
      <c r="C473" s="32" t="inlineStr">
        <is>
          <t>Zoe Sullivan</t>
        </is>
      </c>
      <c r="D473" s="33" t="n">
        <v>50</v>
      </c>
      <c r="E473" s="32" t="inlineStr">
        <is>
          <t>OneCause</t>
        </is>
      </c>
      <c r="F473" s="34">
        <f>IF(A473="","",IFERROR(INT(A473),"check date"))</f>
        <v/>
      </c>
      <c r="G473" s="35">
        <f>IF(B473="","",IFERROR(INDEX(Students!$A:$A,MATCH(TRIM(B473),Students!$A:$A,0)),"NOT ON LIST"))</f>
        <v/>
      </c>
      <c r="H473" s="35">
        <f>IF(OR(G473="",G473="NOT ON LIST"),"",VLOOKUP(G473,Students!$A:$C,2,FALSE))</f>
        <v/>
      </c>
      <c r="I473" s="35">
        <f>IF(OR(G473="",G473="NOT ON LIST"),"",VLOOKUP(G473,Students!$A:$C,3,FALSE)&amp;"")</f>
        <v/>
      </c>
    </row>
    <row r="474">
      <c r="A474" s="31" t="n">
        <v>46339.48958333334</v>
      </c>
      <c r="B474" s="32" t="inlineStr">
        <is>
          <t>Aria Gonzalez</t>
        </is>
      </c>
      <c r="C474" s="32" t="inlineStr">
        <is>
          <t>Maya Gonzalez</t>
        </is>
      </c>
      <c r="D474" s="33" t="n">
        <v>40</v>
      </c>
      <c r="E474" s="32" t="inlineStr">
        <is>
          <t>OneCause</t>
        </is>
      </c>
      <c r="F474" s="34">
        <f>IF(A474="","",IFERROR(INT(A474),"check date"))</f>
        <v/>
      </c>
      <c r="G474" s="35">
        <f>IF(B474="","",IFERROR(INDEX(Students!$A:$A,MATCH(TRIM(B474),Students!$A:$A,0)),"NOT ON LIST"))</f>
        <v/>
      </c>
      <c r="H474" s="35">
        <f>IF(OR(G474="",G474="NOT ON LIST"),"",VLOOKUP(G474,Students!$A:$C,2,FALSE))</f>
        <v/>
      </c>
      <c r="I474" s="35">
        <f>IF(OR(G474="",G474="NOT ON LIST"),"",VLOOKUP(G474,Students!$A:$C,3,FALSE)&amp;"")</f>
        <v/>
      </c>
    </row>
    <row r="475">
      <c r="A475" s="31" t="n">
        <v>46332.88541666666</v>
      </c>
      <c r="B475" s="32" t="inlineStr">
        <is>
          <t>Evelyn Torres</t>
        </is>
      </c>
      <c r="C475" s="32" t="inlineStr">
        <is>
          <t>Isabella Torres</t>
        </is>
      </c>
      <c r="D475" s="33" t="n">
        <v>50</v>
      </c>
      <c r="E475" s="32" t="inlineStr">
        <is>
          <t>OneCause</t>
        </is>
      </c>
      <c r="F475" s="34">
        <f>IF(A475="","",IFERROR(INT(A475),"check date"))</f>
        <v/>
      </c>
      <c r="G475" s="35">
        <f>IF(B475="","",IFERROR(INDEX(Students!$A:$A,MATCH(TRIM(B475),Students!$A:$A,0)),"NOT ON LIST"))</f>
        <v/>
      </c>
      <c r="H475" s="35">
        <f>IF(OR(G475="",G475="NOT ON LIST"),"",VLOOKUP(G475,Students!$A:$C,2,FALSE))</f>
        <v/>
      </c>
      <c r="I475" s="35">
        <f>IF(OR(G475="",G475="NOT ON LIST"),"",VLOOKUP(G475,Students!$A:$C,3,FALSE)&amp;"")</f>
        <v/>
      </c>
    </row>
    <row r="476">
      <c r="A476" s="31" t="n">
        <v>46338.75</v>
      </c>
      <c r="B476" s="32" t="inlineStr">
        <is>
          <t>Ava Garcia</t>
        </is>
      </c>
      <c r="C476" s="32" t="inlineStr">
        <is>
          <t>James Garcia</t>
        </is>
      </c>
      <c r="D476" s="33" t="n">
        <v>150</v>
      </c>
      <c r="E476" s="32" t="inlineStr">
        <is>
          <t>OneCause</t>
        </is>
      </c>
      <c r="F476" s="34">
        <f>IF(A476="","",IFERROR(INT(A476),"check date"))</f>
        <v/>
      </c>
      <c r="G476" s="35">
        <f>IF(B476="","",IFERROR(INDEX(Students!$A:$A,MATCH(TRIM(B476),Students!$A:$A,0)),"NOT ON LIST"))</f>
        <v/>
      </c>
      <c r="H476" s="35">
        <f>IF(OR(G476="",G476="NOT ON LIST"),"",VLOOKUP(G476,Students!$A:$C,2,FALSE))</f>
        <v/>
      </c>
      <c r="I476" s="35">
        <f>IF(OR(G476="",G476="NOT ON LIST"),"",VLOOKUP(G476,Students!$A:$C,3,FALSE)&amp;"")</f>
        <v/>
      </c>
    </row>
    <row r="477">
      <c r="A477" s="31" t="n">
        <v>46339.52083333334</v>
      </c>
      <c r="B477" s="32" t="inlineStr">
        <is>
          <t>Daniel Morales</t>
        </is>
      </c>
      <c r="C477" s="32" t="inlineStr">
        <is>
          <t>Julian Morales</t>
        </is>
      </c>
      <c r="D477" s="33" t="n">
        <v>25</v>
      </c>
      <c r="E477" s="32" t="inlineStr">
        <is>
          <t>OneCause</t>
        </is>
      </c>
      <c r="F477" s="34">
        <f>IF(A477="","",IFERROR(INT(A477),"check date"))</f>
        <v/>
      </c>
      <c r="G477" s="35">
        <f>IF(B477="","",IFERROR(INDEX(Students!$A:$A,MATCH(TRIM(B477),Students!$A:$A,0)),"NOT ON LIST"))</f>
        <v/>
      </c>
      <c r="H477" s="35">
        <f>IF(OR(G477="",G477="NOT ON LIST"),"",VLOOKUP(G477,Students!$A:$C,2,FALSE))</f>
        <v/>
      </c>
      <c r="I477" s="35">
        <f>IF(OR(G477="",G477="NOT ON LIST"),"",VLOOKUP(G477,Students!$A:$C,3,FALSE)&amp;"")</f>
        <v/>
      </c>
    </row>
    <row r="478">
      <c r="A478" s="31" t="n">
        <v>46331.79166666666</v>
      </c>
      <c r="B478" s="32" t="inlineStr">
        <is>
          <t>Aria Martinez</t>
        </is>
      </c>
      <c r="C478" s="32" t="inlineStr">
        <is>
          <t>Clara Martinez</t>
        </is>
      </c>
      <c r="D478" s="33" t="n">
        <v>25</v>
      </c>
      <c r="E478" s="32" t="inlineStr">
        <is>
          <t>OneCause</t>
        </is>
      </c>
      <c r="F478" s="34">
        <f>IF(A478="","",IFERROR(INT(A478),"check date"))</f>
        <v/>
      </c>
      <c r="G478" s="35">
        <f>IF(B478="","",IFERROR(INDEX(Students!$A:$A,MATCH(TRIM(B478),Students!$A:$A,0)),"NOT ON LIST"))</f>
        <v/>
      </c>
      <c r="H478" s="35">
        <f>IF(OR(G478="",G478="NOT ON LIST"),"",VLOOKUP(G478,Students!$A:$C,2,FALSE))</f>
        <v/>
      </c>
      <c r="I478" s="35">
        <f>IF(OR(G478="",G478="NOT ON LIST"),"",VLOOKUP(G478,Students!$A:$C,3,FALSE)&amp;"")</f>
        <v/>
      </c>
    </row>
    <row r="479">
      <c r="A479" s="31" t="n">
        <v>46329</v>
      </c>
      <c r="B479" s="32" t="inlineStr">
        <is>
          <t>Nicolas Rivera</t>
        </is>
      </c>
      <c r="C479" s="32" t="inlineStr">
        <is>
          <t>Henry Rivera</t>
        </is>
      </c>
      <c r="D479" s="33" t="n">
        <v>10</v>
      </c>
      <c r="E479" s="32" t="inlineStr">
        <is>
          <t>Cash</t>
        </is>
      </c>
      <c r="F479" s="34">
        <f>IF(A479="","",IFERROR(INT(A479),"check date"))</f>
        <v/>
      </c>
      <c r="G479" s="35">
        <f>IF(B479="","",IFERROR(INDEX(Students!$A:$A,MATCH(TRIM(B479),Students!$A:$A,0)),"NOT ON LIST"))</f>
        <v/>
      </c>
      <c r="H479" s="35">
        <f>IF(OR(G479="",G479="NOT ON LIST"),"",VLOOKUP(G479,Students!$A:$C,2,FALSE))</f>
        <v/>
      </c>
      <c r="I479" s="35">
        <f>IF(OR(G479="",G479="NOT ON LIST"),"",VLOOKUP(G479,Students!$A:$C,3,FALSE)&amp;"")</f>
        <v/>
      </c>
    </row>
    <row r="480">
      <c r="A480" s="31" t="n">
        <v>46338.65625</v>
      </c>
      <c r="B480" s="32" t="inlineStr">
        <is>
          <t>Adrian Diaz</t>
        </is>
      </c>
      <c r="C480" s="32" t="inlineStr">
        <is>
          <t>Benjamin Diaz</t>
        </is>
      </c>
      <c r="D480" s="33" t="n">
        <v>100</v>
      </c>
      <c r="E480" s="32" t="inlineStr">
        <is>
          <t>OneCause</t>
        </is>
      </c>
      <c r="F480" s="34">
        <f>IF(A480="","",IFERROR(INT(A480),"check date"))</f>
        <v/>
      </c>
      <c r="G480" s="35">
        <f>IF(B480="","",IFERROR(INDEX(Students!$A:$A,MATCH(TRIM(B480),Students!$A:$A,0)),"NOT ON LIST"))</f>
        <v/>
      </c>
      <c r="H480" s="35">
        <f>IF(OR(G480="",G480="NOT ON LIST"),"",VLOOKUP(G480,Students!$A:$C,2,FALSE))</f>
        <v/>
      </c>
      <c r="I480" s="35">
        <f>IF(OR(G480="",G480="NOT ON LIST"),"",VLOOKUP(G480,Students!$A:$C,3,FALSE)&amp;"")</f>
        <v/>
      </c>
    </row>
    <row r="481">
      <c r="A481" s="31" t="n">
        <v>46335</v>
      </c>
      <c r="B481" s="32" t="inlineStr">
        <is>
          <t>Thomas Mendoza</t>
        </is>
      </c>
      <c r="C481" s="32" t="inlineStr">
        <is>
          <t>Diego Mendoza</t>
        </is>
      </c>
      <c r="D481" s="33" t="n">
        <v>150</v>
      </c>
      <c r="E481" s="32" t="inlineStr">
        <is>
          <t>Check</t>
        </is>
      </c>
      <c r="F481" s="34">
        <f>IF(A481="","",IFERROR(INT(A481),"check date"))</f>
        <v/>
      </c>
      <c r="G481" s="35">
        <f>IF(B481="","",IFERROR(INDEX(Students!$A:$A,MATCH(TRIM(B481),Students!$A:$A,0)),"NOT ON LIST"))</f>
        <v/>
      </c>
      <c r="H481" s="35">
        <f>IF(OR(G481="",G481="NOT ON LIST"),"",VLOOKUP(G481,Students!$A:$C,2,FALSE))</f>
        <v/>
      </c>
      <c r="I481" s="35">
        <f>IF(OR(G481="",G481="NOT ON LIST"),"",VLOOKUP(G481,Students!$A:$C,3,FALSE)&amp;"")</f>
        <v/>
      </c>
    </row>
    <row r="482">
      <c r="A482" s="31" t="n">
        <v>46325.90625</v>
      </c>
      <c r="B482" s="32" t="inlineStr">
        <is>
          <t>Amelia Alvarez</t>
        </is>
      </c>
      <c r="C482" s="32" t="inlineStr">
        <is>
          <t>Noah Alvarez</t>
        </is>
      </c>
      <c r="D482" s="33" t="n">
        <v>50</v>
      </c>
      <c r="E482" s="32" t="inlineStr">
        <is>
          <t>OneCause</t>
        </is>
      </c>
      <c r="F482" s="34">
        <f>IF(A482="","",IFERROR(INT(A482),"check date"))</f>
        <v/>
      </c>
      <c r="G482" s="35">
        <f>IF(B482="","",IFERROR(INDEX(Students!$A:$A,MATCH(TRIM(B482),Students!$A:$A,0)),"NOT ON LIST"))</f>
        <v/>
      </c>
      <c r="H482" s="35">
        <f>IF(OR(G482="",G482="NOT ON LIST"),"",VLOOKUP(G482,Students!$A:$C,2,FALSE))</f>
        <v/>
      </c>
      <c r="I482" s="35">
        <f>IF(OR(G482="",G482="NOT ON LIST"),"",VLOOKUP(G482,Students!$A:$C,3,FALSE)&amp;"")</f>
        <v/>
      </c>
    </row>
    <row r="483">
      <c r="A483" s="31" t="n">
        <v>46330.78125</v>
      </c>
      <c r="B483" s="32" t="inlineStr">
        <is>
          <t>Joseph Mendoza</t>
        </is>
      </c>
      <c r="C483" s="32" t="inlineStr">
        <is>
          <t>Lucas Mendoza</t>
        </is>
      </c>
      <c r="D483" s="33" t="n">
        <v>40</v>
      </c>
      <c r="E483" s="32" t="inlineStr">
        <is>
          <t>OneCause</t>
        </is>
      </c>
      <c r="F483" s="34">
        <f>IF(A483="","",IFERROR(INT(A483),"check date"))</f>
        <v/>
      </c>
      <c r="G483" s="35">
        <f>IF(B483="","",IFERROR(INDEX(Students!$A:$A,MATCH(TRIM(B483),Students!$A:$A,0)),"NOT ON LIST"))</f>
        <v/>
      </c>
      <c r="H483" s="35">
        <f>IF(OR(G483="",G483="NOT ON LIST"),"",VLOOKUP(G483,Students!$A:$C,2,FALSE))</f>
        <v/>
      </c>
      <c r="I483" s="35">
        <f>IF(OR(G483="",G483="NOT ON LIST"),"",VLOOKUP(G483,Students!$A:$C,3,FALSE)&amp;"")</f>
        <v/>
      </c>
    </row>
    <row r="484">
      <c r="A484" s="31" t="n">
        <v>46325.875</v>
      </c>
      <c r="B484" s="32" t="inlineStr">
        <is>
          <t>Nora Morales</t>
        </is>
      </c>
      <c r="C484" s="32" t="inlineStr">
        <is>
          <t>Noah Morales</t>
        </is>
      </c>
      <c r="D484" s="33" t="n">
        <v>50</v>
      </c>
      <c r="E484" s="32" t="inlineStr">
        <is>
          <t>OneCause</t>
        </is>
      </c>
      <c r="F484" s="34">
        <f>IF(A484="","",IFERROR(INT(A484),"check date"))</f>
        <v/>
      </c>
      <c r="G484" s="35">
        <f>IF(B484="","",IFERROR(INDEX(Students!$A:$A,MATCH(TRIM(B484),Students!$A:$A,0)),"NOT ON LIST"))</f>
        <v/>
      </c>
      <c r="H484" s="35">
        <f>IF(OR(G484="",G484="NOT ON LIST"),"",VLOOKUP(G484,Students!$A:$C,2,FALSE))</f>
        <v/>
      </c>
      <c r="I484" s="35">
        <f>IF(OR(G484="",G484="NOT ON LIST"),"",VLOOKUP(G484,Students!$A:$C,3,FALSE)&amp;"")</f>
        <v/>
      </c>
    </row>
    <row r="485">
      <c r="A485" s="31" t="n">
        <v>46339.53125</v>
      </c>
      <c r="B485" s="32" t="inlineStr">
        <is>
          <t>Mateo Vasquez</t>
        </is>
      </c>
      <c r="C485" s="32" t="inlineStr">
        <is>
          <t>Mia Vasquez</t>
        </is>
      </c>
      <c r="D485" s="33" t="n">
        <v>100</v>
      </c>
      <c r="E485" s="32" t="inlineStr">
        <is>
          <t>OneCause</t>
        </is>
      </c>
      <c r="F485" s="34">
        <f>IF(A485="","",IFERROR(INT(A485),"check date"))</f>
        <v/>
      </c>
      <c r="G485" s="35">
        <f>IF(B485="","",IFERROR(INDEX(Students!$A:$A,MATCH(TRIM(B485),Students!$A:$A,0)),"NOT ON LIST"))</f>
        <v/>
      </c>
      <c r="H485" s="35">
        <f>IF(OR(G485="",G485="NOT ON LIST"),"",VLOOKUP(G485,Students!$A:$C,2,FALSE))</f>
        <v/>
      </c>
      <c r="I485" s="35">
        <f>IF(OR(G485="",G485="NOT ON LIST"),"",VLOOKUP(G485,Students!$A:$C,3,FALSE)&amp;"")</f>
        <v/>
      </c>
    </row>
    <row r="486">
      <c r="A486" s="31" t="n">
        <v>46331.80208333334</v>
      </c>
      <c r="B486" s="32" t="inlineStr">
        <is>
          <t>Elijah Walsh</t>
        </is>
      </c>
      <c r="C486" s="32" t="inlineStr">
        <is>
          <t>Grace Walsh</t>
        </is>
      </c>
      <c r="D486" s="33" t="n">
        <v>50</v>
      </c>
      <c r="E486" s="32" t="inlineStr">
        <is>
          <t>OneCause</t>
        </is>
      </c>
      <c r="F486" s="34">
        <f>IF(A486="","",IFERROR(INT(A486),"check date"))</f>
        <v/>
      </c>
      <c r="G486" s="35">
        <f>IF(B486="","",IFERROR(INDEX(Students!$A:$A,MATCH(TRIM(B486),Students!$A:$A,0)),"NOT ON LIST"))</f>
        <v/>
      </c>
      <c r="H486" s="35">
        <f>IF(OR(G486="",G486="NOT ON LIST"),"",VLOOKUP(G486,Students!$A:$C,2,FALSE))</f>
        <v/>
      </c>
      <c r="I486" s="35">
        <f>IF(OR(G486="",G486="NOT ON LIST"),"",VLOOKUP(G486,Students!$A:$C,3,FALSE)&amp;"")</f>
        <v/>
      </c>
    </row>
    <row r="487">
      <c r="A487" s="31" t="n">
        <v>46325.44791666666</v>
      </c>
      <c r="B487" s="32" t="inlineStr">
        <is>
          <t>Noah Torres</t>
        </is>
      </c>
      <c r="C487" s="32" t="inlineStr">
        <is>
          <t>Isaac Torres</t>
        </is>
      </c>
      <c r="D487" s="33" t="n">
        <v>20</v>
      </c>
      <c r="E487" s="32" t="inlineStr">
        <is>
          <t>OneCause</t>
        </is>
      </c>
      <c r="F487" s="34">
        <f>IF(A487="","",IFERROR(INT(A487),"check date"))</f>
        <v/>
      </c>
      <c r="G487" s="35">
        <f>IF(B487="","",IFERROR(INDEX(Students!$A:$A,MATCH(TRIM(B487),Students!$A:$A,0)),"NOT ON LIST"))</f>
        <v/>
      </c>
      <c r="H487" s="35">
        <f>IF(OR(G487="",G487="NOT ON LIST"),"",VLOOKUP(G487,Students!$A:$C,2,FALSE))</f>
        <v/>
      </c>
      <c r="I487" s="35">
        <f>IF(OR(G487="",G487="NOT ON LIST"),"",VLOOKUP(G487,Students!$A:$C,3,FALSE)&amp;"")</f>
        <v/>
      </c>
    </row>
    <row r="488">
      <c r="A488" s="31" t="n">
        <v>46338.67708333334</v>
      </c>
      <c r="B488" s="32" t="inlineStr">
        <is>
          <t>Samuel Mendoza</t>
        </is>
      </c>
      <c r="C488" s="32" t="inlineStr">
        <is>
          <t>Elijah Mendoza</t>
        </is>
      </c>
      <c r="D488" s="33" t="n">
        <v>50</v>
      </c>
      <c r="E488" s="32" t="inlineStr">
        <is>
          <t>OneCause</t>
        </is>
      </c>
      <c r="F488" s="34">
        <f>IF(A488="","",IFERROR(INT(A488),"check date"))</f>
        <v/>
      </c>
      <c r="G488" s="35">
        <f>IF(B488="","",IFERROR(INDEX(Students!$A:$A,MATCH(TRIM(B488),Students!$A:$A,0)),"NOT ON LIST"))</f>
        <v/>
      </c>
      <c r="H488" s="35">
        <f>IF(OR(G488="",G488="NOT ON LIST"),"",VLOOKUP(G488,Students!$A:$C,2,FALSE))</f>
        <v/>
      </c>
      <c r="I488" s="35">
        <f>IF(OR(G488="",G488="NOT ON LIST"),"",VLOOKUP(G488,Students!$A:$C,3,FALSE)&amp;"")</f>
        <v/>
      </c>
    </row>
    <row r="489">
      <c r="A489" s="31" t="n">
        <v>46335</v>
      </c>
      <c r="B489" s="32" t="inlineStr">
        <is>
          <t>Aria Kim</t>
        </is>
      </c>
      <c r="C489" s="32" t="inlineStr">
        <is>
          <t>Sofia Kim</t>
        </is>
      </c>
      <c r="D489" s="33" t="n">
        <v>25</v>
      </c>
      <c r="E489" s="32" t="inlineStr">
        <is>
          <t>Check</t>
        </is>
      </c>
      <c r="F489" s="34">
        <f>IF(A489="","",IFERROR(INT(A489),"check date"))</f>
        <v/>
      </c>
      <c r="G489" s="35">
        <f>IF(B489="","",IFERROR(INDEX(Students!$A:$A,MATCH(TRIM(B489),Students!$A:$A,0)),"NOT ON LIST"))</f>
        <v/>
      </c>
      <c r="H489" s="35">
        <f>IF(OR(G489="",G489="NOT ON LIST"),"",VLOOKUP(G489,Students!$A:$C,2,FALSE))</f>
        <v/>
      </c>
      <c r="I489" s="35">
        <f>IF(OR(G489="",G489="NOT ON LIST"),"",VLOOKUP(G489,Students!$A:$C,3,FALSE)&amp;"")</f>
        <v/>
      </c>
    </row>
    <row r="490">
      <c r="A490" s="31" t="n">
        <v>46332</v>
      </c>
      <c r="B490" s="32" t="inlineStr">
        <is>
          <t>Olivia Gutierrez</t>
        </is>
      </c>
      <c r="C490" s="32" t="inlineStr">
        <is>
          <t>Elijah Gutierrez</t>
        </is>
      </c>
      <c r="D490" s="33" t="n">
        <v>25</v>
      </c>
      <c r="E490" s="32" t="inlineStr">
        <is>
          <t>Cash</t>
        </is>
      </c>
      <c r="F490" s="34">
        <f>IF(A490="","",IFERROR(INT(A490),"check date"))</f>
        <v/>
      </c>
      <c r="G490" s="35">
        <f>IF(B490="","",IFERROR(INDEX(Students!$A:$A,MATCH(TRIM(B490),Students!$A:$A,0)),"NOT ON LIST"))</f>
        <v/>
      </c>
      <c r="H490" s="35">
        <f>IF(OR(G490="",G490="NOT ON LIST"),"",VLOOKUP(G490,Students!$A:$C,2,FALSE))</f>
        <v/>
      </c>
      <c r="I490" s="35">
        <f>IF(OR(G490="",G490="NOT ON LIST"),"",VLOOKUP(G490,Students!$A:$C,3,FALSE)&amp;"")</f>
        <v/>
      </c>
    </row>
    <row r="491">
      <c r="A491" s="31" t="n">
        <v>46335.45833333334</v>
      </c>
      <c r="B491" s="32" t="inlineStr">
        <is>
          <t>David Brown</t>
        </is>
      </c>
      <c r="C491" s="32" t="inlineStr">
        <is>
          <t>Diego Brown</t>
        </is>
      </c>
      <c r="D491" s="33" t="n">
        <v>50</v>
      </c>
      <c r="E491" s="32" t="inlineStr">
        <is>
          <t>OneCause</t>
        </is>
      </c>
      <c r="F491" s="34">
        <f>IF(A491="","",IFERROR(INT(A491),"check date"))</f>
        <v/>
      </c>
      <c r="G491" s="35">
        <f>IF(B491="","",IFERROR(INDEX(Students!$A:$A,MATCH(TRIM(B491),Students!$A:$A,0)),"NOT ON LIST"))</f>
        <v/>
      </c>
      <c r="H491" s="35">
        <f>IF(OR(G491="",G491="NOT ON LIST"),"",VLOOKUP(G491,Students!$A:$C,2,FALSE))</f>
        <v/>
      </c>
      <c r="I491" s="35">
        <f>IF(OR(G491="",G491="NOT ON LIST"),"",VLOOKUP(G491,Students!$A:$C,3,FALSE)&amp;"")</f>
        <v/>
      </c>
    </row>
    <row r="492">
      <c r="A492" s="31" t="n">
        <v>46328</v>
      </c>
      <c r="B492" s="32" t="inlineStr">
        <is>
          <t>Olivia Morales</t>
        </is>
      </c>
      <c r="C492" s="32" t="inlineStr">
        <is>
          <t>Mia Morales</t>
        </is>
      </c>
      <c r="D492" s="33" t="n">
        <v>75</v>
      </c>
      <c r="E492" s="32" t="inlineStr">
        <is>
          <t>Cash</t>
        </is>
      </c>
      <c r="F492" s="34">
        <f>IF(A492="","",IFERROR(INT(A492),"check date"))</f>
        <v/>
      </c>
      <c r="G492" s="35">
        <f>IF(B492="","",IFERROR(INDEX(Students!$A:$A,MATCH(TRIM(B492),Students!$A:$A,0)),"NOT ON LIST"))</f>
        <v/>
      </c>
      <c r="H492" s="35">
        <f>IF(OR(G492="",G492="NOT ON LIST"),"",VLOOKUP(G492,Students!$A:$C,2,FALSE))</f>
        <v/>
      </c>
      <c r="I492" s="35">
        <f>IF(OR(G492="",G492="NOT ON LIST"),"",VLOOKUP(G492,Students!$A:$C,3,FALSE)&amp;"")</f>
        <v/>
      </c>
    </row>
    <row r="493">
      <c r="A493" s="31" t="n">
        <v>46338.55208333334</v>
      </c>
      <c r="B493" s="32" t="inlineStr">
        <is>
          <t>Emma Martinez</t>
        </is>
      </c>
      <c r="C493" s="32" t="inlineStr">
        <is>
          <t>Harper Martinez</t>
        </is>
      </c>
      <c r="D493" s="33" t="n">
        <v>100</v>
      </c>
      <c r="E493" s="32" t="inlineStr">
        <is>
          <t>OneCause</t>
        </is>
      </c>
      <c r="F493" s="34">
        <f>IF(A493="","",IFERROR(INT(A493),"check date"))</f>
        <v/>
      </c>
      <c r="G493" s="35">
        <f>IF(B493="","",IFERROR(INDEX(Students!$A:$A,MATCH(TRIM(B493),Students!$A:$A,0)),"NOT ON LIST"))</f>
        <v/>
      </c>
      <c r="H493" s="35">
        <f>IF(OR(G493="",G493="NOT ON LIST"),"",VLOOKUP(G493,Students!$A:$C,2,FALSE))</f>
        <v/>
      </c>
      <c r="I493" s="35">
        <f>IF(OR(G493="",G493="NOT ON LIST"),"",VLOOKUP(G493,Students!$A:$C,3,FALSE)&amp;"")</f>
        <v/>
      </c>
    </row>
    <row r="494">
      <c r="A494" s="31" t="n">
        <v>46338</v>
      </c>
      <c r="B494" s="32" t="inlineStr">
        <is>
          <t>Emma Perez</t>
        </is>
      </c>
      <c r="C494" s="32" t="inlineStr">
        <is>
          <t>Julian Perez</t>
        </is>
      </c>
      <c r="D494" s="33" t="n">
        <v>50</v>
      </c>
      <c r="E494" s="32" t="inlineStr">
        <is>
          <t>Cash</t>
        </is>
      </c>
      <c r="F494" s="34">
        <f>IF(A494="","",IFERROR(INT(A494),"check date"))</f>
        <v/>
      </c>
      <c r="G494" s="35">
        <f>IF(B494="","",IFERROR(INDEX(Students!$A:$A,MATCH(TRIM(B494),Students!$A:$A,0)),"NOT ON LIST"))</f>
        <v/>
      </c>
      <c r="H494" s="35">
        <f>IF(OR(G494="",G494="NOT ON LIST"),"",VLOOKUP(G494,Students!$A:$C,2,FALSE))</f>
        <v/>
      </c>
      <c r="I494" s="35">
        <f>IF(OR(G494="",G494="NOT ON LIST"),"",VLOOKUP(G494,Students!$A:$C,3,FALSE)&amp;"")</f>
        <v/>
      </c>
    </row>
    <row r="495">
      <c r="A495" s="31" t="n">
        <v>46332.4375</v>
      </c>
      <c r="B495" s="32" t="inlineStr">
        <is>
          <t>Maya O'Brien</t>
        </is>
      </c>
      <c r="C495" s="32" t="inlineStr">
        <is>
          <t>Camila O'Brien</t>
        </is>
      </c>
      <c r="D495" s="33" t="n">
        <v>25</v>
      </c>
      <c r="E495" s="32" t="inlineStr">
        <is>
          <t>OneCause</t>
        </is>
      </c>
      <c r="F495" s="34">
        <f>IF(A495="","",IFERROR(INT(A495),"check date"))</f>
        <v/>
      </c>
      <c r="G495" s="35">
        <f>IF(B495="","",IFERROR(INDEX(Students!$A:$A,MATCH(TRIM(B495),Students!$A:$A,0)),"NOT ON LIST"))</f>
        <v/>
      </c>
      <c r="H495" s="35">
        <f>IF(OR(G495="",G495="NOT ON LIST"),"",VLOOKUP(G495,Students!$A:$C,2,FALSE))</f>
        <v/>
      </c>
      <c r="I495" s="35">
        <f>IF(OR(G495="",G495="NOT ON LIST"),"",VLOOKUP(G495,Students!$A:$C,3,FALSE)&amp;"")</f>
        <v/>
      </c>
    </row>
    <row r="496">
      <c r="A496" s="31" t="n">
        <v>46338.51041666666</v>
      </c>
      <c r="B496" s="32" t="inlineStr">
        <is>
          <t>David Murphy</t>
        </is>
      </c>
      <c r="C496" s="32" t="inlineStr">
        <is>
          <t>Leo Murphy</t>
        </is>
      </c>
      <c r="D496" s="33" t="n">
        <v>50</v>
      </c>
      <c r="E496" s="32" t="inlineStr">
        <is>
          <t>OneCause</t>
        </is>
      </c>
      <c r="F496" s="34">
        <f>IF(A496="","",IFERROR(INT(A496),"check date"))</f>
        <v/>
      </c>
      <c r="G496" s="35">
        <f>IF(B496="","",IFERROR(INDEX(Students!$A:$A,MATCH(TRIM(B496),Students!$A:$A,0)),"NOT ON LIST"))</f>
        <v/>
      </c>
      <c r="H496" s="35">
        <f>IF(OR(G496="",G496="NOT ON LIST"),"",VLOOKUP(G496,Students!$A:$C,2,FALSE))</f>
        <v/>
      </c>
      <c r="I496" s="35">
        <f>IF(OR(G496="",G496="NOT ON LIST"),"",VLOOKUP(G496,Students!$A:$C,3,FALSE)&amp;"")</f>
        <v/>
      </c>
    </row>
    <row r="497">
      <c r="A497" s="31" t="n">
        <v>46339.375</v>
      </c>
      <c r="B497" s="32" t="inlineStr">
        <is>
          <t>Zoe Castillo</t>
        </is>
      </c>
      <c r="C497" s="32" t="inlineStr">
        <is>
          <t>Elena Castillo</t>
        </is>
      </c>
      <c r="D497" s="33" t="n">
        <v>50</v>
      </c>
      <c r="E497" s="32" t="inlineStr">
        <is>
          <t>OneCause</t>
        </is>
      </c>
      <c r="F497" s="34">
        <f>IF(A497="","",IFERROR(INT(A497),"check date"))</f>
        <v/>
      </c>
      <c r="G497" s="35">
        <f>IF(B497="","",IFERROR(INDEX(Students!$A:$A,MATCH(TRIM(B497),Students!$A:$A,0)),"NOT ON LIST"))</f>
        <v/>
      </c>
      <c r="H497" s="35">
        <f>IF(OR(G497="",G497="NOT ON LIST"),"",VLOOKUP(G497,Students!$A:$C,2,FALSE))</f>
        <v/>
      </c>
      <c r="I497" s="35">
        <f>IF(OR(G497="",G497="NOT ON LIST"),"",VLOOKUP(G497,Students!$A:$C,3,FALSE)&amp;"")</f>
        <v/>
      </c>
    </row>
    <row r="498">
      <c r="A498" s="31" t="n">
        <v>46328.5</v>
      </c>
      <c r="B498" s="32" t="inlineStr">
        <is>
          <t>Isabella Smith</t>
        </is>
      </c>
      <c r="C498" s="32" t="inlineStr">
        <is>
          <t>Amelia Smith</t>
        </is>
      </c>
      <c r="D498" s="33" t="n">
        <v>20</v>
      </c>
      <c r="E498" s="32" t="inlineStr">
        <is>
          <t>OneCause</t>
        </is>
      </c>
      <c r="F498" s="34">
        <f>IF(A498="","",IFERROR(INT(A498),"check date"))</f>
        <v/>
      </c>
      <c r="G498" s="35">
        <f>IF(B498="","",IFERROR(INDEX(Students!$A:$A,MATCH(TRIM(B498),Students!$A:$A,0)),"NOT ON LIST"))</f>
        <v/>
      </c>
      <c r="H498" s="35">
        <f>IF(OR(G498="",G498="NOT ON LIST"),"",VLOOKUP(G498,Students!$A:$C,2,FALSE))</f>
        <v/>
      </c>
      <c r="I498" s="35">
        <f>IF(OR(G498="",G498="NOT ON LIST"),"",VLOOKUP(G498,Students!$A:$C,3,FALSE)&amp;"")</f>
        <v/>
      </c>
    </row>
    <row r="499">
      <c r="A499" s="31" t="n">
        <v>46335.34375</v>
      </c>
      <c r="B499" s="32" t="inlineStr">
        <is>
          <t>Leo Vasquez</t>
        </is>
      </c>
      <c r="C499" s="32" t="inlineStr">
        <is>
          <t>Camila Vasquez</t>
        </is>
      </c>
      <c r="D499" s="33" t="n">
        <v>50</v>
      </c>
      <c r="E499" s="32" t="inlineStr">
        <is>
          <t>OneCause</t>
        </is>
      </c>
      <c r="F499" s="34">
        <f>IF(A499="","",IFERROR(INT(A499),"check date"))</f>
        <v/>
      </c>
      <c r="G499" s="35">
        <f>IF(B499="","",IFERROR(INDEX(Students!$A:$A,MATCH(TRIM(B499),Students!$A:$A,0)),"NOT ON LIST"))</f>
        <v/>
      </c>
      <c r="H499" s="35">
        <f>IF(OR(G499="",G499="NOT ON LIST"),"",VLOOKUP(G499,Students!$A:$C,2,FALSE))</f>
        <v/>
      </c>
      <c r="I499" s="35">
        <f>IF(OR(G499="",G499="NOT ON LIST"),"",VLOOKUP(G499,Students!$A:$C,3,FALSE)&amp;"")</f>
        <v/>
      </c>
    </row>
    <row r="500">
      <c r="A500" s="31" t="n">
        <v>46326.88541666666</v>
      </c>
      <c r="B500" s="32" t="inlineStr">
        <is>
          <t>Lily Morales</t>
        </is>
      </c>
      <c r="C500" s="32" t="inlineStr">
        <is>
          <t>Joseph Morales</t>
        </is>
      </c>
      <c r="D500" s="33" t="n">
        <v>25</v>
      </c>
      <c r="E500" s="32" t="inlineStr">
        <is>
          <t>OneCause</t>
        </is>
      </c>
      <c r="F500" s="34">
        <f>IF(A500="","",IFERROR(INT(A500),"check date"))</f>
        <v/>
      </c>
      <c r="G500" s="35">
        <f>IF(B500="","",IFERROR(INDEX(Students!$A:$A,MATCH(TRIM(B500),Students!$A:$A,0)),"NOT ON LIST"))</f>
        <v/>
      </c>
      <c r="H500" s="35">
        <f>IF(OR(G500="",G500="NOT ON LIST"),"",VLOOKUP(G500,Students!$A:$C,2,FALSE))</f>
        <v/>
      </c>
      <c r="I500" s="35">
        <f>IF(OR(G500="",G500="NOT ON LIST"),"",VLOOKUP(G500,Students!$A:$C,3,FALSE)&amp;"")</f>
        <v/>
      </c>
    </row>
    <row r="501">
      <c r="A501" s="31" t="n">
        <v>46330.3125</v>
      </c>
      <c r="B501" s="32" t="inlineStr">
        <is>
          <t>Liam Rodriguez</t>
        </is>
      </c>
      <c r="C501" s="32" t="inlineStr">
        <is>
          <t>Ava Rodriguez</t>
        </is>
      </c>
      <c r="D501" s="33" t="n">
        <v>25</v>
      </c>
      <c r="E501" s="32" t="inlineStr">
        <is>
          <t>OneCause</t>
        </is>
      </c>
      <c r="F501" s="34">
        <f>IF(A501="","",IFERROR(INT(A501),"check date"))</f>
        <v/>
      </c>
      <c r="G501" s="35">
        <f>IF(B501="","",IFERROR(INDEX(Students!$A:$A,MATCH(TRIM(B501),Students!$A:$A,0)),"NOT ON LIST"))</f>
        <v/>
      </c>
      <c r="H501" s="35">
        <f>IF(OR(G501="",G501="NOT ON LIST"),"",VLOOKUP(G501,Students!$A:$C,2,FALSE))</f>
        <v/>
      </c>
      <c r="I501" s="35">
        <f>IF(OR(G501="",G501="NOT ON LIST"),"",VLOOKUP(G501,Students!$A:$C,3,FALSE)&amp;"")</f>
        <v/>
      </c>
    </row>
    <row r="502">
      <c r="A502" s="31" t="n">
        <v>46335.41666666666</v>
      </c>
      <c r="B502" s="32" t="inlineStr">
        <is>
          <t>Zoe Gomez</t>
        </is>
      </c>
      <c r="C502" s="32" t="inlineStr">
        <is>
          <t>Benjamin Gomez</t>
        </is>
      </c>
      <c r="D502" s="33" t="n">
        <v>25</v>
      </c>
      <c r="E502" s="32" t="inlineStr">
        <is>
          <t>OneCause</t>
        </is>
      </c>
      <c r="F502" s="34">
        <f>IF(A502="","",IFERROR(INT(A502),"check date"))</f>
        <v/>
      </c>
      <c r="G502" s="35">
        <f>IF(B502="","",IFERROR(INDEX(Students!$A:$A,MATCH(TRIM(B502),Students!$A:$A,0)),"NOT ON LIST"))</f>
        <v/>
      </c>
      <c r="H502" s="35">
        <f>IF(OR(G502="",G502="NOT ON LIST"),"",VLOOKUP(G502,Students!$A:$C,2,FALSE))</f>
        <v/>
      </c>
      <c r="I502" s="35">
        <f>IF(OR(G502="",G502="NOT ON LIST"),"",VLOOKUP(G502,Students!$A:$C,3,FALSE)&amp;"")</f>
        <v/>
      </c>
    </row>
    <row r="503">
      <c r="A503" s="31" t="n">
        <v>46333.61458333334</v>
      </c>
      <c r="B503" s="32" t="inlineStr">
        <is>
          <t>James Martinez</t>
        </is>
      </c>
      <c r="C503" s="32" t="inlineStr">
        <is>
          <t>Nora Martinez</t>
        </is>
      </c>
      <c r="D503" s="33" t="n">
        <v>100</v>
      </c>
      <c r="E503" s="32" t="inlineStr">
        <is>
          <t>OneCause</t>
        </is>
      </c>
      <c r="F503" s="34">
        <f>IF(A503="","",IFERROR(INT(A503),"check date"))</f>
        <v/>
      </c>
      <c r="G503" s="35">
        <f>IF(B503="","",IFERROR(INDEX(Students!$A:$A,MATCH(TRIM(B503),Students!$A:$A,0)),"NOT ON LIST"))</f>
        <v/>
      </c>
      <c r="H503" s="35">
        <f>IF(OR(G503="",G503="NOT ON LIST"),"",VLOOKUP(G503,Students!$A:$C,2,FALSE))</f>
        <v/>
      </c>
      <c r="I503" s="35">
        <f>IF(OR(G503="",G503="NOT ON LIST"),"",VLOOKUP(G503,Students!$A:$C,3,FALSE)&amp;"")</f>
        <v/>
      </c>
    </row>
    <row r="504">
      <c r="A504" s="31" t="n">
        <v>46326.71875</v>
      </c>
      <c r="B504" s="32" t="inlineStr">
        <is>
          <t>Samuel Gutierrez</t>
        </is>
      </c>
      <c r="C504" s="32" t="inlineStr">
        <is>
          <t>Lucas Gutierrez</t>
        </is>
      </c>
      <c r="D504" s="33" t="n">
        <v>50</v>
      </c>
      <c r="E504" s="32" t="inlineStr">
        <is>
          <t>OneCause</t>
        </is>
      </c>
      <c r="F504" s="34">
        <f>IF(A504="","",IFERROR(INT(A504),"check date"))</f>
        <v/>
      </c>
      <c r="G504" s="35">
        <f>IF(B504="","",IFERROR(INDEX(Students!$A:$A,MATCH(TRIM(B504),Students!$A:$A,0)),"NOT ON LIST"))</f>
        <v/>
      </c>
      <c r="H504" s="35">
        <f>IF(OR(G504="",G504="NOT ON LIST"),"",VLOOKUP(G504,Students!$A:$C,2,FALSE))</f>
        <v/>
      </c>
      <c r="I504" s="35">
        <f>IF(OR(G504="",G504="NOT ON LIST"),"",VLOOKUP(G504,Students!$A:$C,3,FALSE)&amp;"")</f>
        <v/>
      </c>
    </row>
    <row r="505">
      <c r="A505" s="31" t="n">
        <v>46334.375</v>
      </c>
      <c r="B505" s="32" t="inlineStr">
        <is>
          <t>Liam Garcia</t>
        </is>
      </c>
      <c r="C505" s="32" t="inlineStr">
        <is>
          <t>Mia Garcia</t>
        </is>
      </c>
      <c r="D505" s="33" t="n">
        <v>25</v>
      </c>
      <c r="E505" s="32" t="inlineStr">
        <is>
          <t>OneCause</t>
        </is>
      </c>
      <c r="F505" s="34">
        <f>IF(A505="","",IFERROR(INT(A505),"check date"))</f>
        <v/>
      </c>
      <c r="G505" s="35">
        <f>IF(B505="","",IFERROR(INDEX(Students!$A:$A,MATCH(TRIM(B505),Students!$A:$A,0)),"NOT ON LIST"))</f>
        <v/>
      </c>
      <c r="H505" s="35">
        <f>IF(OR(G505="",G505="NOT ON LIST"),"",VLOOKUP(G505,Students!$A:$C,2,FALSE))</f>
        <v/>
      </c>
      <c r="I505" s="35">
        <f>IF(OR(G505="",G505="NOT ON LIST"),"",VLOOKUP(G505,Students!$A:$C,3,FALSE)&amp;"")</f>
        <v/>
      </c>
    </row>
    <row r="506">
      <c r="A506" s="31" t="n">
        <v>46328.3125</v>
      </c>
      <c r="B506" s="32" t="inlineStr">
        <is>
          <t>David Vasquez</t>
        </is>
      </c>
      <c r="C506" s="32" t="inlineStr">
        <is>
          <t>Lucas Vasquez</t>
        </is>
      </c>
      <c r="D506" s="33" t="n">
        <v>25</v>
      </c>
      <c r="E506" s="32" t="inlineStr">
        <is>
          <t>OneCause</t>
        </is>
      </c>
      <c r="F506" s="34">
        <f>IF(A506="","",IFERROR(INT(A506),"check date"))</f>
        <v/>
      </c>
      <c r="G506" s="35">
        <f>IF(B506="","",IFERROR(INDEX(Students!$A:$A,MATCH(TRIM(B506),Students!$A:$A,0)),"NOT ON LIST"))</f>
        <v/>
      </c>
      <c r="H506" s="35">
        <f>IF(OR(G506="",G506="NOT ON LIST"),"",VLOOKUP(G506,Students!$A:$C,2,FALSE))</f>
        <v/>
      </c>
      <c r="I506" s="35">
        <f>IF(OR(G506="",G506="NOT ON LIST"),"",VLOOKUP(G506,Students!$A:$C,3,FALSE)&amp;"")</f>
        <v/>
      </c>
    </row>
    <row r="507">
      <c r="A507" s="31" t="n">
        <v>46326.72916666666</v>
      </c>
      <c r="B507" s="32" t="inlineStr">
        <is>
          <t>Henry Lopez</t>
        </is>
      </c>
      <c r="C507" s="32" t="inlineStr">
        <is>
          <t>James Lopez</t>
        </is>
      </c>
      <c r="D507" s="33" t="n">
        <v>100</v>
      </c>
      <c r="E507" s="32" t="inlineStr">
        <is>
          <t>OneCause</t>
        </is>
      </c>
      <c r="F507" s="34">
        <f>IF(A507="","",IFERROR(INT(A507),"check date"))</f>
        <v/>
      </c>
      <c r="G507" s="35">
        <f>IF(B507="","",IFERROR(INDEX(Students!$A:$A,MATCH(TRIM(B507),Students!$A:$A,0)),"NOT ON LIST"))</f>
        <v/>
      </c>
      <c r="H507" s="35">
        <f>IF(OR(G507="",G507="NOT ON LIST"),"",VLOOKUP(G507,Students!$A:$C,2,FALSE))</f>
        <v/>
      </c>
      <c r="I507" s="35">
        <f>IF(OR(G507="",G507="NOT ON LIST"),"",VLOOKUP(G507,Students!$A:$C,3,FALSE)&amp;"")</f>
        <v/>
      </c>
    </row>
    <row r="508">
      <c r="A508" s="31" t="n">
        <v>46330.875</v>
      </c>
      <c r="B508" s="32" t="inlineStr">
        <is>
          <t>Clara Sanchez</t>
        </is>
      </c>
      <c r="C508" s="32" t="inlineStr">
        <is>
          <t>Mia Sanchez</t>
        </is>
      </c>
      <c r="D508" s="33" t="n">
        <v>25</v>
      </c>
      <c r="E508" s="32" t="inlineStr">
        <is>
          <t>OneCause</t>
        </is>
      </c>
      <c r="F508" s="34">
        <f>IF(A508="","",IFERROR(INT(A508),"check date"))</f>
        <v/>
      </c>
      <c r="G508" s="35">
        <f>IF(B508="","",IFERROR(INDEX(Students!$A:$A,MATCH(TRIM(B508),Students!$A:$A,0)),"NOT ON LIST"))</f>
        <v/>
      </c>
      <c r="H508" s="35">
        <f>IF(OR(G508="",G508="NOT ON LIST"),"",VLOOKUP(G508,Students!$A:$C,2,FALSE))</f>
        <v/>
      </c>
      <c r="I508" s="35">
        <f>IF(OR(G508="",G508="NOT ON LIST"),"",VLOOKUP(G508,Students!$A:$C,3,FALSE)&amp;"")</f>
        <v/>
      </c>
    </row>
    <row r="509">
      <c r="A509" s="31" t="n">
        <v>46337.90625</v>
      </c>
      <c r="B509" s="32" t="inlineStr">
        <is>
          <t>Chloe Diaz</t>
        </is>
      </c>
      <c r="C509" s="32" t="inlineStr">
        <is>
          <t>Samuel Diaz</t>
        </is>
      </c>
      <c r="D509" s="33" t="n">
        <v>100</v>
      </c>
      <c r="E509" s="32" t="inlineStr">
        <is>
          <t>OneCause</t>
        </is>
      </c>
      <c r="F509" s="34">
        <f>IF(A509="","",IFERROR(INT(A509),"check date"))</f>
        <v/>
      </c>
      <c r="G509" s="35">
        <f>IF(B509="","",IFERROR(INDEX(Students!$A:$A,MATCH(TRIM(B509),Students!$A:$A,0)),"NOT ON LIST"))</f>
        <v/>
      </c>
      <c r="H509" s="35">
        <f>IF(OR(G509="",G509="NOT ON LIST"),"",VLOOKUP(G509,Students!$A:$C,2,FALSE))</f>
        <v/>
      </c>
      <c r="I509" s="35">
        <f>IF(OR(G509="",G509="NOT ON LIST"),"",VLOOKUP(G509,Students!$A:$C,3,FALSE)&amp;"")</f>
        <v/>
      </c>
    </row>
    <row r="510">
      <c r="A510" s="31" t="n">
        <v>46333.54166666666</v>
      </c>
      <c r="B510" s="32" t="inlineStr">
        <is>
          <t>Adrian Ortiz</t>
        </is>
      </c>
      <c r="C510" s="32" t="inlineStr">
        <is>
          <t>Diego Ortiz</t>
        </is>
      </c>
      <c r="D510" s="33" t="n">
        <v>75</v>
      </c>
      <c r="E510" s="32" t="inlineStr">
        <is>
          <t>OneCause</t>
        </is>
      </c>
      <c r="F510" s="34">
        <f>IF(A510="","",IFERROR(INT(A510),"check date"))</f>
        <v/>
      </c>
      <c r="G510" s="35">
        <f>IF(B510="","",IFERROR(INDEX(Students!$A:$A,MATCH(TRIM(B510),Students!$A:$A,0)),"NOT ON LIST"))</f>
        <v/>
      </c>
      <c r="H510" s="35">
        <f>IF(OR(G510="",G510="NOT ON LIST"),"",VLOOKUP(G510,Students!$A:$C,2,FALSE))</f>
        <v/>
      </c>
      <c r="I510" s="35">
        <f>IF(OR(G510="",G510="NOT ON LIST"),"",VLOOKUP(G510,Students!$A:$C,3,FALSE)&amp;"")</f>
        <v/>
      </c>
    </row>
    <row r="511">
      <c r="A511" s="31" t="n">
        <v>46330.89583333334</v>
      </c>
      <c r="B511" s="32" t="inlineStr">
        <is>
          <t>Aria Johnson</t>
        </is>
      </c>
      <c r="C511" s="32" t="inlineStr">
        <is>
          <t>Elena Johnson</t>
        </is>
      </c>
      <c r="D511" s="33" t="n">
        <v>25</v>
      </c>
      <c r="E511" s="32" t="inlineStr">
        <is>
          <t>OneCause</t>
        </is>
      </c>
      <c r="F511" s="34">
        <f>IF(A511="","",IFERROR(INT(A511),"check date"))</f>
        <v/>
      </c>
      <c r="G511" s="35">
        <f>IF(B511="","",IFERROR(INDEX(Students!$A:$A,MATCH(TRIM(B511),Students!$A:$A,0)),"NOT ON LIST"))</f>
        <v/>
      </c>
      <c r="H511" s="35">
        <f>IF(OR(G511="",G511="NOT ON LIST"),"",VLOOKUP(G511,Students!$A:$C,2,FALSE))</f>
        <v/>
      </c>
      <c r="I511" s="35">
        <f>IF(OR(G511="",G511="NOT ON LIST"),"",VLOOKUP(G511,Students!$A:$C,3,FALSE)&amp;"")</f>
        <v/>
      </c>
    </row>
    <row r="512">
      <c r="A512" s="31" t="n">
        <v>46325.42708333334</v>
      </c>
      <c r="B512" s="32" t="inlineStr">
        <is>
          <t>Joseph Walsh</t>
        </is>
      </c>
      <c r="C512" s="32" t="inlineStr">
        <is>
          <t>Olivia Walsh</t>
        </is>
      </c>
      <c r="D512" s="33" t="n">
        <v>100</v>
      </c>
      <c r="E512" s="32" t="inlineStr">
        <is>
          <t>OneCause</t>
        </is>
      </c>
      <c r="F512" s="34">
        <f>IF(A512="","",IFERROR(INT(A512),"check date"))</f>
        <v/>
      </c>
      <c r="G512" s="35">
        <f>IF(B512="","",IFERROR(INDEX(Students!$A:$A,MATCH(TRIM(B512),Students!$A:$A,0)),"NOT ON LIST"))</f>
        <v/>
      </c>
      <c r="H512" s="35">
        <f>IF(OR(G512="",G512="NOT ON LIST"),"",VLOOKUP(G512,Students!$A:$C,2,FALSE))</f>
        <v/>
      </c>
      <c r="I512" s="35">
        <f>IF(OR(G512="",G512="NOT ON LIST"),"",VLOOKUP(G512,Students!$A:$C,3,FALSE)&amp;"")</f>
        <v/>
      </c>
    </row>
    <row r="513">
      <c r="A513" s="31" t="n">
        <v>46330.54166666666</v>
      </c>
      <c r="B513" s="32" t="inlineStr">
        <is>
          <t>Liam Nguyen</t>
        </is>
      </c>
      <c r="C513" s="32" t="inlineStr">
        <is>
          <t>Luna Nguyen</t>
        </is>
      </c>
      <c r="D513" s="33" t="n">
        <v>20</v>
      </c>
      <c r="E513" s="32" t="inlineStr">
        <is>
          <t>OneCause</t>
        </is>
      </c>
      <c r="F513" s="34">
        <f>IF(A513="","",IFERROR(INT(A513),"check date"))</f>
        <v/>
      </c>
      <c r="G513" s="35">
        <f>IF(B513="","",IFERROR(INDEX(Students!$A:$A,MATCH(TRIM(B513),Students!$A:$A,0)),"NOT ON LIST"))</f>
        <v/>
      </c>
      <c r="H513" s="35">
        <f>IF(OR(G513="",G513="NOT ON LIST"),"",VLOOKUP(G513,Students!$A:$C,2,FALSE))</f>
        <v/>
      </c>
      <c r="I513" s="35">
        <f>IF(OR(G513="",G513="NOT ON LIST"),"",VLOOKUP(G513,Students!$A:$C,3,FALSE)&amp;"")</f>
        <v/>
      </c>
    </row>
    <row r="514">
      <c r="A514" s="31" t="n">
        <v>46332.3125</v>
      </c>
      <c r="B514" s="32" t="inlineStr">
        <is>
          <t>Zoe Gomez</t>
        </is>
      </c>
      <c r="C514" s="32" t="inlineStr">
        <is>
          <t>Clara Gomez</t>
        </is>
      </c>
      <c r="D514" s="33" t="n">
        <v>25</v>
      </c>
      <c r="E514" s="32" t="inlineStr">
        <is>
          <t>OneCause</t>
        </is>
      </c>
      <c r="F514" s="34">
        <f>IF(A514="","",IFERROR(INT(A514),"check date"))</f>
        <v/>
      </c>
      <c r="G514" s="35">
        <f>IF(B514="","",IFERROR(INDEX(Students!$A:$A,MATCH(TRIM(B514),Students!$A:$A,0)),"NOT ON LIST"))</f>
        <v/>
      </c>
      <c r="H514" s="35">
        <f>IF(OR(G514="",G514="NOT ON LIST"),"",VLOOKUP(G514,Students!$A:$C,2,FALSE))</f>
        <v/>
      </c>
      <c r="I514" s="35">
        <f>IF(OR(G514="",G514="NOT ON LIST"),"",VLOOKUP(G514,Students!$A:$C,3,FALSE)&amp;"")</f>
        <v/>
      </c>
    </row>
    <row r="515">
      <c r="A515" s="31" t="n">
        <v>46331</v>
      </c>
      <c r="B515" s="32" t="inlineStr">
        <is>
          <t>Gabriel Sanchez</t>
        </is>
      </c>
      <c r="C515" s="32" t="inlineStr">
        <is>
          <t>Noah Sanchez</t>
        </is>
      </c>
      <c r="D515" s="33" t="n">
        <v>20</v>
      </c>
      <c r="E515" s="32" t="inlineStr">
        <is>
          <t>Check</t>
        </is>
      </c>
      <c r="F515" s="34">
        <f>IF(A515="","",IFERROR(INT(A515),"check date"))</f>
        <v/>
      </c>
      <c r="G515" s="35">
        <f>IF(B515="","",IFERROR(INDEX(Students!$A:$A,MATCH(TRIM(B515),Students!$A:$A,0)),"NOT ON LIST"))</f>
        <v/>
      </c>
      <c r="H515" s="35">
        <f>IF(OR(G515="",G515="NOT ON LIST"),"",VLOOKUP(G515,Students!$A:$C,2,FALSE))</f>
        <v/>
      </c>
      <c r="I515" s="35">
        <f>IF(OR(G515="",G515="NOT ON LIST"),"",VLOOKUP(G515,Students!$A:$C,3,FALSE)&amp;"")</f>
        <v/>
      </c>
    </row>
    <row r="516">
      <c r="A516" s="31" t="n">
        <v>46339.39583333334</v>
      </c>
      <c r="B516" s="32" t="inlineStr">
        <is>
          <t>Elena Castillo</t>
        </is>
      </c>
      <c r="C516" s="32" t="inlineStr">
        <is>
          <t>Evelyn Castillo</t>
        </is>
      </c>
      <c r="D516" s="33" t="n">
        <v>150</v>
      </c>
      <c r="E516" s="32" t="inlineStr">
        <is>
          <t>OneCause</t>
        </is>
      </c>
      <c r="F516" s="34">
        <f>IF(A516="","",IFERROR(INT(A516),"check date"))</f>
        <v/>
      </c>
      <c r="G516" s="35">
        <f>IF(B516="","",IFERROR(INDEX(Students!$A:$A,MATCH(TRIM(B516),Students!$A:$A,0)),"NOT ON LIST"))</f>
        <v/>
      </c>
      <c r="H516" s="35">
        <f>IF(OR(G516="",G516="NOT ON LIST"),"",VLOOKUP(G516,Students!$A:$C,2,FALSE))</f>
        <v/>
      </c>
      <c r="I516" s="35">
        <f>IF(OR(G516="",G516="NOT ON LIST"),"",VLOOKUP(G516,Students!$A:$C,3,FALSE)&amp;"")</f>
        <v/>
      </c>
    </row>
    <row r="517">
      <c r="A517" s="31" t="n">
        <v>46336.34375</v>
      </c>
      <c r="B517" s="32" t="inlineStr">
        <is>
          <t>Ava Gomez</t>
        </is>
      </c>
      <c r="C517" s="32" t="inlineStr">
        <is>
          <t>Luna Gomez</t>
        </is>
      </c>
      <c r="D517" s="33" t="n">
        <v>75</v>
      </c>
      <c r="E517" s="32" t="inlineStr">
        <is>
          <t>OneCause</t>
        </is>
      </c>
      <c r="F517" s="34">
        <f>IF(A517="","",IFERROR(INT(A517),"check date"))</f>
        <v/>
      </c>
      <c r="G517" s="35">
        <f>IF(B517="","",IFERROR(INDEX(Students!$A:$A,MATCH(TRIM(B517),Students!$A:$A,0)),"NOT ON LIST"))</f>
        <v/>
      </c>
      <c r="H517" s="35">
        <f>IF(OR(G517="",G517="NOT ON LIST"),"",VLOOKUP(G517,Students!$A:$C,2,FALSE))</f>
        <v/>
      </c>
      <c r="I517" s="35">
        <f>IF(OR(G517="",G517="NOT ON LIST"),"",VLOOKUP(G517,Students!$A:$C,3,FALSE)&amp;"")</f>
        <v/>
      </c>
    </row>
    <row r="518">
      <c r="A518" s="31" t="n">
        <v>46338.82291666666</v>
      </c>
      <c r="B518" s="32" t="inlineStr">
        <is>
          <t>Mia Rodriguez</t>
        </is>
      </c>
      <c r="C518" s="32" t="inlineStr">
        <is>
          <t>Julian Rodriguez</t>
        </is>
      </c>
      <c r="D518" s="33" t="n">
        <v>20</v>
      </c>
      <c r="E518" s="32" t="inlineStr">
        <is>
          <t>OneCause</t>
        </is>
      </c>
      <c r="F518" s="34">
        <f>IF(A518="","",IFERROR(INT(A518),"check date"))</f>
        <v/>
      </c>
      <c r="G518" s="35">
        <f>IF(B518="","",IFERROR(INDEX(Students!$A:$A,MATCH(TRIM(B518),Students!$A:$A,0)),"NOT ON LIST"))</f>
        <v/>
      </c>
      <c r="H518" s="35">
        <f>IF(OR(G518="",G518="NOT ON LIST"),"",VLOOKUP(G518,Students!$A:$C,2,FALSE))</f>
        <v/>
      </c>
      <c r="I518" s="35">
        <f>IF(OR(G518="",G518="NOT ON LIST"),"",VLOOKUP(G518,Students!$A:$C,3,FALSE)&amp;"")</f>
        <v/>
      </c>
    </row>
    <row r="519">
      <c r="A519" s="31" t="n">
        <v>46339.32291666666</v>
      </c>
      <c r="B519" s="32" t="inlineStr">
        <is>
          <t>Aria Kim</t>
        </is>
      </c>
      <c r="C519" s="32" t="inlineStr">
        <is>
          <t>Ava Kim</t>
        </is>
      </c>
      <c r="D519" s="33" t="n">
        <v>25</v>
      </c>
      <c r="E519" s="32" t="inlineStr">
        <is>
          <t>OneCause</t>
        </is>
      </c>
      <c r="F519" s="34">
        <f>IF(A519="","",IFERROR(INT(A519),"check date"))</f>
        <v/>
      </c>
      <c r="G519" s="35">
        <f>IF(B519="","",IFERROR(INDEX(Students!$A:$A,MATCH(TRIM(B519),Students!$A:$A,0)),"NOT ON LIST"))</f>
        <v/>
      </c>
      <c r="H519" s="35">
        <f>IF(OR(G519="",G519="NOT ON LIST"),"",VLOOKUP(G519,Students!$A:$C,2,FALSE))</f>
        <v/>
      </c>
      <c r="I519" s="35">
        <f>IF(OR(G519="",G519="NOT ON LIST"),"",VLOOKUP(G519,Students!$A:$C,3,FALSE)&amp;"")</f>
        <v/>
      </c>
    </row>
    <row r="520">
      <c r="A520" s="31" t="n">
        <v>46335.53125</v>
      </c>
      <c r="B520" s="32" t="inlineStr">
        <is>
          <t>Liam Sullivan</t>
        </is>
      </c>
      <c r="C520" s="32" t="inlineStr">
        <is>
          <t>Elena Sullivan</t>
        </is>
      </c>
      <c r="D520" s="33" t="n">
        <v>75</v>
      </c>
      <c r="E520" s="32" t="inlineStr">
        <is>
          <t>OneCause</t>
        </is>
      </c>
      <c r="F520" s="34">
        <f>IF(A520="","",IFERROR(INT(A520),"check date"))</f>
        <v/>
      </c>
      <c r="G520" s="35">
        <f>IF(B520="","",IFERROR(INDEX(Students!$A:$A,MATCH(TRIM(B520),Students!$A:$A,0)),"NOT ON LIST"))</f>
        <v/>
      </c>
      <c r="H520" s="35">
        <f>IF(OR(G520="",G520="NOT ON LIST"),"",VLOOKUP(G520,Students!$A:$C,2,FALSE))</f>
        <v/>
      </c>
      <c r="I520" s="35">
        <f>IF(OR(G520="",G520="NOT ON LIST"),"",VLOOKUP(G520,Students!$A:$C,3,FALSE)&amp;"")</f>
        <v/>
      </c>
    </row>
    <row r="521">
      <c r="A521" s="31" t="n">
        <v>46330.69791666666</v>
      </c>
      <c r="B521" s="32" t="inlineStr">
        <is>
          <t>Liam Diaz</t>
        </is>
      </c>
      <c r="C521" s="32" t="inlineStr">
        <is>
          <t>Valentina Diaz</t>
        </is>
      </c>
      <c r="D521" s="33" t="n">
        <v>50</v>
      </c>
      <c r="E521" s="32" t="inlineStr">
        <is>
          <t>OneCause</t>
        </is>
      </c>
      <c r="F521" s="34">
        <f>IF(A521="","",IFERROR(INT(A521),"check date"))</f>
        <v/>
      </c>
      <c r="G521" s="35">
        <f>IF(B521="","",IFERROR(INDEX(Students!$A:$A,MATCH(TRIM(B521),Students!$A:$A,0)),"NOT ON LIST"))</f>
        <v/>
      </c>
      <c r="H521" s="35">
        <f>IF(OR(G521="",G521="NOT ON LIST"),"",VLOOKUP(G521,Students!$A:$C,2,FALSE))</f>
        <v/>
      </c>
      <c r="I521" s="35">
        <f>IF(OR(G521="",G521="NOT ON LIST"),"",VLOOKUP(G521,Students!$A:$C,3,FALSE)&amp;"")</f>
        <v/>
      </c>
    </row>
    <row r="522">
      <c r="A522" s="31" t="n">
        <v>46326.89583333334</v>
      </c>
      <c r="B522" s="32" t="inlineStr">
        <is>
          <t>Santiago Williams</t>
        </is>
      </c>
      <c r="C522" s="32" t="inlineStr">
        <is>
          <t>Luna Williams</t>
        </is>
      </c>
      <c r="D522" s="33" t="n">
        <v>25</v>
      </c>
      <c r="E522" s="32" t="inlineStr">
        <is>
          <t>OneCause</t>
        </is>
      </c>
      <c r="F522" s="34">
        <f>IF(A522="","",IFERROR(INT(A522),"check date"))</f>
        <v/>
      </c>
      <c r="G522" s="35">
        <f>IF(B522="","",IFERROR(INDEX(Students!$A:$A,MATCH(TRIM(B522),Students!$A:$A,0)),"NOT ON LIST"))</f>
        <v/>
      </c>
      <c r="H522" s="35">
        <f>IF(OR(G522="",G522="NOT ON LIST"),"",VLOOKUP(G522,Students!$A:$C,2,FALSE))</f>
        <v/>
      </c>
      <c r="I522" s="35">
        <f>IF(OR(G522="",G522="NOT ON LIST"),"",VLOOKUP(G522,Students!$A:$C,3,FALSE)&amp;"")</f>
        <v/>
      </c>
    </row>
    <row r="523">
      <c r="A523" s="31" t="n">
        <v>46338.77083333334</v>
      </c>
      <c r="B523" s="32" t="inlineStr">
        <is>
          <t>Ava Perez</t>
        </is>
      </c>
      <c r="C523" s="32" t="inlineStr">
        <is>
          <t>Luna Perez</t>
        </is>
      </c>
      <c r="D523" s="33" t="n">
        <v>25</v>
      </c>
      <c r="E523" s="32" t="inlineStr">
        <is>
          <t>OneCause</t>
        </is>
      </c>
      <c r="F523" s="34">
        <f>IF(A523="","",IFERROR(INT(A523),"check date"))</f>
        <v/>
      </c>
      <c r="G523" s="35">
        <f>IF(B523="","",IFERROR(INDEX(Students!$A:$A,MATCH(TRIM(B523),Students!$A:$A,0)),"NOT ON LIST"))</f>
        <v/>
      </c>
      <c r="H523" s="35">
        <f>IF(OR(G523="",G523="NOT ON LIST"),"",VLOOKUP(G523,Students!$A:$C,2,FALSE))</f>
        <v/>
      </c>
      <c r="I523" s="35">
        <f>IF(OR(G523="",G523="NOT ON LIST"),"",VLOOKUP(G523,Students!$A:$C,3,FALSE)&amp;"")</f>
        <v/>
      </c>
    </row>
    <row r="524">
      <c r="A524" s="31" t="n">
        <v>46329</v>
      </c>
      <c r="B524" s="32" t="inlineStr">
        <is>
          <t>Nora Flores</t>
        </is>
      </c>
      <c r="C524" s="32" t="inlineStr">
        <is>
          <t>Maya Flores</t>
        </is>
      </c>
      <c r="D524" s="33" t="n">
        <v>25</v>
      </c>
      <c r="E524" s="32" t="inlineStr">
        <is>
          <t>Cash</t>
        </is>
      </c>
      <c r="F524" s="34">
        <f>IF(A524="","",IFERROR(INT(A524),"check date"))</f>
        <v/>
      </c>
      <c r="G524" s="35">
        <f>IF(B524="","",IFERROR(INDEX(Students!$A:$A,MATCH(TRIM(B524),Students!$A:$A,0)),"NOT ON LIST"))</f>
        <v/>
      </c>
      <c r="H524" s="35">
        <f>IF(OR(G524="",G524="NOT ON LIST"),"",VLOOKUP(G524,Students!$A:$C,2,FALSE))</f>
        <v/>
      </c>
      <c r="I524" s="35">
        <f>IF(OR(G524="",G524="NOT ON LIST"),"",VLOOKUP(G524,Students!$A:$C,3,FALSE)&amp;"")</f>
        <v/>
      </c>
    </row>
    <row r="525">
      <c r="A525" s="31" t="n">
        <v>46331.36458333334</v>
      </c>
      <c r="B525" s="32" t="inlineStr">
        <is>
          <t>Sofia Nguyen</t>
        </is>
      </c>
      <c r="C525" s="32" t="inlineStr">
        <is>
          <t>Clara Nguyen</t>
        </is>
      </c>
      <c r="D525" s="33" t="n">
        <v>150</v>
      </c>
      <c r="E525" s="32" t="inlineStr">
        <is>
          <t>OneCause</t>
        </is>
      </c>
      <c r="F525" s="34">
        <f>IF(A525="","",IFERROR(INT(A525),"check date"))</f>
        <v/>
      </c>
      <c r="G525" s="35">
        <f>IF(B525="","",IFERROR(INDEX(Students!$A:$A,MATCH(TRIM(B525),Students!$A:$A,0)),"NOT ON LIST"))</f>
        <v/>
      </c>
      <c r="H525" s="35">
        <f>IF(OR(G525="",G525="NOT ON LIST"),"",VLOOKUP(G525,Students!$A:$C,2,FALSE))</f>
        <v/>
      </c>
      <c r="I525" s="35">
        <f>IF(OR(G525="",G525="NOT ON LIST"),"",VLOOKUP(G525,Students!$A:$C,3,FALSE)&amp;"")</f>
        <v/>
      </c>
    </row>
    <row r="526">
      <c r="A526" s="31" t="n">
        <v>46335.90625</v>
      </c>
      <c r="B526" s="32" t="inlineStr">
        <is>
          <t>Ava Sanchez</t>
        </is>
      </c>
      <c r="C526" s="32" t="inlineStr">
        <is>
          <t>Harper Sanchez</t>
        </is>
      </c>
      <c r="D526" s="33" t="n">
        <v>150</v>
      </c>
      <c r="E526" s="32" t="inlineStr">
        <is>
          <t>OneCause</t>
        </is>
      </c>
      <c r="F526" s="34">
        <f>IF(A526="","",IFERROR(INT(A526),"check date"))</f>
        <v/>
      </c>
      <c r="G526" s="35">
        <f>IF(B526="","",IFERROR(INDEX(Students!$A:$A,MATCH(TRIM(B526),Students!$A:$A,0)),"NOT ON LIST"))</f>
        <v/>
      </c>
      <c r="H526" s="35">
        <f>IF(OR(G526="",G526="NOT ON LIST"),"",VLOOKUP(G526,Students!$A:$C,2,FALSE))</f>
        <v/>
      </c>
      <c r="I526" s="35">
        <f>IF(OR(G526="",G526="NOT ON LIST"),"",VLOOKUP(G526,Students!$A:$C,3,FALSE)&amp;"")</f>
        <v/>
      </c>
    </row>
    <row r="527">
      <c r="A527" s="31" t="n">
        <v>46331.57291666666</v>
      </c>
      <c r="B527" s="32" t="inlineStr">
        <is>
          <t>Leo Johnson</t>
        </is>
      </c>
      <c r="C527" s="32" t="inlineStr">
        <is>
          <t>Gabriel Johnson</t>
        </is>
      </c>
      <c r="D527" s="33" t="n">
        <v>20</v>
      </c>
      <c r="E527" s="32" t="inlineStr">
        <is>
          <t>OneCause</t>
        </is>
      </c>
      <c r="F527" s="34">
        <f>IF(A527="","",IFERROR(INT(A527),"check date"))</f>
        <v/>
      </c>
      <c r="G527" s="35">
        <f>IF(B527="","",IFERROR(INDEX(Students!$A:$A,MATCH(TRIM(B527),Students!$A:$A,0)),"NOT ON LIST"))</f>
        <v/>
      </c>
      <c r="H527" s="35">
        <f>IF(OR(G527="",G527="NOT ON LIST"),"",VLOOKUP(G527,Students!$A:$C,2,FALSE))</f>
        <v/>
      </c>
      <c r="I527" s="35">
        <f>IF(OR(G527="",G527="NOT ON LIST"),"",VLOOKUP(G527,Students!$A:$C,3,FALSE)&amp;"")</f>
        <v/>
      </c>
    </row>
    <row r="528">
      <c r="A528" s="31" t="n">
        <v>46329.51041666666</v>
      </c>
      <c r="B528" s="32" t="inlineStr">
        <is>
          <t>Daniel Lopez</t>
        </is>
      </c>
      <c r="C528" s="32" t="inlineStr">
        <is>
          <t>Santiago Lopez</t>
        </is>
      </c>
      <c r="D528" s="33" t="n">
        <v>10</v>
      </c>
      <c r="E528" s="32" t="inlineStr">
        <is>
          <t>OneCause</t>
        </is>
      </c>
      <c r="F528" s="34">
        <f>IF(A528="","",IFERROR(INT(A528),"check date"))</f>
        <v/>
      </c>
      <c r="G528" s="35">
        <f>IF(B528="","",IFERROR(INDEX(Students!$A:$A,MATCH(TRIM(B528),Students!$A:$A,0)),"NOT ON LIST"))</f>
        <v/>
      </c>
      <c r="H528" s="35">
        <f>IF(OR(G528="",G528="NOT ON LIST"),"",VLOOKUP(G528,Students!$A:$C,2,FALSE))</f>
        <v/>
      </c>
      <c r="I528" s="35">
        <f>IF(OR(G528="",G528="NOT ON LIST"),"",VLOOKUP(G528,Students!$A:$C,3,FALSE)&amp;"")</f>
        <v/>
      </c>
    </row>
    <row r="529">
      <c r="A529" s="31" t="n">
        <v>46325.72916666666</v>
      </c>
      <c r="B529" s="32" t="inlineStr">
        <is>
          <t>Chloe Torres</t>
        </is>
      </c>
      <c r="C529" s="32" t="inlineStr">
        <is>
          <t>Amelia Torres</t>
        </is>
      </c>
      <c r="D529" s="33" t="n">
        <v>50</v>
      </c>
      <c r="E529" s="32" t="inlineStr">
        <is>
          <t>OneCause</t>
        </is>
      </c>
      <c r="F529" s="34">
        <f>IF(A529="","",IFERROR(INT(A529),"check date"))</f>
        <v/>
      </c>
      <c r="G529" s="35">
        <f>IF(B529="","",IFERROR(INDEX(Students!$A:$A,MATCH(TRIM(B529),Students!$A:$A,0)),"NOT ON LIST"))</f>
        <v/>
      </c>
      <c r="H529" s="35">
        <f>IF(OR(G529="",G529="NOT ON LIST"),"",VLOOKUP(G529,Students!$A:$C,2,FALSE))</f>
        <v/>
      </c>
      <c r="I529" s="35">
        <f>IF(OR(G529="",G529="NOT ON LIST"),"",VLOOKUP(G529,Students!$A:$C,3,FALSE)&amp;"")</f>
        <v/>
      </c>
    </row>
    <row r="530">
      <c r="A530" s="31" t="n">
        <v>46332.375</v>
      </c>
      <c r="B530" s="32" t="inlineStr">
        <is>
          <t>Valentina Ramirez</t>
        </is>
      </c>
      <c r="C530" s="32" t="inlineStr">
        <is>
          <t>Zoe Ramirez</t>
        </is>
      </c>
      <c r="D530" s="33" t="n">
        <v>25</v>
      </c>
      <c r="E530" s="32" t="inlineStr">
        <is>
          <t>OneCause</t>
        </is>
      </c>
      <c r="F530" s="34">
        <f>IF(A530="","",IFERROR(INT(A530),"check date"))</f>
        <v/>
      </c>
      <c r="G530" s="35">
        <f>IF(B530="","",IFERROR(INDEX(Students!$A:$A,MATCH(TRIM(B530),Students!$A:$A,0)),"NOT ON LIST"))</f>
        <v/>
      </c>
      <c r="H530" s="35">
        <f>IF(OR(G530="",G530="NOT ON LIST"),"",VLOOKUP(G530,Students!$A:$C,2,FALSE))</f>
        <v/>
      </c>
      <c r="I530" s="35">
        <f>IF(OR(G530="",G530="NOT ON LIST"),"",VLOOKUP(G530,Students!$A:$C,3,FALSE)&amp;"")</f>
        <v/>
      </c>
    </row>
    <row r="531">
      <c r="A531" s="31" t="n">
        <v>46330.6875</v>
      </c>
      <c r="B531" s="32" t="inlineStr">
        <is>
          <t>Olivia Gutierrez</t>
        </is>
      </c>
      <c r="C531" s="32" t="inlineStr">
        <is>
          <t>Gabriel Gutierrez</t>
        </is>
      </c>
      <c r="D531" s="33" t="n">
        <v>50</v>
      </c>
      <c r="E531" s="32" t="inlineStr">
        <is>
          <t>OneCause</t>
        </is>
      </c>
      <c r="F531" s="34">
        <f>IF(A531="","",IFERROR(INT(A531),"check date"))</f>
        <v/>
      </c>
      <c r="G531" s="35">
        <f>IF(B531="","",IFERROR(INDEX(Students!$A:$A,MATCH(TRIM(B531),Students!$A:$A,0)),"NOT ON LIST"))</f>
        <v/>
      </c>
      <c r="H531" s="35">
        <f>IF(OR(G531="",G531="NOT ON LIST"),"",VLOOKUP(G531,Students!$A:$C,2,FALSE))</f>
        <v/>
      </c>
      <c r="I531" s="35">
        <f>IF(OR(G531="",G531="NOT ON LIST"),"",VLOOKUP(G531,Students!$A:$C,3,FALSE)&amp;"")</f>
        <v/>
      </c>
    </row>
    <row r="532">
      <c r="A532" s="31" t="n">
        <v>46337.66666666666</v>
      </c>
      <c r="B532" s="32" t="inlineStr">
        <is>
          <t>Joseph Vasquez</t>
        </is>
      </c>
      <c r="C532" s="32" t="inlineStr">
        <is>
          <t>Lucas Vasquez</t>
        </is>
      </c>
      <c r="D532" s="33" t="n">
        <v>50</v>
      </c>
      <c r="E532" s="32" t="inlineStr">
        <is>
          <t>OneCause</t>
        </is>
      </c>
      <c r="F532" s="34">
        <f>IF(A532="","",IFERROR(INT(A532),"check date"))</f>
        <v/>
      </c>
      <c r="G532" s="35">
        <f>IF(B532="","",IFERROR(INDEX(Students!$A:$A,MATCH(TRIM(B532),Students!$A:$A,0)),"NOT ON LIST"))</f>
        <v/>
      </c>
      <c r="H532" s="35">
        <f>IF(OR(G532="",G532="NOT ON LIST"),"",VLOOKUP(G532,Students!$A:$C,2,FALSE))</f>
        <v/>
      </c>
      <c r="I532" s="35">
        <f>IF(OR(G532="",G532="NOT ON LIST"),"",VLOOKUP(G532,Students!$A:$C,3,FALSE)&amp;"")</f>
        <v/>
      </c>
    </row>
    <row r="533">
      <c r="A533" s="31" t="n">
        <v>46339.67708333334</v>
      </c>
      <c r="B533" s="32" t="inlineStr">
        <is>
          <t>Clara Sullivan</t>
        </is>
      </c>
      <c r="C533" s="32" t="inlineStr">
        <is>
          <t>Amelia Sullivan</t>
        </is>
      </c>
      <c r="D533" s="33" t="n">
        <v>50</v>
      </c>
      <c r="E533" s="32" t="inlineStr">
        <is>
          <t>OneCause</t>
        </is>
      </c>
      <c r="F533" s="34">
        <f>IF(A533="","",IFERROR(INT(A533),"check date"))</f>
        <v/>
      </c>
      <c r="G533" s="35">
        <f>IF(B533="","",IFERROR(INDEX(Students!$A:$A,MATCH(TRIM(B533),Students!$A:$A,0)),"NOT ON LIST"))</f>
        <v/>
      </c>
      <c r="H533" s="35">
        <f>IF(OR(G533="",G533="NOT ON LIST"),"",VLOOKUP(G533,Students!$A:$C,2,FALSE))</f>
        <v/>
      </c>
      <c r="I533" s="35">
        <f>IF(OR(G533="",G533="NOT ON LIST"),"",VLOOKUP(G533,Students!$A:$C,3,FALSE)&amp;"")</f>
        <v/>
      </c>
    </row>
    <row r="534">
      <c r="A534" s="31" t="n">
        <v>46329.40625</v>
      </c>
      <c r="B534" s="32" t="inlineStr">
        <is>
          <t>Leo Johnson</t>
        </is>
      </c>
      <c r="C534" s="32" t="inlineStr">
        <is>
          <t>Lucas Johnson</t>
        </is>
      </c>
      <c r="D534" s="33" t="n">
        <v>50</v>
      </c>
      <c r="E534" s="32" t="inlineStr">
        <is>
          <t>OneCause</t>
        </is>
      </c>
      <c r="F534" s="34">
        <f>IF(A534="","",IFERROR(INT(A534),"check date"))</f>
        <v/>
      </c>
      <c r="G534" s="35">
        <f>IF(B534="","",IFERROR(INDEX(Students!$A:$A,MATCH(TRIM(B534),Students!$A:$A,0)),"NOT ON LIST"))</f>
        <v/>
      </c>
      <c r="H534" s="35">
        <f>IF(OR(G534="",G534="NOT ON LIST"),"",VLOOKUP(G534,Students!$A:$C,2,FALSE))</f>
        <v/>
      </c>
      <c r="I534" s="35">
        <f>IF(OR(G534="",G534="NOT ON LIST"),"",VLOOKUP(G534,Students!$A:$C,3,FALSE)&amp;"")</f>
        <v/>
      </c>
    </row>
    <row r="535">
      <c r="A535" s="31" t="n">
        <v>46331.4375</v>
      </c>
      <c r="B535" s="32" t="inlineStr">
        <is>
          <t>Liam Castillo</t>
        </is>
      </c>
      <c r="C535" s="32" t="inlineStr">
        <is>
          <t>Maya Castillo</t>
        </is>
      </c>
      <c r="D535" s="33" t="n">
        <v>40</v>
      </c>
      <c r="E535" s="32" t="inlineStr">
        <is>
          <t>OneCause</t>
        </is>
      </c>
      <c r="F535" s="34">
        <f>IF(A535="","",IFERROR(INT(A535),"check date"))</f>
        <v/>
      </c>
      <c r="G535" s="35">
        <f>IF(B535="","",IFERROR(INDEX(Students!$A:$A,MATCH(TRIM(B535),Students!$A:$A,0)),"NOT ON LIST"))</f>
        <v/>
      </c>
      <c r="H535" s="35">
        <f>IF(OR(G535="",G535="NOT ON LIST"),"",VLOOKUP(G535,Students!$A:$C,2,FALSE))</f>
        <v/>
      </c>
      <c r="I535" s="35">
        <f>IF(OR(G535="",G535="NOT ON LIST"),"",VLOOKUP(G535,Students!$A:$C,3,FALSE)&amp;"")</f>
        <v/>
      </c>
    </row>
    <row r="536">
      <c r="A536" s="31" t="n">
        <v>46338</v>
      </c>
      <c r="B536" s="32" t="inlineStr">
        <is>
          <t>Harper Kelly</t>
        </is>
      </c>
      <c r="C536" s="32" t="inlineStr">
        <is>
          <t>Aria Kelly</t>
        </is>
      </c>
      <c r="D536" s="33" t="n">
        <v>100</v>
      </c>
      <c r="E536" s="32" t="inlineStr">
        <is>
          <t>Cash</t>
        </is>
      </c>
      <c r="F536" s="34">
        <f>IF(A536="","",IFERROR(INT(A536),"check date"))</f>
        <v/>
      </c>
      <c r="G536" s="35">
        <f>IF(B536="","",IFERROR(INDEX(Students!$A:$A,MATCH(TRIM(B536),Students!$A:$A,0)),"NOT ON LIST"))</f>
        <v/>
      </c>
      <c r="H536" s="35">
        <f>IF(OR(G536="",G536="NOT ON LIST"),"",VLOOKUP(G536,Students!$A:$C,2,FALSE))</f>
        <v/>
      </c>
      <c r="I536" s="35">
        <f>IF(OR(G536="",G536="NOT ON LIST"),"",VLOOKUP(G536,Students!$A:$C,3,FALSE)&amp;"")</f>
        <v/>
      </c>
    </row>
    <row r="537">
      <c r="A537" s="31" t="n">
        <v>46329.45833333334</v>
      </c>
      <c r="B537" s="32" t="inlineStr">
        <is>
          <t>Liam Sullivan</t>
        </is>
      </c>
      <c r="C537" s="32" t="inlineStr">
        <is>
          <t>Nicolas Sullivan</t>
        </is>
      </c>
      <c r="D537" s="33" t="n">
        <v>25</v>
      </c>
      <c r="E537" s="32" t="inlineStr">
        <is>
          <t>OneCause</t>
        </is>
      </c>
      <c r="F537" s="34">
        <f>IF(A537="","",IFERROR(INT(A537),"check date"))</f>
        <v/>
      </c>
      <c r="G537" s="35">
        <f>IF(B537="","",IFERROR(INDEX(Students!$A:$A,MATCH(TRIM(B537),Students!$A:$A,0)),"NOT ON LIST"))</f>
        <v/>
      </c>
      <c r="H537" s="35">
        <f>IF(OR(G537="",G537="NOT ON LIST"),"",VLOOKUP(G537,Students!$A:$C,2,FALSE))</f>
        <v/>
      </c>
      <c r="I537" s="35">
        <f>IF(OR(G537="",G537="NOT ON LIST"),"",VLOOKUP(G537,Students!$A:$C,3,FALSE)&amp;"")</f>
        <v/>
      </c>
    </row>
    <row r="538">
      <c r="A538" s="31" t="n">
        <v>46329.54166666666</v>
      </c>
      <c r="B538" s="32" t="inlineStr">
        <is>
          <t>Mateo Vasquez</t>
        </is>
      </c>
      <c r="C538" s="32" t="inlineStr">
        <is>
          <t>Maya Vasquez</t>
        </is>
      </c>
      <c r="D538" s="33" t="n">
        <v>40</v>
      </c>
      <c r="E538" s="32" t="inlineStr">
        <is>
          <t>OneCause</t>
        </is>
      </c>
      <c r="F538" s="34">
        <f>IF(A538="","",IFERROR(INT(A538),"check date"))</f>
        <v/>
      </c>
      <c r="G538" s="35">
        <f>IF(B538="","",IFERROR(INDEX(Students!$A:$A,MATCH(TRIM(B538),Students!$A:$A,0)),"NOT ON LIST"))</f>
        <v/>
      </c>
      <c r="H538" s="35">
        <f>IF(OR(G538="",G538="NOT ON LIST"),"",VLOOKUP(G538,Students!$A:$C,2,FALSE))</f>
        <v/>
      </c>
      <c r="I538" s="35">
        <f>IF(OR(G538="",G538="NOT ON LIST"),"",VLOOKUP(G538,Students!$A:$C,3,FALSE)&amp;"")</f>
        <v/>
      </c>
    </row>
    <row r="539">
      <c r="A539" s="31" t="n">
        <v>46338.51041666666</v>
      </c>
      <c r="B539" s="32" t="inlineStr">
        <is>
          <t>Ella Reyes</t>
        </is>
      </c>
      <c r="C539" s="32" t="inlineStr">
        <is>
          <t>Amelia Reyes</t>
        </is>
      </c>
      <c r="D539" s="33" t="n">
        <v>50</v>
      </c>
      <c r="E539" s="32" t="inlineStr">
        <is>
          <t>OneCause</t>
        </is>
      </c>
      <c r="F539" s="34">
        <f>IF(A539="","",IFERROR(INT(A539),"check date"))</f>
        <v/>
      </c>
      <c r="G539" s="35">
        <f>IF(B539="","",IFERROR(INDEX(Students!$A:$A,MATCH(TRIM(B539),Students!$A:$A,0)),"NOT ON LIST"))</f>
        <v/>
      </c>
      <c r="H539" s="35">
        <f>IF(OR(G539="",G539="NOT ON LIST"),"",VLOOKUP(G539,Students!$A:$C,2,FALSE))</f>
        <v/>
      </c>
      <c r="I539" s="35">
        <f>IF(OR(G539="",G539="NOT ON LIST"),"",VLOOKUP(G539,Students!$A:$C,3,FALSE)&amp;"")</f>
        <v/>
      </c>
    </row>
    <row r="540">
      <c r="A540" s="31" t="n">
        <v>46333.71875</v>
      </c>
      <c r="B540" s="32" t="inlineStr">
        <is>
          <t>Evelyn Rodriguez</t>
        </is>
      </c>
      <c r="C540" s="32" t="inlineStr">
        <is>
          <t>Amelia Rodriguez</t>
        </is>
      </c>
      <c r="D540" s="33" t="n">
        <v>20</v>
      </c>
      <c r="E540" s="32" t="inlineStr">
        <is>
          <t>OneCause</t>
        </is>
      </c>
      <c r="F540" s="34">
        <f>IF(A540="","",IFERROR(INT(A540),"check date"))</f>
        <v/>
      </c>
      <c r="G540" s="35">
        <f>IF(B540="","",IFERROR(INDEX(Students!$A:$A,MATCH(TRIM(B540),Students!$A:$A,0)),"NOT ON LIST"))</f>
        <v/>
      </c>
      <c r="H540" s="35">
        <f>IF(OR(G540="",G540="NOT ON LIST"),"",VLOOKUP(G540,Students!$A:$C,2,FALSE))</f>
        <v/>
      </c>
      <c r="I540" s="35">
        <f>IF(OR(G540="",G540="NOT ON LIST"),"",VLOOKUP(G540,Students!$A:$C,3,FALSE)&amp;"")</f>
        <v/>
      </c>
    </row>
    <row r="541">
      <c r="A541" s="31" t="n">
        <v>46334.51041666666</v>
      </c>
      <c r="B541" s="32" t="inlineStr">
        <is>
          <t>Mia Garcia</t>
        </is>
      </c>
      <c r="C541" s="32" t="inlineStr">
        <is>
          <t>Clara Garcia</t>
        </is>
      </c>
      <c r="D541" s="33" t="n">
        <v>150</v>
      </c>
      <c r="E541" s="32" t="inlineStr">
        <is>
          <t>OneCause</t>
        </is>
      </c>
      <c r="F541" s="34">
        <f>IF(A541="","",IFERROR(INT(A541),"check date"))</f>
        <v/>
      </c>
      <c r="G541" s="35">
        <f>IF(B541="","",IFERROR(INDEX(Students!$A:$A,MATCH(TRIM(B541),Students!$A:$A,0)),"NOT ON LIST"))</f>
        <v/>
      </c>
      <c r="H541" s="35">
        <f>IF(OR(G541="",G541="NOT ON LIST"),"",VLOOKUP(G541,Students!$A:$C,2,FALSE))</f>
        <v/>
      </c>
      <c r="I541" s="35">
        <f>IF(OR(G541="",G541="NOT ON LIST"),"",VLOOKUP(G541,Students!$A:$C,3,FALSE)&amp;"")</f>
        <v/>
      </c>
    </row>
    <row r="542">
      <c r="A542" s="31" t="n">
        <v>46339</v>
      </c>
      <c r="B542" s="32" t="inlineStr">
        <is>
          <t>Adrian Diaz</t>
        </is>
      </c>
      <c r="C542" s="32" t="inlineStr">
        <is>
          <t>Lucas Diaz</t>
        </is>
      </c>
      <c r="D542" s="33" t="n">
        <v>100</v>
      </c>
      <c r="E542" s="32" t="inlineStr">
        <is>
          <t>Cash</t>
        </is>
      </c>
      <c r="F542" s="34">
        <f>IF(A542="","",IFERROR(INT(A542),"check date"))</f>
        <v/>
      </c>
      <c r="G542" s="35">
        <f>IF(B542="","",IFERROR(INDEX(Students!$A:$A,MATCH(TRIM(B542),Students!$A:$A,0)),"NOT ON LIST"))</f>
        <v/>
      </c>
      <c r="H542" s="35">
        <f>IF(OR(G542="",G542="NOT ON LIST"),"",VLOOKUP(G542,Students!$A:$C,2,FALSE))</f>
        <v/>
      </c>
      <c r="I542" s="35">
        <f>IF(OR(G542="",G542="NOT ON LIST"),"",VLOOKUP(G542,Students!$A:$C,3,FALSE)&amp;"")</f>
        <v/>
      </c>
    </row>
    <row r="543">
      <c r="A543" s="31" t="n">
        <v>46336.34375</v>
      </c>
      <c r="B543" s="32" t="inlineStr">
        <is>
          <t>Noah Hernandez</t>
        </is>
      </c>
      <c r="C543" s="32" t="inlineStr">
        <is>
          <t>Chloe Hernandez</t>
        </is>
      </c>
      <c r="D543" s="33" t="n">
        <v>20</v>
      </c>
      <c r="E543" s="32" t="inlineStr">
        <is>
          <t>OneCause</t>
        </is>
      </c>
      <c r="F543" s="34">
        <f>IF(A543="","",IFERROR(INT(A543),"check date"))</f>
        <v/>
      </c>
      <c r="G543" s="35">
        <f>IF(B543="","",IFERROR(INDEX(Students!$A:$A,MATCH(TRIM(B543),Students!$A:$A,0)),"NOT ON LIST"))</f>
        <v/>
      </c>
      <c r="H543" s="35">
        <f>IF(OR(G543="",G543="NOT ON LIST"),"",VLOOKUP(G543,Students!$A:$C,2,FALSE))</f>
        <v/>
      </c>
      <c r="I543" s="35">
        <f>IF(OR(G543="",G543="NOT ON LIST"),"",VLOOKUP(G543,Students!$A:$C,3,FALSE)&amp;"")</f>
        <v/>
      </c>
    </row>
    <row r="544">
      <c r="A544" s="31" t="n">
        <v>46336.30208333334</v>
      </c>
      <c r="B544" s="32" t="inlineStr">
        <is>
          <t>Mateo Martinez</t>
        </is>
      </c>
      <c r="C544" s="32" t="inlineStr">
        <is>
          <t>Mateo Martinez</t>
        </is>
      </c>
      <c r="D544" s="33" t="n">
        <v>150</v>
      </c>
      <c r="E544" s="32" t="inlineStr">
        <is>
          <t>OneCause</t>
        </is>
      </c>
      <c r="F544" s="34">
        <f>IF(A544="","",IFERROR(INT(A544),"check date"))</f>
        <v/>
      </c>
      <c r="G544" s="35">
        <f>IF(B544="","",IFERROR(INDEX(Students!$A:$A,MATCH(TRIM(B544),Students!$A:$A,0)),"NOT ON LIST"))</f>
        <v/>
      </c>
      <c r="H544" s="35">
        <f>IF(OR(G544="",G544="NOT ON LIST"),"",VLOOKUP(G544,Students!$A:$C,2,FALSE))</f>
        <v/>
      </c>
      <c r="I544" s="35">
        <f>IF(OR(G544="",G544="NOT ON LIST"),"",VLOOKUP(G544,Students!$A:$C,3,FALSE)&amp;"")</f>
        <v/>
      </c>
    </row>
    <row r="545">
      <c r="A545" s="31" t="n">
        <v>46339</v>
      </c>
      <c r="B545" s="32" t="inlineStr">
        <is>
          <t>Diego Nguyen</t>
        </is>
      </c>
      <c r="C545" s="32" t="inlineStr">
        <is>
          <t>Luna Nguyen</t>
        </is>
      </c>
      <c r="D545" s="33" t="n">
        <v>10</v>
      </c>
      <c r="E545" s="32" t="inlineStr">
        <is>
          <t>Cash</t>
        </is>
      </c>
      <c r="F545" s="34">
        <f>IF(A545="","",IFERROR(INT(A545),"check date"))</f>
        <v/>
      </c>
      <c r="G545" s="35">
        <f>IF(B545="","",IFERROR(INDEX(Students!$A:$A,MATCH(TRIM(B545),Students!$A:$A,0)),"NOT ON LIST"))</f>
        <v/>
      </c>
      <c r="H545" s="35">
        <f>IF(OR(G545="",G545="NOT ON LIST"),"",VLOOKUP(G545,Students!$A:$C,2,FALSE))</f>
        <v/>
      </c>
      <c r="I545" s="35">
        <f>IF(OR(G545="",G545="NOT ON LIST"),"",VLOOKUP(G545,Students!$A:$C,3,FALSE)&amp;"")</f>
        <v/>
      </c>
    </row>
    <row r="546">
      <c r="A546" s="31" t="n">
        <v>46325.77083333334</v>
      </c>
      <c r="B546" s="32" t="inlineStr">
        <is>
          <t>Julian Castillo</t>
        </is>
      </c>
      <c r="C546" s="32" t="inlineStr">
        <is>
          <t>Harper Castillo</t>
        </is>
      </c>
      <c r="D546" s="33" t="n">
        <v>25</v>
      </c>
      <c r="E546" s="32" t="inlineStr">
        <is>
          <t>OneCause</t>
        </is>
      </c>
      <c r="F546" s="34">
        <f>IF(A546="","",IFERROR(INT(A546),"check date"))</f>
        <v/>
      </c>
      <c r="G546" s="35">
        <f>IF(B546="","",IFERROR(INDEX(Students!$A:$A,MATCH(TRIM(B546),Students!$A:$A,0)),"NOT ON LIST"))</f>
        <v/>
      </c>
      <c r="H546" s="35">
        <f>IF(OR(G546="",G546="NOT ON LIST"),"",VLOOKUP(G546,Students!$A:$C,2,FALSE))</f>
        <v/>
      </c>
      <c r="I546" s="35">
        <f>IF(OR(G546="",G546="NOT ON LIST"),"",VLOOKUP(G546,Students!$A:$C,3,FALSE)&amp;"")</f>
        <v/>
      </c>
    </row>
    <row r="547">
      <c r="A547" s="31" t="n">
        <v>46328.8125</v>
      </c>
      <c r="B547" s="32" t="inlineStr">
        <is>
          <t>Olivia Morales</t>
        </is>
      </c>
      <c r="C547" s="32" t="inlineStr">
        <is>
          <t>Elijah Morales</t>
        </is>
      </c>
      <c r="D547" s="33" t="n">
        <v>10</v>
      </c>
      <c r="E547" s="32" t="inlineStr">
        <is>
          <t>OneCause</t>
        </is>
      </c>
      <c r="F547" s="34">
        <f>IF(A547="","",IFERROR(INT(A547),"check date"))</f>
        <v/>
      </c>
      <c r="G547" s="35">
        <f>IF(B547="","",IFERROR(INDEX(Students!$A:$A,MATCH(TRIM(B547),Students!$A:$A,0)),"NOT ON LIST"))</f>
        <v/>
      </c>
      <c r="H547" s="35">
        <f>IF(OR(G547="",G547="NOT ON LIST"),"",VLOOKUP(G547,Students!$A:$C,2,FALSE))</f>
        <v/>
      </c>
      <c r="I547" s="35">
        <f>IF(OR(G547="",G547="NOT ON LIST"),"",VLOOKUP(G547,Students!$A:$C,3,FALSE)&amp;"")</f>
        <v/>
      </c>
    </row>
    <row r="548">
      <c r="A548" s="31" t="n">
        <v>46333.60416666666</v>
      </c>
      <c r="B548" s="32" t="inlineStr">
        <is>
          <t>Zoe Castillo</t>
        </is>
      </c>
      <c r="C548" s="32" t="inlineStr">
        <is>
          <t>Ava Castillo</t>
        </is>
      </c>
      <c r="D548" s="33" t="n">
        <v>50</v>
      </c>
      <c r="E548" s="32" t="inlineStr">
        <is>
          <t>OneCause</t>
        </is>
      </c>
      <c r="F548" s="34">
        <f>IF(A548="","",IFERROR(INT(A548),"check date"))</f>
        <v/>
      </c>
      <c r="G548" s="35">
        <f>IF(B548="","",IFERROR(INDEX(Students!$A:$A,MATCH(TRIM(B548),Students!$A:$A,0)),"NOT ON LIST"))</f>
        <v/>
      </c>
      <c r="H548" s="35">
        <f>IF(OR(G548="",G548="NOT ON LIST"),"",VLOOKUP(G548,Students!$A:$C,2,FALSE))</f>
        <v/>
      </c>
      <c r="I548" s="35">
        <f>IF(OR(G548="",G548="NOT ON LIST"),"",VLOOKUP(G548,Students!$A:$C,3,FALSE)&amp;"")</f>
        <v/>
      </c>
    </row>
    <row r="549">
      <c r="A549" s="31" t="n">
        <v>46335.48958333334</v>
      </c>
      <c r="B549" s="32" t="inlineStr">
        <is>
          <t>Thomas Cruz</t>
        </is>
      </c>
      <c r="C549" s="32" t="inlineStr">
        <is>
          <t>Harper Cruz</t>
        </is>
      </c>
      <c r="D549" s="33" t="n">
        <v>25</v>
      </c>
      <c r="E549" s="32" t="inlineStr">
        <is>
          <t>OneCause</t>
        </is>
      </c>
      <c r="F549" s="34">
        <f>IF(A549="","",IFERROR(INT(A549),"check date"))</f>
        <v/>
      </c>
      <c r="G549" s="35">
        <f>IF(B549="","",IFERROR(INDEX(Students!$A:$A,MATCH(TRIM(B549),Students!$A:$A,0)),"NOT ON LIST"))</f>
        <v/>
      </c>
      <c r="H549" s="35">
        <f>IF(OR(G549="",G549="NOT ON LIST"),"",VLOOKUP(G549,Students!$A:$C,2,FALSE))</f>
        <v/>
      </c>
      <c r="I549" s="35">
        <f>IF(OR(G549="",G549="NOT ON LIST"),"",VLOOKUP(G549,Students!$A:$C,3,FALSE)&amp;"")</f>
        <v/>
      </c>
    </row>
    <row r="550">
      <c r="A550" s="31" t="n">
        <v>46338.38541666666</v>
      </c>
      <c r="B550" s="32" t="inlineStr">
        <is>
          <t>Samuel Martinez</t>
        </is>
      </c>
      <c r="C550" s="32" t="inlineStr">
        <is>
          <t>Elijah Martinez</t>
        </is>
      </c>
      <c r="D550" s="33" t="n">
        <v>50</v>
      </c>
      <c r="E550" s="32" t="inlineStr">
        <is>
          <t>OneCause</t>
        </is>
      </c>
      <c r="F550" s="34">
        <f>IF(A550="","",IFERROR(INT(A550),"check date"))</f>
        <v/>
      </c>
      <c r="G550" s="35">
        <f>IF(B550="","",IFERROR(INDEX(Students!$A:$A,MATCH(TRIM(B550),Students!$A:$A,0)),"NOT ON LIST"))</f>
        <v/>
      </c>
      <c r="H550" s="35">
        <f>IF(OR(G550="",G550="NOT ON LIST"),"",VLOOKUP(G550,Students!$A:$C,2,FALSE))</f>
        <v/>
      </c>
      <c r="I550" s="35">
        <f>IF(OR(G550="",G550="NOT ON LIST"),"",VLOOKUP(G550,Students!$A:$C,3,FALSE)&amp;"")</f>
        <v/>
      </c>
    </row>
    <row r="551">
      <c r="A551" s="31" t="n">
        <v>46335.67708333334</v>
      </c>
      <c r="B551" s="32" t="inlineStr">
        <is>
          <t>Emma Ramos</t>
        </is>
      </c>
      <c r="C551" s="32" t="inlineStr">
        <is>
          <t>Evelyn Ramos</t>
        </is>
      </c>
      <c r="D551" s="33" t="n">
        <v>25</v>
      </c>
      <c r="E551" s="32" t="inlineStr">
        <is>
          <t>OneCause</t>
        </is>
      </c>
      <c r="F551" s="34">
        <f>IF(A551="","",IFERROR(INT(A551),"check date"))</f>
        <v/>
      </c>
      <c r="G551" s="35">
        <f>IF(B551="","",IFERROR(INDEX(Students!$A:$A,MATCH(TRIM(B551),Students!$A:$A,0)),"NOT ON LIST"))</f>
        <v/>
      </c>
      <c r="H551" s="35">
        <f>IF(OR(G551="",G551="NOT ON LIST"),"",VLOOKUP(G551,Students!$A:$C,2,FALSE))</f>
        <v/>
      </c>
      <c r="I551" s="35">
        <f>IF(OR(G551="",G551="NOT ON LIST"),"",VLOOKUP(G551,Students!$A:$C,3,FALSE)&amp;"")</f>
        <v/>
      </c>
    </row>
    <row r="552">
      <c r="A552" s="31" t="n">
        <v>46331.57291666666</v>
      </c>
      <c r="B552" s="32" t="inlineStr">
        <is>
          <t>Mateo Cruz</t>
        </is>
      </c>
      <c r="C552" s="32" t="inlineStr">
        <is>
          <t>James Cruz</t>
        </is>
      </c>
      <c r="D552" s="33" t="n">
        <v>50</v>
      </c>
      <c r="E552" s="32" t="inlineStr">
        <is>
          <t>OneCause</t>
        </is>
      </c>
      <c r="F552" s="34">
        <f>IF(A552="","",IFERROR(INT(A552),"check date"))</f>
        <v/>
      </c>
      <c r="G552" s="35">
        <f>IF(B552="","",IFERROR(INDEX(Students!$A:$A,MATCH(TRIM(B552),Students!$A:$A,0)),"NOT ON LIST"))</f>
        <v/>
      </c>
      <c r="H552" s="35">
        <f>IF(OR(G552="",G552="NOT ON LIST"),"",VLOOKUP(G552,Students!$A:$C,2,FALSE))</f>
        <v/>
      </c>
      <c r="I552" s="35">
        <f>IF(OR(G552="",G552="NOT ON LIST"),"",VLOOKUP(G552,Students!$A:$C,3,FALSE)&amp;"")</f>
        <v/>
      </c>
    </row>
    <row r="553">
      <c r="A553" s="31" t="n">
        <v>46325.39583333334</v>
      </c>
      <c r="B553" s="32" t="inlineStr">
        <is>
          <t>Adrian Kelly</t>
        </is>
      </c>
      <c r="C553" s="32" t="inlineStr">
        <is>
          <t>Zoe Kelly</t>
        </is>
      </c>
      <c r="D553" s="33" t="n">
        <v>25</v>
      </c>
      <c r="E553" s="32" t="inlineStr">
        <is>
          <t>OneCause</t>
        </is>
      </c>
      <c r="F553" s="34">
        <f>IF(A553="","",IFERROR(INT(A553),"check date"))</f>
        <v/>
      </c>
      <c r="G553" s="35">
        <f>IF(B553="","",IFERROR(INDEX(Students!$A:$A,MATCH(TRIM(B553),Students!$A:$A,0)),"NOT ON LIST"))</f>
        <v/>
      </c>
      <c r="H553" s="35">
        <f>IF(OR(G553="",G553="NOT ON LIST"),"",VLOOKUP(G553,Students!$A:$C,2,FALSE))</f>
        <v/>
      </c>
      <c r="I553" s="35">
        <f>IF(OR(G553="",G553="NOT ON LIST"),"",VLOOKUP(G553,Students!$A:$C,3,FALSE)&amp;"")</f>
        <v/>
      </c>
    </row>
    <row r="554">
      <c r="A554" s="31" t="n">
        <v>46325.46875</v>
      </c>
      <c r="B554" s="32" t="inlineStr">
        <is>
          <t>Mateo Mendoza</t>
        </is>
      </c>
      <c r="C554" s="32" t="inlineStr">
        <is>
          <t>Grace Mendoza</t>
        </is>
      </c>
      <c r="D554" s="33" t="n">
        <v>50</v>
      </c>
      <c r="E554" s="32" t="inlineStr">
        <is>
          <t>OneCause</t>
        </is>
      </c>
      <c r="F554" s="34">
        <f>IF(A554="","",IFERROR(INT(A554),"check date"))</f>
        <v/>
      </c>
      <c r="G554" s="35">
        <f>IF(B554="","",IFERROR(INDEX(Students!$A:$A,MATCH(TRIM(B554),Students!$A:$A,0)),"NOT ON LIST"))</f>
        <v/>
      </c>
      <c r="H554" s="35">
        <f>IF(OR(G554="",G554="NOT ON LIST"),"",VLOOKUP(G554,Students!$A:$C,2,FALSE))</f>
        <v/>
      </c>
      <c r="I554" s="35">
        <f>IF(OR(G554="",G554="NOT ON LIST"),"",VLOOKUP(G554,Students!$A:$C,3,FALSE)&amp;"")</f>
        <v/>
      </c>
    </row>
    <row r="555">
      <c r="A555" s="31" t="n">
        <v>46339.70833333334</v>
      </c>
      <c r="B555" s="32" t="inlineStr">
        <is>
          <t>Nicolas Rivera</t>
        </is>
      </c>
      <c r="C555" s="32" t="inlineStr">
        <is>
          <t>Evelyn Rivera</t>
        </is>
      </c>
      <c r="D555" s="33" t="n">
        <v>40</v>
      </c>
      <c r="E555" s="32" t="inlineStr">
        <is>
          <t>OneCause</t>
        </is>
      </c>
      <c r="F555" s="34">
        <f>IF(A555="","",IFERROR(INT(A555),"check date"))</f>
        <v/>
      </c>
      <c r="G555" s="35">
        <f>IF(B555="","",IFERROR(INDEX(Students!$A:$A,MATCH(TRIM(B555),Students!$A:$A,0)),"NOT ON LIST"))</f>
        <v/>
      </c>
      <c r="H555" s="35">
        <f>IF(OR(G555="",G555="NOT ON LIST"),"",VLOOKUP(G555,Students!$A:$C,2,FALSE))</f>
        <v/>
      </c>
      <c r="I555" s="35">
        <f>IF(OR(G555="",G555="NOT ON LIST"),"",VLOOKUP(G555,Students!$A:$C,3,FALSE)&amp;"")</f>
        <v/>
      </c>
    </row>
    <row r="556">
      <c r="A556" s="31" t="n">
        <v>46328.79166666666</v>
      </c>
      <c r="B556" s="32" t="inlineStr">
        <is>
          <t>Harper Diaz</t>
        </is>
      </c>
      <c r="C556" s="32" t="inlineStr">
        <is>
          <t>Chloe Diaz</t>
        </is>
      </c>
      <c r="D556" s="33" t="n">
        <v>25</v>
      </c>
      <c r="E556" s="32" t="inlineStr">
        <is>
          <t>OneCause</t>
        </is>
      </c>
      <c r="F556" s="34">
        <f>IF(A556="","",IFERROR(INT(A556),"check date"))</f>
        <v/>
      </c>
      <c r="G556" s="35">
        <f>IF(B556="","",IFERROR(INDEX(Students!$A:$A,MATCH(TRIM(B556),Students!$A:$A,0)),"NOT ON LIST"))</f>
        <v/>
      </c>
      <c r="H556" s="35">
        <f>IF(OR(G556="",G556="NOT ON LIST"),"",VLOOKUP(G556,Students!$A:$C,2,FALSE))</f>
        <v/>
      </c>
      <c r="I556" s="35">
        <f>IF(OR(G556="",G556="NOT ON LIST"),"",VLOOKUP(G556,Students!$A:$C,3,FALSE)&amp;"")</f>
        <v/>
      </c>
    </row>
    <row r="557">
      <c r="A557" s="31" t="n">
        <v>46339.38541666666</v>
      </c>
      <c r="B557" s="32" t="inlineStr">
        <is>
          <t>Emma Martinez</t>
        </is>
      </c>
      <c r="C557" s="32" t="inlineStr">
        <is>
          <t>Ella Martinez</t>
        </is>
      </c>
      <c r="D557" s="33" t="n">
        <v>40</v>
      </c>
      <c r="E557" s="32" t="inlineStr">
        <is>
          <t>OneCause</t>
        </is>
      </c>
      <c r="F557" s="34">
        <f>IF(A557="","",IFERROR(INT(A557),"check date"))</f>
        <v/>
      </c>
      <c r="G557" s="35">
        <f>IF(B557="","",IFERROR(INDEX(Students!$A:$A,MATCH(TRIM(B557),Students!$A:$A,0)),"NOT ON LIST"))</f>
        <v/>
      </c>
      <c r="H557" s="35">
        <f>IF(OR(G557="",G557="NOT ON LIST"),"",VLOOKUP(G557,Students!$A:$C,2,FALSE))</f>
        <v/>
      </c>
      <c r="I557" s="35">
        <f>IF(OR(G557="",G557="NOT ON LIST"),"",VLOOKUP(G557,Students!$A:$C,3,FALSE)&amp;"")</f>
        <v/>
      </c>
    </row>
    <row r="558">
      <c r="A558" s="31" t="n">
        <v>46335.29166666666</v>
      </c>
      <c r="B558" s="32" t="inlineStr">
        <is>
          <t>Camila Johnson</t>
        </is>
      </c>
      <c r="C558" s="32" t="inlineStr">
        <is>
          <t>Emma Johnson</t>
        </is>
      </c>
      <c r="D558" s="33" t="n">
        <v>100</v>
      </c>
      <c r="E558" s="32" t="inlineStr">
        <is>
          <t>OneCause</t>
        </is>
      </c>
      <c r="F558" s="34">
        <f>IF(A558="","",IFERROR(INT(A558),"check date"))</f>
        <v/>
      </c>
      <c r="G558" s="35">
        <f>IF(B558="","",IFERROR(INDEX(Students!$A:$A,MATCH(TRIM(B558),Students!$A:$A,0)),"NOT ON LIST"))</f>
        <v/>
      </c>
      <c r="H558" s="35">
        <f>IF(OR(G558="",G558="NOT ON LIST"),"",VLOOKUP(G558,Students!$A:$C,2,FALSE))</f>
        <v/>
      </c>
      <c r="I558" s="35">
        <f>IF(OR(G558="",G558="NOT ON LIST"),"",VLOOKUP(G558,Students!$A:$C,3,FALSE)&amp;"")</f>
        <v/>
      </c>
    </row>
    <row r="559">
      <c r="A559" s="31" t="n">
        <v>46332.66666666666</v>
      </c>
      <c r="B559" s="32" t="inlineStr">
        <is>
          <t>Liam Ortiz</t>
        </is>
      </c>
      <c r="C559" s="32" t="inlineStr">
        <is>
          <t>Diego Ortiz</t>
        </is>
      </c>
      <c r="D559" s="33" t="n">
        <v>20</v>
      </c>
      <c r="E559" s="32" t="inlineStr">
        <is>
          <t>OneCause</t>
        </is>
      </c>
      <c r="F559" s="34">
        <f>IF(A559="","",IFERROR(INT(A559),"check date"))</f>
        <v/>
      </c>
      <c r="G559" s="35">
        <f>IF(B559="","",IFERROR(INDEX(Students!$A:$A,MATCH(TRIM(B559),Students!$A:$A,0)),"NOT ON LIST"))</f>
        <v/>
      </c>
      <c r="H559" s="35">
        <f>IF(OR(G559="",G559="NOT ON LIST"),"",VLOOKUP(G559,Students!$A:$C,2,FALSE))</f>
        <v/>
      </c>
      <c r="I559" s="35">
        <f>IF(OR(G559="",G559="NOT ON LIST"),"",VLOOKUP(G559,Students!$A:$C,3,FALSE)&amp;"")</f>
        <v/>
      </c>
    </row>
    <row r="560">
      <c r="A560" s="31" t="n">
        <v>46326.71875</v>
      </c>
      <c r="B560" s="32" t="inlineStr">
        <is>
          <t>Harper Chavez</t>
        </is>
      </c>
      <c r="C560" s="32" t="inlineStr">
        <is>
          <t>Clara Chavez</t>
        </is>
      </c>
      <c r="D560" s="33" t="n">
        <v>40</v>
      </c>
      <c r="E560" s="32" t="inlineStr">
        <is>
          <t>OneCause</t>
        </is>
      </c>
      <c r="F560" s="34">
        <f>IF(A560="","",IFERROR(INT(A560),"check date"))</f>
        <v/>
      </c>
      <c r="G560" s="35">
        <f>IF(B560="","",IFERROR(INDEX(Students!$A:$A,MATCH(TRIM(B560),Students!$A:$A,0)),"NOT ON LIST"))</f>
        <v/>
      </c>
      <c r="H560" s="35">
        <f>IF(OR(G560="",G560="NOT ON LIST"),"",VLOOKUP(G560,Students!$A:$C,2,FALSE))</f>
        <v/>
      </c>
      <c r="I560" s="35">
        <f>IF(OR(G560="",G560="NOT ON LIST"),"",VLOOKUP(G560,Students!$A:$C,3,FALSE)&amp;"")</f>
        <v/>
      </c>
    </row>
    <row r="561">
      <c r="A561" s="31" t="n">
        <v>46329.66666666666</v>
      </c>
      <c r="B561" s="32" t="inlineStr">
        <is>
          <t>James Gutierrez</t>
        </is>
      </c>
      <c r="C561" s="32" t="inlineStr">
        <is>
          <t>Joseph Gutierrez</t>
        </is>
      </c>
      <c r="D561" s="33" t="n">
        <v>75</v>
      </c>
      <c r="E561" s="32" t="inlineStr">
        <is>
          <t>OneCause</t>
        </is>
      </c>
      <c r="F561" s="34">
        <f>IF(A561="","",IFERROR(INT(A561),"check date"))</f>
        <v/>
      </c>
      <c r="G561" s="35">
        <f>IF(B561="","",IFERROR(INDEX(Students!$A:$A,MATCH(TRIM(B561),Students!$A:$A,0)),"NOT ON LIST"))</f>
        <v/>
      </c>
      <c r="H561" s="35">
        <f>IF(OR(G561="",G561="NOT ON LIST"),"",VLOOKUP(G561,Students!$A:$C,2,FALSE))</f>
        <v/>
      </c>
      <c r="I561" s="35">
        <f>IF(OR(G561="",G561="NOT ON LIST"),"",VLOOKUP(G561,Students!$A:$C,3,FALSE)&amp;"")</f>
        <v/>
      </c>
    </row>
    <row r="562">
      <c r="A562" s="31" t="n">
        <v>46339.375</v>
      </c>
      <c r="B562" s="32" t="inlineStr">
        <is>
          <t>Nicolas Brown</t>
        </is>
      </c>
      <c r="C562" s="32" t="inlineStr">
        <is>
          <t>Amelia Brown</t>
        </is>
      </c>
      <c r="D562" s="33" t="n">
        <v>50</v>
      </c>
      <c r="E562" s="32" t="inlineStr">
        <is>
          <t>OneCause</t>
        </is>
      </c>
      <c r="F562" s="34">
        <f>IF(A562="","",IFERROR(INT(A562),"check date"))</f>
        <v/>
      </c>
      <c r="G562" s="35">
        <f>IF(B562="","",IFERROR(INDEX(Students!$A:$A,MATCH(TRIM(B562),Students!$A:$A,0)),"NOT ON LIST"))</f>
        <v/>
      </c>
      <c r="H562" s="35">
        <f>IF(OR(G562="",G562="NOT ON LIST"),"",VLOOKUP(G562,Students!$A:$C,2,FALSE))</f>
        <v/>
      </c>
      <c r="I562" s="35">
        <f>IF(OR(G562="",G562="NOT ON LIST"),"",VLOOKUP(G562,Students!$A:$C,3,FALSE)&amp;"")</f>
        <v/>
      </c>
    </row>
    <row r="563">
      <c r="A563" s="31" t="n">
        <v>46339.44791666666</v>
      </c>
      <c r="B563" s="32" t="inlineStr">
        <is>
          <t>Luna Alvarez</t>
        </is>
      </c>
      <c r="C563" s="32" t="inlineStr">
        <is>
          <t>Isaac Alvarez</t>
        </is>
      </c>
      <c r="D563" s="33" t="n">
        <v>100</v>
      </c>
      <c r="E563" s="32" t="inlineStr">
        <is>
          <t>OneCause</t>
        </is>
      </c>
      <c r="F563" s="34">
        <f>IF(A563="","",IFERROR(INT(A563),"check date"))</f>
        <v/>
      </c>
      <c r="G563" s="35">
        <f>IF(B563="","",IFERROR(INDEX(Students!$A:$A,MATCH(TRIM(B563),Students!$A:$A,0)),"NOT ON LIST"))</f>
        <v/>
      </c>
      <c r="H563" s="35">
        <f>IF(OR(G563="",G563="NOT ON LIST"),"",VLOOKUP(G563,Students!$A:$C,2,FALSE))</f>
        <v/>
      </c>
      <c r="I563" s="35">
        <f>IF(OR(G563="",G563="NOT ON LIST"),"",VLOOKUP(G563,Students!$A:$C,3,FALSE)&amp;"")</f>
        <v/>
      </c>
    </row>
    <row r="564">
      <c r="A564" s="31" t="n">
        <v>46334.36458333334</v>
      </c>
      <c r="B564" s="32" t="inlineStr">
        <is>
          <t>Grace Gonzalez</t>
        </is>
      </c>
      <c r="C564" s="32" t="inlineStr">
        <is>
          <t>Ava Gonzalez</t>
        </is>
      </c>
      <c r="D564" s="33" t="n">
        <v>75</v>
      </c>
      <c r="E564" s="32" t="inlineStr">
        <is>
          <t>OneCause</t>
        </is>
      </c>
      <c r="F564" s="34">
        <f>IF(A564="","",IFERROR(INT(A564),"check date"))</f>
        <v/>
      </c>
      <c r="G564" s="35">
        <f>IF(B564="","",IFERROR(INDEX(Students!$A:$A,MATCH(TRIM(B564),Students!$A:$A,0)),"NOT ON LIST"))</f>
        <v/>
      </c>
      <c r="H564" s="35">
        <f>IF(OR(G564="",G564="NOT ON LIST"),"",VLOOKUP(G564,Students!$A:$C,2,FALSE))</f>
        <v/>
      </c>
      <c r="I564" s="35">
        <f>IF(OR(G564="",G564="NOT ON LIST"),"",VLOOKUP(G564,Students!$A:$C,3,FALSE)&amp;"")</f>
        <v/>
      </c>
    </row>
    <row r="565">
      <c r="A565" s="31" t="n">
        <v>46338.625</v>
      </c>
      <c r="B565" s="32" t="inlineStr">
        <is>
          <t>Thomas Perez</t>
        </is>
      </c>
      <c r="C565" s="32" t="inlineStr">
        <is>
          <t>Camila Perez</t>
        </is>
      </c>
      <c r="D565" s="33" t="n">
        <v>25</v>
      </c>
      <c r="E565" s="32" t="inlineStr">
        <is>
          <t>OneCause</t>
        </is>
      </c>
      <c r="F565" s="34">
        <f>IF(A565="","",IFERROR(INT(A565),"check date"))</f>
        <v/>
      </c>
      <c r="G565" s="35">
        <f>IF(B565="","",IFERROR(INDEX(Students!$A:$A,MATCH(TRIM(B565),Students!$A:$A,0)),"NOT ON LIST"))</f>
        <v/>
      </c>
      <c r="H565" s="35">
        <f>IF(OR(G565="",G565="NOT ON LIST"),"",VLOOKUP(G565,Students!$A:$C,2,FALSE))</f>
        <v/>
      </c>
      <c r="I565" s="35">
        <f>IF(OR(G565="",G565="NOT ON LIST"),"",VLOOKUP(G565,Students!$A:$C,3,FALSE)&amp;"")</f>
        <v/>
      </c>
    </row>
    <row r="566">
      <c r="A566" s="31" t="n">
        <v>46335</v>
      </c>
      <c r="B566" s="32" t="inlineStr">
        <is>
          <t>Mia Patel</t>
        </is>
      </c>
      <c r="C566" s="32" t="inlineStr">
        <is>
          <t>Ava Patel</t>
        </is>
      </c>
      <c r="D566" s="33" t="n">
        <v>75</v>
      </c>
      <c r="E566" s="32" t="inlineStr">
        <is>
          <t>Cash</t>
        </is>
      </c>
      <c r="F566" s="34">
        <f>IF(A566="","",IFERROR(INT(A566),"check date"))</f>
        <v/>
      </c>
      <c r="G566" s="35">
        <f>IF(B566="","",IFERROR(INDEX(Students!$A:$A,MATCH(TRIM(B566),Students!$A:$A,0)),"NOT ON LIST"))</f>
        <v/>
      </c>
      <c r="H566" s="35">
        <f>IF(OR(G566="",G566="NOT ON LIST"),"",VLOOKUP(G566,Students!$A:$C,2,FALSE))</f>
        <v/>
      </c>
      <c r="I566" s="35">
        <f>IF(OR(G566="",G566="NOT ON LIST"),"",VLOOKUP(G566,Students!$A:$C,3,FALSE)&amp;"")</f>
        <v/>
      </c>
    </row>
    <row r="567">
      <c r="A567" s="31" t="n">
        <v>46326.63541666666</v>
      </c>
      <c r="B567" s="32" t="inlineStr">
        <is>
          <t>Zoe Hernandez</t>
        </is>
      </c>
      <c r="C567" s="32" t="inlineStr">
        <is>
          <t>Joseph Hernandez</t>
        </is>
      </c>
      <c r="D567" s="33" t="n">
        <v>40</v>
      </c>
      <c r="E567" s="32" t="inlineStr">
        <is>
          <t>OneCause</t>
        </is>
      </c>
      <c r="F567" s="34">
        <f>IF(A567="","",IFERROR(INT(A567),"check date"))</f>
        <v/>
      </c>
      <c r="G567" s="35">
        <f>IF(B567="","",IFERROR(INDEX(Students!$A:$A,MATCH(TRIM(B567),Students!$A:$A,0)),"NOT ON LIST"))</f>
        <v/>
      </c>
      <c r="H567" s="35">
        <f>IF(OR(G567="",G567="NOT ON LIST"),"",VLOOKUP(G567,Students!$A:$C,2,FALSE))</f>
        <v/>
      </c>
      <c r="I567" s="35">
        <f>IF(OR(G567="",G567="NOT ON LIST"),"",VLOOKUP(G567,Students!$A:$C,3,FALSE)&amp;"")</f>
        <v/>
      </c>
    </row>
    <row r="568">
      <c r="A568" s="31" t="n">
        <v>46329.29166666666</v>
      </c>
      <c r="B568" s="32" t="inlineStr">
        <is>
          <t>Daniel Gomez</t>
        </is>
      </c>
      <c r="C568" s="32" t="inlineStr">
        <is>
          <t>Henry Gomez</t>
        </is>
      </c>
      <c r="D568" s="33" t="n">
        <v>10</v>
      </c>
      <c r="E568" s="32" t="inlineStr">
        <is>
          <t>OneCause</t>
        </is>
      </c>
      <c r="F568" s="34">
        <f>IF(A568="","",IFERROR(INT(A568),"check date"))</f>
        <v/>
      </c>
      <c r="G568" s="35">
        <f>IF(B568="","",IFERROR(INDEX(Students!$A:$A,MATCH(TRIM(B568),Students!$A:$A,0)),"NOT ON LIST"))</f>
        <v/>
      </c>
      <c r="H568" s="35">
        <f>IF(OR(G568="",G568="NOT ON LIST"),"",VLOOKUP(G568,Students!$A:$C,2,FALSE))</f>
        <v/>
      </c>
      <c r="I568" s="35">
        <f>IF(OR(G568="",G568="NOT ON LIST"),"",VLOOKUP(G568,Students!$A:$C,3,FALSE)&amp;"")</f>
        <v/>
      </c>
    </row>
    <row r="569">
      <c r="A569" s="31" t="n">
        <v>46335.45833333334</v>
      </c>
      <c r="B569" s="32" t="inlineStr">
        <is>
          <t>Camila Patel</t>
        </is>
      </c>
      <c r="C569" s="32" t="inlineStr">
        <is>
          <t>Emma Patel</t>
        </is>
      </c>
      <c r="D569" s="33" t="n">
        <v>25</v>
      </c>
      <c r="E569" s="32" t="inlineStr">
        <is>
          <t>OneCause</t>
        </is>
      </c>
      <c r="F569" s="34">
        <f>IF(A569="","",IFERROR(INT(A569),"check date"))</f>
        <v/>
      </c>
      <c r="G569" s="35">
        <f>IF(B569="","",IFERROR(INDEX(Students!$A:$A,MATCH(TRIM(B569),Students!$A:$A,0)),"NOT ON LIST"))</f>
        <v/>
      </c>
      <c r="H569" s="35">
        <f>IF(OR(G569="",G569="NOT ON LIST"),"",VLOOKUP(G569,Students!$A:$C,2,FALSE))</f>
        <v/>
      </c>
      <c r="I569" s="35">
        <f>IF(OR(G569="",G569="NOT ON LIST"),"",VLOOKUP(G569,Students!$A:$C,3,FALSE)&amp;"")</f>
        <v/>
      </c>
    </row>
    <row r="570">
      <c r="A570" s="31" t="n">
        <v>46335.3125</v>
      </c>
      <c r="B570" s="32" t="inlineStr">
        <is>
          <t>Adrian Ruiz</t>
        </is>
      </c>
      <c r="C570" s="32" t="inlineStr">
        <is>
          <t>Valentina Ruiz</t>
        </is>
      </c>
      <c r="D570" s="33" t="n">
        <v>50</v>
      </c>
      <c r="E570" s="32" t="inlineStr">
        <is>
          <t>OneCause</t>
        </is>
      </c>
      <c r="F570" s="34">
        <f>IF(A570="","",IFERROR(INT(A570),"check date"))</f>
        <v/>
      </c>
      <c r="G570" s="35">
        <f>IF(B570="","",IFERROR(INDEX(Students!$A:$A,MATCH(TRIM(B570),Students!$A:$A,0)),"NOT ON LIST"))</f>
        <v/>
      </c>
      <c r="H570" s="35">
        <f>IF(OR(G570="",G570="NOT ON LIST"),"",VLOOKUP(G570,Students!$A:$C,2,FALSE))</f>
        <v/>
      </c>
      <c r="I570" s="35">
        <f>IF(OR(G570="",G570="NOT ON LIST"),"",VLOOKUP(G570,Students!$A:$C,3,FALSE)&amp;"")</f>
        <v/>
      </c>
    </row>
    <row r="571">
      <c r="A571" s="31" t="n">
        <v>46329.39583333334</v>
      </c>
      <c r="B571" s="32" t="inlineStr">
        <is>
          <t>Daniel Cruz</t>
        </is>
      </c>
      <c r="C571" s="32" t="inlineStr">
        <is>
          <t>Valentina Cruz</t>
        </is>
      </c>
      <c r="D571" s="33" t="n">
        <v>25</v>
      </c>
      <c r="E571" s="32" t="inlineStr">
        <is>
          <t>OneCause</t>
        </is>
      </c>
      <c r="F571" s="34">
        <f>IF(A571="","",IFERROR(INT(A571),"check date"))</f>
        <v/>
      </c>
      <c r="G571" s="35">
        <f>IF(B571="","",IFERROR(INDEX(Students!$A:$A,MATCH(TRIM(B571),Students!$A:$A,0)),"NOT ON LIST"))</f>
        <v/>
      </c>
      <c r="H571" s="35">
        <f>IF(OR(G571="",G571="NOT ON LIST"),"",VLOOKUP(G571,Students!$A:$C,2,FALSE))</f>
        <v/>
      </c>
      <c r="I571" s="35">
        <f>IF(OR(G571="",G571="NOT ON LIST"),"",VLOOKUP(G571,Students!$A:$C,3,FALSE)&amp;"")</f>
        <v/>
      </c>
    </row>
    <row r="572">
      <c r="A572" s="31" t="n">
        <v>46338.65625</v>
      </c>
      <c r="B572" s="32" t="inlineStr">
        <is>
          <t>Aria Martinez</t>
        </is>
      </c>
      <c r="C572" s="32" t="inlineStr">
        <is>
          <t>Gabriel Martinez</t>
        </is>
      </c>
      <c r="D572" s="33" t="n">
        <v>50</v>
      </c>
      <c r="E572" s="32" t="inlineStr">
        <is>
          <t>OneCause</t>
        </is>
      </c>
      <c r="F572" s="34">
        <f>IF(A572="","",IFERROR(INT(A572),"check date"))</f>
        <v/>
      </c>
      <c r="G572" s="35">
        <f>IF(B572="","",IFERROR(INDEX(Students!$A:$A,MATCH(TRIM(B572),Students!$A:$A,0)),"NOT ON LIST"))</f>
        <v/>
      </c>
      <c r="H572" s="35">
        <f>IF(OR(G572="",G572="NOT ON LIST"),"",VLOOKUP(G572,Students!$A:$C,2,FALSE))</f>
        <v/>
      </c>
      <c r="I572" s="35">
        <f>IF(OR(G572="",G572="NOT ON LIST"),"",VLOOKUP(G572,Students!$A:$C,3,FALSE)&amp;"")</f>
        <v/>
      </c>
    </row>
    <row r="573">
      <c r="A573" s="31" t="n">
        <v>46339.38541666666</v>
      </c>
      <c r="B573" s="32" t="inlineStr">
        <is>
          <t>Luna Alvarez</t>
        </is>
      </c>
      <c r="C573" s="32" t="inlineStr">
        <is>
          <t>Elijah Alvarez</t>
        </is>
      </c>
      <c r="D573" s="33" t="n">
        <v>100</v>
      </c>
      <c r="E573" s="32" t="inlineStr">
        <is>
          <t>OneCause</t>
        </is>
      </c>
      <c r="F573" s="34">
        <f>IF(A573="","",IFERROR(INT(A573),"check date"))</f>
        <v/>
      </c>
      <c r="G573" s="35">
        <f>IF(B573="","",IFERROR(INDEX(Students!$A:$A,MATCH(TRIM(B573),Students!$A:$A,0)),"NOT ON LIST"))</f>
        <v/>
      </c>
      <c r="H573" s="35">
        <f>IF(OR(G573="",G573="NOT ON LIST"),"",VLOOKUP(G573,Students!$A:$C,2,FALSE))</f>
        <v/>
      </c>
      <c r="I573" s="35">
        <f>IF(OR(G573="",G573="NOT ON LIST"),"",VLOOKUP(G573,Students!$A:$C,3,FALSE)&amp;"")</f>
        <v/>
      </c>
    </row>
    <row r="574">
      <c r="A574" s="31" t="n">
        <v>46332.6875</v>
      </c>
      <c r="B574" s="32" t="inlineStr">
        <is>
          <t>Liam Ruiz</t>
        </is>
      </c>
      <c r="C574" s="32" t="inlineStr">
        <is>
          <t>Ella Ruiz</t>
        </is>
      </c>
      <c r="D574" s="33" t="n">
        <v>50</v>
      </c>
      <c r="E574" s="32" t="inlineStr">
        <is>
          <t>OneCause</t>
        </is>
      </c>
      <c r="F574" s="34">
        <f>IF(A574="","",IFERROR(INT(A574),"check date"))</f>
        <v/>
      </c>
      <c r="G574" s="35">
        <f>IF(B574="","",IFERROR(INDEX(Students!$A:$A,MATCH(TRIM(B574),Students!$A:$A,0)),"NOT ON LIST"))</f>
        <v/>
      </c>
      <c r="H574" s="35">
        <f>IF(OR(G574="",G574="NOT ON LIST"),"",VLOOKUP(G574,Students!$A:$C,2,FALSE))</f>
        <v/>
      </c>
      <c r="I574" s="35">
        <f>IF(OR(G574="",G574="NOT ON LIST"),"",VLOOKUP(G574,Students!$A:$C,3,FALSE)&amp;"")</f>
        <v/>
      </c>
    </row>
    <row r="575">
      <c r="A575" s="31" t="n">
        <v>46335.5625</v>
      </c>
      <c r="B575" s="32" t="inlineStr">
        <is>
          <t>Isabella Ruiz</t>
        </is>
      </c>
      <c r="C575" s="32" t="inlineStr">
        <is>
          <t>Aria Ruiz</t>
        </is>
      </c>
      <c r="D575" s="33" t="n">
        <v>25</v>
      </c>
      <c r="E575" s="32" t="inlineStr">
        <is>
          <t>OneCause</t>
        </is>
      </c>
      <c r="F575" s="34">
        <f>IF(A575="","",IFERROR(INT(A575),"check date"))</f>
        <v/>
      </c>
      <c r="G575" s="35">
        <f>IF(B575="","",IFERROR(INDEX(Students!$A:$A,MATCH(TRIM(B575),Students!$A:$A,0)),"NOT ON LIST"))</f>
        <v/>
      </c>
      <c r="H575" s="35">
        <f>IF(OR(G575="",G575="NOT ON LIST"),"",VLOOKUP(G575,Students!$A:$C,2,FALSE))</f>
        <v/>
      </c>
      <c r="I575" s="35">
        <f>IF(OR(G575="",G575="NOT ON LIST"),"",VLOOKUP(G575,Students!$A:$C,3,FALSE)&amp;"")</f>
        <v/>
      </c>
    </row>
    <row r="576">
      <c r="A576" s="31" t="n">
        <v>46333.8125</v>
      </c>
      <c r="B576" s="32" t="inlineStr">
        <is>
          <t>Julian Lopez</t>
        </is>
      </c>
      <c r="C576" s="32" t="inlineStr">
        <is>
          <t>Grace Lopez</t>
        </is>
      </c>
      <c r="D576" s="33" t="n">
        <v>100</v>
      </c>
      <c r="E576" s="32" t="inlineStr">
        <is>
          <t>OneCause</t>
        </is>
      </c>
      <c r="F576" s="34">
        <f>IF(A576="","",IFERROR(INT(A576),"check date"))</f>
        <v/>
      </c>
      <c r="G576" s="35">
        <f>IF(B576="","",IFERROR(INDEX(Students!$A:$A,MATCH(TRIM(B576),Students!$A:$A,0)),"NOT ON LIST"))</f>
        <v/>
      </c>
      <c r="H576" s="35">
        <f>IF(OR(G576="",G576="NOT ON LIST"),"",VLOOKUP(G576,Students!$A:$C,2,FALSE))</f>
        <v/>
      </c>
      <c r="I576" s="35">
        <f>IF(OR(G576="",G576="NOT ON LIST"),"",VLOOKUP(G576,Students!$A:$C,3,FALSE)&amp;"")</f>
        <v/>
      </c>
    </row>
    <row r="577">
      <c r="A577" s="31" t="n">
        <v>46339.8125</v>
      </c>
      <c r="B577" s="32" t="inlineStr">
        <is>
          <t>Mateo Vasquez</t>
        </is>
      </c>
      <c r="C577" s="32" t="inlineStr">
        <is>
          <t>Nora Vasquez</t>
        </is>
      </c>
      <c r="D577" s="33" t="n">
        <v>25</v>
      </c>
      <c r="E577" s="32" t="inlineStr">
        <is>
          <t>OneCause</t>
        </is>
      </c>
      <c r="F577" s="34">
        <f>IF(A577="","",IFERROR(INT(A577),"check date"))</f>
        <v/>
      </c>
      <c r="G577" s="35">
        <f>IF(B577="","",IFERROR(INDEX(Students!$A:$A,MATCH(TRIM(B577),Students!$A:$A,0)),"NOT ON LIST"))</f>
        <v/>
      </c>
      <c r="H577" s="35">
        <f>IF(OR(G577="",G577="NOT ON LIST"),"",VLOOKUP(G577,Students!$A:$C,2,FALSE))</f>
        <v/>
      </c>
      <c r="I577" s="35">
        <f>IF(OR(G577="",G577="NOT ON LIST"),"",VLOOKUP(G577,Students!$A:$C,3,FALSE)&amp;"")</f>
        <v/>
      </c>
    </row>
    <row r="578">
      <c r="A578" s="31" t="n">
        <v>46339.34375</v>
      </c>
      <c r="B578" s="32" t="inlineStr">
        <is>
          <t>Julian Cruz</t>
        </is>
      </c>
      <c r="C578" s="32" t="inlineStr">
        <is>
          <t>Elijah Cruz</t>
        </is>
      </c>
      <c r="D578" s="33" t="n">
        <v>25</v>
      </c>
      <c r="E578" s="32" t="inlineStr">
        <is>
          <t>OneCause</t>
        </is>
      </c>
      <c r="F578" s="34">
        <f>IF(A578="","",IFERROR(INT(A578),"check date"))</f>
        <v/>
      </c>
      <c r="G578" s="35">
        <f>IF(B578="","",IFERROR(INDEX(Students!$A:$A,MATCH(TRIM(B578),Students!$A:$A,0)),"NOT ON LIST"))</f>
        <v/>
      </c>
      <c r="H578" s="35">
        <f>IF(OR(G578="",G578="NOT ON LIST"),"",VLOOKUP(G578,Students!$A:$C,2,FALSE))</f>
        <v/>
      </c>
      <c r="I578" s="35">
        <f>IF(OR(G578="",G578="NOT ON LIST"),"",VLOOKUP(G578,Students!$A:$C,3,FALSE)&amp;"")</f>
        <v/>
      </c>
    </row>
    <row r="579">
      <c r="A579" s="31" t="n">
        <v>46327.40625</v>
      </c>
      <c r="B579" s="32" t="inlineStr">
        <is>
          <t>Nora Williams</t>
        </is>
      </c>
      <c r="C579" s="32" t="inlineStr">
        <is>
          <t>David Williams</t>
        </is>
      </c>
      <c r="D579" s="33" t="n">
        <v>25</v>
      </c>
      <c r="E579" s="32" t="inlineStr">
        <is>
          <t>OneCause</t>
        </is>
      </c>
      <c r="F579" s="34">
        <f>IF(A579="","",IFERROR(INT(A579),"check date"))</f>
        <v/>
      </c>
      <c r="G579" s="35">
        <f>IF(B579="","",IFERROR(INDEX(Students!$A:$A,MATCH(TRIM(B579),Students!$A:$A,0)),"NOT ON LIST"))</f>
        <v/>
      </c>
      <c r="H579" s="35">
        <f>IF(OR(G579="",G579="NOT ON LIST"),"",VLOOKUP(G579,Students!$A:$C,2,FALSE))</f>
        <v/>
      </c>
      <c r="I579" s="35">
        <f>IF(OR(G579="",G579="NOT ON LIST"),"",VLOOKUP(G579,Students!$A:$C,3,FALSE)&amp;"")</f>
        <v/>
      </c>
    </row>
    <row r="580">
      <c r="A580" s="31" t="n">
        <v>46331.71875</v>
      </c>
      <c r="B580" s="32" t="inlineStr">
        <is>
          <t>Adrian Kim</t>
        </is>
      </c>
      <c r="C580" s="32" t="inlineStr">
        <is>
          <t>Valentina Kim</t>
        </is>
      </c>
      <c r="D580" s="33" t="n">
        <v>20</v>
      </c>
      <c r="E580" s="32" t="inlineStr">
        <is>
          <t>OneCause</t>
        </is>
      </c>
      <c r="F580" s="34">
        <f>IF(A580="","",IFERROR(INT(A580),"check date"))</f>
        <v/>
      </c>
      <c r="G580" s="35">
        <f>IF(B580="","",IFERROR(INDEX(Students!$A:$A,MATCH(TRIM(B580),Students!$A:$A,0)),"NOT ON LIST"))</f>
        <v/>
      </c>
      <c r="H580" s="35">
        <f>IF(OR(G580="",G580="NOT ON LIST"),"",VLOOKUP(G580,Students!$A:$C,2,FALSE))</f>
        <v/>
      </c>
      <c r="I580" s="35">
        <f>IF(OR(G580="",G580="NOT ON LIST"),"",VLOOKUP(G580,Students!$A:$C,3,FALSE)&amp;"")</f>
        <v/>
      </c>
    </row>
    <row r="581">
      <c r="A581" s="31" t="n">
        <v>46338.64583333334</v>
      </c>
      <c r="B581" s="32" t="inlineStr">
        <is>
          <t>Joseph Flores</t>
        </is>
      </c>
      <c r="C581" s="32" t="inlineStr">
        <is>
          <t>Grace Flores</t>
        </is>
      </c>
      <c r="D581" s="33" t="n">
        <v>10</v>
      </c>
      <c r="E581" s="32" t="inlineStr">
        <is>
          <t>OneCause</t>
        </is>
      </c>
      <c r="F581" s="34">
        <f>IF(A581="","",IFERROR(INT(A581),"check date"))</f>
        <v/>
      </c>
      <c r="G581" s="35">
        <f>IF(B581="","",IFERROR(INDEX(Students!$A:$A,MATCH(TRIM(B581),Students!$A:$A,0)),"NOT ON LIST"))</f>
        <v/>
      </c>
      <c r="H581" s="35">
        <f>IF(OR(G581="",G581="NOT ON LIST"),"",VLOOKUP(G581,Students!$A:$C,2,FALSE))</f>
        <v/>
      </c>
      <c r="I581" s="35">
        <f>IF(OR(G581="",G581="NOT ON LIST"),"",VLOOKUP(G581,Students!$A:$C,3,FALSE)&amp;"")</f>
        <v/>
      </c>
    </row>
    <row r="582">
      <c r="A582" s="31" t="n">
        <v>46329.35416666666</v>
      </c>
      <c r="B582" s="32" t="inlineStr">
        <is>
          <t>Elijah Walsh</t>
        </is>
      </c>
      <c r="C582" s="32" t="inlineStr">
        <is>
          <t>Aria Walsh</t>
        </is>
      </c>
      <c r="D582" s="33" t="n">
        <v>20</v>
      </c>
      <c r="E582" s="32" t="inlineStr">
        <is>
          <t>OneCause</t>
        </is>
      </c>
      <c r="F582" s="34">
        <f>IF(A582="","",IFERROR(INT(A582),"check date"))</f>
        <v/>
      </c>
      <c r="G582" s="35">
        <f>IF(B582="","",IFERROR(INDEX(Students!$A:$A,MATCH(TRIM(B582),Students!$A:$A,0)),"NOT ON LIST"))</f>
        <v/>
      </c>
      <c r="H582" s="35">
        <f>IF(OR(G582="",G582="NOT ON LIST"),"",VLOOKUP(G582,Students!$A:$C,2,FALSE))</f>
        <v/>
      </c>
      <c r="I582" s="35">
        <f>IF(OR(G582="",G582="NOT ON LIST"),"",VLOOKUP(G582,Students!$A:$C,3,FALSE)&amp;"")</f>
        <v/>
      </c>
    </row>
    <row r="583">
      <c r="A583" s="31" t="n">
        <v>46339.65625</v>
      </c>
      <c r="B583" s="32" t="inlineStr">
        <is>
          <t>Ava Mendoza</t>
        </is>
      </c>
      <c r="C583" s="32" t="inlineStr">
        <is>
          <t>Amelia Mendoza</t>
        </is>
      </c>
      <c r="D583" s="33" t="n">
        <v>100</v>
      </c>
      <c r="E583" s="32" t="inlineStr">
        <is>
          <t>OneCause</t>
        </is>
      </c>
      <c r="F583" s="34">
        <f>IF(A583="","",IFERROR(INT(A583),"check date"))</f>
        <v/>
      </c>
      <c r="G583" s="35">
        <f>IF(B583="","",IFERROR(INDEX(Students!$A:$A,MATCH(TRIM(B583),Students!$A:$A,0)),"NOT ON LIST"))</f>
        <v/>
      </c>
      <c r="H583" s="35">
        <f>IF(OR(G583="",G583="NOT ON LIST"),"",VLOOKUP(G583,Students!$A:$C,2,FALSE))</f>
        <v/>
      </c>
      <c r="I583" s="35">
        <f>IF(OR(G583="",G583="NOT ON LIST"),"",VLOOKUP(G583,Students!$A:$C,3,FALSE)&amp;"")</f>
        <v/>
      </c>
    </row>
    <row r="584">
      <c r="A584" s="31" t="n">
        <v>46333.45833333334</v>
      </c>
      <c r="B584" s="32" t="inlineStr">
        <is>
          <t>Thomas Ryan</t>
        </is>
      </c>
      <c r="C584" s="32" t="inlineStr">
        <is>
          <t>David Ryan</t>
        </is>
      </c>
      <c r="D584" s="33" t="n">
        <v>10</v>
      </c>
      <c r="E584" s="32" t="inlineStr">
        <is>
          <t>OneCause</t>
        </is>
      </c>
      <c r="F584" s="34">
        <f>IF(A584="","",IFERROR(INT(A584),"check date"))</f>
        <v/>
      </c>
      <c r="G584" s="35">
        <f>IF(B584="","",IFERROR(INDEX(Students!$A:$A,MATCH(TRIM(B584),Students!$A:$A,0)),"NOT ON LIST"))</f>
        <v/>
      </c>
      <c r="H584" s="35">
        <f>IF(OR(G584="",G584="NOT ON LIST"),"",VLOOKUP(G584,Students!$A:$C,2,FALSE))</f>
        <v/>
      </c>
      <c r="I584" s="35">
        <f>IF(OR(G584="",G584="NOT ON LIST"),"",VLOOKUP(G584,Students!$A:$C,3,FALSE)&amp;"")</f>
        <v/>
      </c>
    </row>
    <row r="585">
      <c r="A585" s="31" t="n">
        <v>46335</v>
      </c>
      <c r="B585" s="32" t="inlineStr">
        <is>
          <t>Grace Kelly</t>
        </is>
      </c>
      <c r="C585" s="32" t="inlineStr">
        <is>
          <t>Liam Kelly</t>
        </is>
      </c>
      <c r="D585" s="33" t="n">
        <v>50</v>
      </c>
      <c r="E585" s="32" t="inlineStr">
        <is>
          <t>Cash</t>
        </is>
      </c>
      <c r="F585" s="34">
        <f>IF(A585="","",IFERROR(INT(A585),"check date"))</f>
        <v/>
      </c>
      <c r="G585" s="35">
        <f>IF(B585="","",IFERROR(INDEX(Students!$A:$A,MATCH(TRIM(B585),Students!$A:$A,0)),"NOT ON LIST"))</f>
        <v/>
      </c>
      <c r="H585" s="35">
        <f>IF(OR(G585="",G585="NOT ON LIST"),"",VLOOKUP(G585,Students!$A:$C,2,FALSE))</f>
        <v/>
      </c>
      <c r="I585" s="35">
        <f>IF(OR(G585="",G585="NOT ON LIST"),"",VLOOKUP(G585,Students!$A:$C,3,FALSE)&amp;"")</f>
        <v/>
      </c>
    </row>
    <row r="586">
      <c r="A586" s="31" t="n">
        <v>46337.63541666666</v>
      </c>
      <c r="B586" s="32" t="inlineStr">
        <is>
          <t>Benjamin Cruz</t>
        </is>
      </c>
      <c r="C586" s="32" t="inlineStr">
        <is>
          <t>Lucas Cruz</t>
        </is>
      </c>
      <c r="D586" s="33" t="n">
        <v>100</v>
      </c>
      <c r="E586" s="32" t="inlineStr">
        <is>
          <t>OneCause</t>
        </is>
      </c>
      <c r="F586" s="34">
        <f>IF(A586="","",IFERROR(INT(A586),"check date"))</f>
        <v/>
      </c>
      <c r="G586" s="35">
        <f>IF(B586="","",IFERROR(INDEX(Students!$A:$A,MATCH(TRIM(B586),Students!$A:$A,0)),"NOT ON LIST"))</f>
        <v/>
      </c>
      <c r="H586" s="35">
        <f>IF(OR(G586="",G586="NOT ON LIST"),"",VLOOKUP(G586,Students!$A:$C,2,FALSE))</f>
        <v/>
      </c>
      <c r="I586" s="35">
        <f>IF(OR(G586="",G586="NOT ON LIST"),"",VLOOKUP(G586,Students!$A:$C,3,FALSE)&amp;"")</f>
        <v/>
      </c>
    </row>
    <row r="587">
      <c r="A587" s="31" t="n">
        <v>46330.54166666666</v>
      </c>
      <c r="B587" s="32" t="inlineStr">
        <is>
          <t>Amelia Gomez</t>
        </is>
      </c>
      <c r="C587" s="32" t="inlineStr">
        <is>
          <t>Thomas Gomez</t>
        </is>
      </c>
      <c r="D587" s="33" t="n">
        <v>50</v>
      </c>
      <c r="E587" s="32" t="inlineStr">
        <is>
          <t>OneCause</t>
        </is>
      </c>
      <c r="F587" s="34">
        <f>IF(A587="","",IFERROR(INT(A587),"check date"))</f>
        <v/>
      </c>
      <c r="G587" s="35">
        <f>IF(B587="","",IFERROR(INDEX(Students!$A:$A,MATCH(TRIM(B587),Students!$A:$A,0)),"NOT ON LIST"))</f>
        <v/>
      </c>
      <c r="H587" s="35">
        <f>IF(OR(G587="",G587="NOT ON LIST"),"",VLOOKUP(G587,Students!$A:$C,2,FALSE))</f>
        <v/>
      </c>
      <c r="I587" s="35">
        <f>IF(OR(G587="",G587="NOT ON LIST"),"",VLOOKUP(G587,Students!$A:$C,3,FALSE)&amp;"")</f>
        <v/>
      </c>
    </row>
    <row r="588">
      <c r="A588" s="31" t="n">
        <v>46325.40625</v>
      </c>
      <c r="B588" s="32" t="inlineStr">
        <is>
          <t>Thomas Diaz</t>
        </is>
      </c>
      <c r="C588" s="32" t="inlineStr">
        <is>
          <t>Amelia Diaz</t>
        </is>
      </c>
      <c r="D588" s="33" t="n">
        <v>10</v>
      </c>
      <c r="E588" s="32" t="inlineStr">
        <is>
          <t>OneCause</t>
        </is>
      </c>
      <c r="F588" s="34">
        <f>IF(A588="","",IFERROR(INT(A588),"check date"))</f>
        <v/>
      </c>
      <c r="G588" s="35">
        <f>IF(B588="","",IFERROR(INDEX(Students!$A:$A,MATCH(TRIM(B588),Students!$A:$A,0)),"NOT ON LIST"))</f>
        <v/>
      </c>
      <c r="H588" s="35">
        <f>IF(OR(G588="",G588="NOT ON LIST"),"",VLOOKUP(G588,Students!$A:$C,2,FALSE))</f>
        <v/>
      </c>
      <c r="I588" s="35">
        <f>IF(OR(G588="",G588="NOT ON LIST"),"",VLOOKUP(G588,Students!$A:$C,3,FALSE)&amp;"")</f>
        <v/>
      </c>
    </row>
    <row r="589">
      <c r="A589" s="31" t="n">
        <v>46338</v>
      </c>
      <c r="B589" s="32" t="inlineStr">
        <is>
          <t>Samuel Murphy</t>
        </is>
      </c>
      <c r="C589" s="32" t="inlineStr">
        <is>
          <t>David Murphy</t>
        </is>
      </c>
      <c r="D589" s="33" t="n">
        <v>25</v>
      </c>
      <c r="E589" s="32" t="inlineStr">
        <is>
          <t>Cash</t>
        </is>
      </c>
      <c r="F589" s="34">
        <f>IF(A589="","",IFERROR(INT(A589),"check date"))</f>
        <v/>
      </c>
      <c r="G589" s="35">
        <f>IF(B589="","",IFERROR(INDEX(Students!$A:$A,MATCH(TRIM(B589),Students!$A:$A,0)),"NOT ON LIST"))</f>
        <v/>
      </c>
      <c r="H589" s="35">
        <f>IF(OR(G589="",G589="NOT ON LIST"),"",VLOOKUP(G589,Students!$A:$C,2,FALSE))</f>
        <v/>
      </c>
      <c r="I589" s="35">
        <f>IF(OR(G589="",G589="NOT ON LIST"),"",VLOOKUP(G589,Students!$A:$C,3,FALSE)&amp;"")</f>
        <v/>
      </c>
    </row>
    <row r="590">
      <c r="A590" s="31" t="n">
        <v>46332.70833333334</v>
      </c>
      <c r="B590" s="32" t="inlineStr">
        <is>
          <t>Liam Garcia</t>
        </is>
      </c>
      <c r="C590" s="32" t="inlineStr">
        <is>
          <t>Ava Garcia</t>
        </is>
      </c>
      <c r="D590" s="33" t="n">
        <v>100</v>
      </c>
      <c r="E590" s="32" t="inlineStr">
        <is>
          <t>OneCause</t>
        </is>
      </c>
      <c r="F590" s="34">
        <f>IF(A590="","",IFERROR(INT(A590),"check date"))</f>
        <v/>
      </c>
      <c r="G590" s="35">
        <f>IF(B590="","",IFERROR(INDEX(Students!$A:$A,MATCH(TRIM(B590),Students!$A:$A,0)),"NOT ON LIST"))</f>
        <v/>
      </c>
      <c r="H590" s="35">
        <f>IF(OR(G590="",G590="NOT ON LIST"),"",VLOOKUP(G590,Students!$A:$C,2,FALSE))</f>
        <v/>
      </c>
      <c r="I590" s="35">
        <f>IF(OR(G590="",G590="NOT ON LIST"),"",VLOOKUP(G590,Students!$A:$C,3,FALSE)&amp;"")</f>
        <v/>
      </c>
    </row>
    <row r="591">
      <c r="A591" s="31" t="n">
        <v>46338.63541666666</v>
      </c>
      <c r="B591" s="32" t="inlineStr">
        <is>
          <t>Olivia Martinez</t>
        </is>
      </c>
      <c r="C591" s="32" t="inlineStr">
        <is>
          <t>Emma Martinez</t>
        </is>
      </c>
      <c r="D591" s="33" t="n">
        <v>100</v>
      </c>
      <c r="E591" s="32" t="inlineStr">
        <is>
          <t>OneCause</t>
        </is>
      </c>
      <c r="F591" s="34">
        <f>IF(A591="","",IFERROR(INT(A591),"check date"))</f>
        <v/>
      </c>
      <c r="G591" s="35">
        <f>IF(B591="","",IFERROR(INDEX(Students!$A:$A,MATCH(TRIM(B591),Students!$A:$A,0)),"NOT ON LIST"))</f>
        <v/>
      </c>
      <c r="H591" s="35">
        <f>IF(OR(G591="",G591="NOT ON LIST"),"",VLOOKUP(G591,Students!$A:$C,2,FALSE))</f>
        <v/>
      </c>
      <c r="I591" s="35">
        <f>IF(OR(G591="",G591="NOT ON LIST"),"",VLOOKUP(G591,Students!$A:$C,3,FALSE)&amp;"")</f>
        <v/>
      </c>
    </row>
    <row r="592">
      <c r="A592" s="31" t="n">
        <v>46328.53125</v>
      </c>
      <c r="B592" s="32" t="inlineStr">
        <is>
          <t>Nicolas Mendoza</t>
        </is>
      </c>
      <c r="C592" s="32" t="inlineStr">
        <is>
          <t>Valentina Mendoza</t>
        </is>
      </c>
      <c r="D592" s="33" t="n">
        <v>50</v>
      </c>
      <c r="E592" s="32" t="inlineStr">
        <is>
          <t>OneCause</t>
        </is>
      </c>
      <c r="F592" s="34">
        <f>IF(A592="","",IFERROR(INT(A592),"check date"))</f>
        <v/>
      </c>
      <c r="G592" s="35">
        <f>IF(B592="","",IFERROR(INDEX(Students!$A:$A,MATCH(TRIM(B592),Students!$A:$A,0)),"NOT ON LIST"))</f>
        <v/>
      </c>
      <c r="H592" s="35">
        <f>IF(OR(G592="",G592="NOT ON LIST"),"",VLOOKUP(G592,Students!$A:$C,2,FALSE))</f>
        <v/>
      </c>
      <c r="I592" s="35">
        <f>IF(OR(G592="",G592="NOT ON LIST"),"",VLOOKUP(G592,Students!$A:$C,3,FALSE)&amp;"")</f>
        <v/>
      </c>
    </row>
    <row r="593">
      <c r="A593" s="31" t="n">
        <v>46336.59375</v>
      </c>
      <c r="B593" s="32" t="inlineStr">
        <is>
          <t>Diego Nguyen</t>
        </is>
      </c>
      <c r="C593" s="32" t="inlineStr">
        <is>
          <t>Mia Nguyen</t>
        </is>
      </c>
      <c r="D593" s="33" t="n">
        <v>75</v>
      </c>
      <c r="E593" s="32" t="inlineStr">
        <is>
          <t>OneCause</t>
        </is>
      </c>
      <c r="F593" s="34">
        <f>IF(A593="","",IFERROR(INT(A593),"check date"))</f>
        <v/>
      </c>
      <c r="G593" s="35">
        <f>IF(B593="","",IFERROR(INDEX(Students!$A:$A,MATCH(TRIM(B593),Students!$A:$A,0)),"NOT ON LIST"))</f>
        <v/>
      </c>
      <c r="H593" s="35">
        <f>IF(OR(G593="",G593="NOT ON LIST"),"",VLOOKUP(G593,Students!$A:$C,2,FALSE))</f>
        <v/>
      </c>
      <c r="I593" s="35">
        <f>IF(OR(G593="",G593="NOT ON LIST"),"",VLOOKUP(G593,Students!$A:$C,3,FALSE)&amp;"")</f>
        <v/>
      </c>
    </row>
    <row r="594">
      <c r="A594" s="31" t="n">
        <v>46335.41666666666</v>
      </c>
      <c r="B594" s="32" t="inlineStr">
        <is>
          <t>Benjamin Cruz</t>
        </is>
      </c>
      <c r="C594" s="32" t="inlineStr">
        <is>
          <t>Chloe Cruz</t>
        </is>
      </c>
      <c r="D594" s="33" t="n">
        <v>150</v>
      </c>
      <c r="E594" s="32" t="inlineStr">
        <is>
          <t>OneCause</t>
        </is>
      </c>
      <c r="F594" s="34">
        <f>IF(A594="","",IFERROR(INT(A594),"check date"))</f>
        <v/>
      </c>
      <c r="G594" s="35">
        <f>IF(B594="","",IFERROR(INDEX(Students!$A:$A,MATCH(TRIM(B594),Students!$A:$A,0)),"NOT ON LIST"))</f>
        <v/>
      </c>
      <c r="H594" s="35">
        <f>IF(OR(G594="",G594="NOT ON LIST"),"",VLOOKUP(G594,Students!$A:$C,2,FALSE))</f>
        <v/>
      </c>
      <c r="I594" s="35">
        <f>IF(OR(G594="",G594="NOT ON LIST"),"",VLOOKUP(G594,Students!$A:$C,3,FALSE)&amp;"")</f>
        <v/>
      </c>
    </row>
    <row r="595">
      <c r="A595" s="31" t="n">
        <v>46329.36458333334</v>
      </c>
      <c r="B595" s="32" t="inlineStr">
        <is>
          <t>Mateo Martinez</t>
        </is>
      </c>
      <c r="C595" s="32" t="inlineStr">
        <is>
          <t>Noah Martinez</t>
        </is>
      </c>
      <c r="D595" s="33" t="n">
        <v>25</v>
      </c>
      <c r="E595" s="32" t="inlineStr">
        <is>
          <t>OneCause</t>
        </is>
      </c>
      <c r="F595" s="34">
        <f>IF(A595="","",IFERROR(INT(A595),"check date"))</f>
        <v/>
      </c>
      <c r="G595" s="35">
        <f>IF(B595="","",IFERROR(INDEX(Students!$A:$A,MATCH(TRIM(B595),Students!$A:$A,0)),"NOT ON LIST"))</f>
        <v/>
      </c>
      <c r="H595" s="35">
        <f>IF(OR(G595="",G595="NOT ON LIST"),"",VLOOKUP(G595,Students!$A:$C,2,FALSE))</f>
        <v/>
      </c>
      <c r="I595" s="35">
        <f>IF(OR(G595="",G595="NOT ON LIST"),"",VLOOKUP(G595,Students!$A:$C,3,FALSE)&amp;"")</f>
        <v/>
      </c>
    </row>
    <row r="596">
      <c r="A596" s="31" t="n">
        <v>46325</v>
      </c>
      <c r="B596" s="32" t="inlineStr">
        <is>
          <t>Nora Flores</t>
        </is>
      </c>
      <c r="C596" s="32" t="inlineStr">
        <is>
          <t>Henry Flores</t>
        </is>
      </c>
      <c r="D596" s="33" t="n">
        <v>10</v>
      </c>
      <c r="E596" s="32" t="inlineStr">
        <is>
          <t>Check</t>
        </is>
      </c>
      <c r="F596" s="34">
        <f>IF(A596="","",IFERROR(INT(A596),"check date"))</f>
        <v/>
      </c>
      <c r="G596" s="35">
        <f>IF(B596="","",IFERROR(INDEX(Students!$A:$A,MATCH(TRIM(B596),Students!$A:$A,0)),"NOT ON LIST"))</f>
        <v/>
      </c>
      <c r="H596" s="35">
        <f>IF(OR(G596="",G596="NOT ON LIST"),"",VLOOKUP(G596,Students!$A:$C,2,FALSE))</f>
        <v/>
      </c>
      <c r="I596" s="35">
        <f>IF(OR(G596="",G596="NOT ON LIST"),"",VLOOKUP(G596,Students!$A:$C,3,FALSE)&amp;"")</f>
        <v/>
      </c>
    </row>
    <row r="597">
      <c r="A597" s="31" t="n">
        <v>46328.59375</v>
      </c>
      <c r="B597" s="32" t="inlineStr">
        <is>
          <t>Isabella Murphy</t>
        </is>
      </c>
      <c r="C597" s="32" t="inlineStr">
        <is>
          <t>Samuel Murphy</t>
        </is>
      </c>
      <c r="D597" s="33" t="n">
        <v>50</v>
      </c>
      <c r="E597" s="32" t="inlineStr">
        <is>
          <t>OneCause</t>
        </is>
      </c>
      <c r="F597" s="34">
        <f>IF(A597="","",IFERROR(INT(A597),"check date"))</f>
        <v/>
      </c>
      <c r="G597" s="35">
        <f>IF(B597="","",IFERROR(INDEX(Students!$A:$A,MATCH(TRIM(B597),Students!$A:$A,0)),"NOT ON LIST"))</f>
        <v/>
      </c>
      <c r="H597" s="35">
        <f>IF(OR(G597="",G597="NOT ON LIST"),"",VLOOKUP(G597,Students!$A:$C,2,FALSE))</f>
        <v/>
      </c>
      <c r="I597" s="35">
        <f>IF(OR(G597="",G597="NOT ON LIST"),"",VLOOKUP(G597,Students!$A:$C,3,FALSE)&amp;"")</f>
        <v/>
      </c>
    </row>
    <row r="598">
      <c r="A598" s="31" t="n">
        <v>46334.82291666666</v>
      </c>
      <c r="B598" s="32" t="inlineStr">
        <is>
          <t>Ella Reyes</t>
        </is>
      </c>
      <c r="C598" s="32" t="inlineStr">
        <is>
          <t>Benjamin Reyes</t>
        </is>
      </c>
      <c r="D598" s="33" t="n">
        <v>50</v>
      </c>
      <c r="E598" s="32" t="inlineStr">
        <is>
          <t>OneCause</t>
        </is>
      </c>
      <c r="F598" s="34">
        <f>IF(A598="","",IFERROR(INT(A598),"check date"))</f>
        <v/>
      </c>
      <c r="G598" s="35">
        <f>IF(B598="","",IFERROR(INDEX(Students!$A:$A,MATCH(TRIM(B598),Students!$A:$A,0)),"NOT ON LIST"))</f>
        <v/>
      </c>
      <c r="H598" s="35">
        <f>IF(OR(G598="",G598="NOT ON LIST"),"",VLOOKUP(G598,Students!$A:$C,2,FALSE))</f>
        <v/>
      </c>
      <c r="I598" s="35">
        <f>IF(OR(G598="",G598="NOT ON LIST"),"",VLOOKUP(G598,Students!$A:$C,3,FALSE)&amp;"")</f>
        <v/>
      </c>
    </row>
    <row r="599">
      <c r="A599" s="31" t="n">
        <v>46339.69791666666</v>
      </c>
      <c r="B599" s="32" t="inlineStr">
        <is>
          <t>Isaac Rodriguez</t>
        </is>
      </c>
      <c r="C599" s="32" t="inlineStr">
        <is>
          <t>Joseph Rodriguez</t>
        </is>
      </c>
      <c r="D599" s="33" t="n">
        <v>25</v>
      </c>
      <c r="E599" s="32" t="inlineStr">
        <is>
          <t>OneCause</t>
        </is>
      </c>
      <c r="F599" s="34">
        <f>IF(A599="","",IFERROR(INT(A599),"check date"))</f>
        <v/>
      </c>
      <c r="G599" s="35">
        <f>IF(B599="","",IFERROR(INDEX(Students!$A:$A,MATCH(TRIM(B599),Students!$A:$A,0)),"NOT ON LIST"))</f>
        <v/>
      </c>
      <c r="H599" s="35">
        <f>IF(OR(G599="",G599="NOT ON LIST"),"",VLOOKUP(G599,Students!$A:$C,2,FALSE))</f>
        <v/>
      </c>
      <c r="I599" s="35">
        <f>IF(OR(G599="",G599="NOT ON LIST"),"",VLOOKUP(G599,Students!$A:$C,3,FALSE)&amp;"")</f>
        <v/>
      </c>
    </row>
    <row r="600">
      <c r="A600" s="31" t="n">
        <v>46339</v>
      </c>
      <c r="B600" s="32" t="inlineStr">
        <is>
          <t>Lily Kelly</t>
        </is>
      </c>
      <c r="C600" s="32" t="inlineStr">
        <is>
          <t>Noah Kelly</t>
        </is>
      </c>
      <c r="D600" s="33" t="n">
        <v>100</v>
      </c>
      <c r="E600" s="32" t="inlineStr">
        <is>
          <t>Cash</t>
        </is>
      </c>
      <c r="F600" s="34">
        <f>IF(A600="","",IFERROR(INT(A600),"check date"))</f>
        <v/>
      </c>
      <c r="G600" s="35">
        <f>IF(B600="","",IFERROR(INDEX(Students!$A:$A,MATCH(TRIM(B600),Students!$A:$A,0)),"NOT ON LIST"))</f>
        <v/>
      </c>
      <c r="H600" s="35">
        <f>IF(OR(G600="",G600="NOT ON LIST"),"",VLOOKUP(G600,Students!$A:$C,2,FALSE))</f>
        <v/>
      </c>
      <c r="I600" s="35">
        <f>IF(OR(G600="",G600="NOT ON LIST"),"",VLOOKUP(G600,Students!$A:$C,3,FALSE)&amp;"")</f>
        <v/>
      </c>
    </row>
    <row r="601">
      <c r="A601" s="31" t="n">
        <v>46328.70833333334</v>
      </c>
      <c r="B601" s="32" t="inlineStr">
        <is>
          <t>Ella Torres</t>
        </is>
      </c>
      <c r="C601" s="32" t="inlineStr">
        <is>
          <t>Zoe Torres</t>
        </is>
      </c>
      <c r="D601" s="33" t="n">
        <v>150</v>
      </c>
      <c r="E601" s="32" t="inlineStr">
        <is>
          <t>OneCause</t>
        </is>
      </c>
      <c r="F601" s="34">
        <f>IF(A601="","",IFERROR(INT(A601),"check date"))</f>
        <v/>
      </c>
      <c r="G601" s="35">
        <f>IF(B601="","",IFERROR(INDEX(Students!$A:$A,MATCH(TRIM(B601),Students!$A:$A,0)),"NOT ON LIST"))</f>
        <v/>
      </c>
      <c r="H601" s="35">
        <f>IF(OR(G601="",G601="NOT ON LIST"),"",VLOOKUP(G601,Students!$A:$C,2,FALSE))</f>
        <v/>
      </c>
      <c r="I601" s="35">
        <f>IF(OR(G601="",G601="NOT ON LIST"),"",VLOOKUP(G601,Students!$A:$C,3,FALSE)&amp;"")</f>
        <v/>
      </c>
    </row>
    <row r="602">
      <c r="A602" s="31" t="n">
        <v>46326</v>
      </c>
      <c r="B602" s="32" t="inlineStr">
        <is>
          <t>Elijah Cruz</t>
        </is>
      </c>
      <c r="C602" s="32" t="inlineStr">
        <is>
          <t>Elijah Cruz</t>
        </is>
      </c>
      <c r="D602" s="33" t="n">
        <v>150</v>
      </c>
      <c r="E602" s="32" t="inlineStr">
        <is>
          <t>Check</t>
        </is>
      </c>
      <c r="F602" s="34">
        <f>IF(A602="","",IFERROR(INT(A602),"check date"))</f>
        <v/>
      </c>
      <c r="G602" s="35">
        <f>IF(B602="","",IFERROR(INDEX(Students!$A:$A,MATCH(TRIM(B602),Students!$A:$A,0)),"NOT ON LIST"))</f>
        <v/>
      </c>
      <c r="H602" s="35">
        <f>IF(OR(G602="",G602="NOT ON LIST"),"",VLOOKUP(G602,Students!$A:$C,2,FALSE))</f>
        <v/>
      </c>
      <c r="I602" s="35">
        <f>IF(OR(G602="",G602="NOT ON LIST"),"",VLOOKUP(G602,Students!$A:$C,3,FALSE)&amp;"")</f>
        <v/>
      </c>
    </row>
    <row r="603">
      <c r="A603" s="31" t="n">
        <v>46336.60416666666</v>
      </c>
      <c r="B603" s="32" t="inlineStr">
        <is>
          <t>Lucas Cruz</t>
        </is>
      </c>
      <c r="C603" s="32" t="inlineStr">
        <is>
          <t>Benjamin Cruz</t>
        </is>
      </c>
      <c r="D603" s="33" t="n">
        <v>75</v>
      </c>
      <c r="E603" s="32" t="inlineStr">
        <is>
          <t>OneCause</t>
        </is>
      </c>
      <c r="F603" s="34">
        <f>IF(A603="","",IFERROR(INT(A603),"check date"))</f>
        <v/>
      </c>
      <c r="G603" s="35">
        <f>IF(B603="","",IFERROR(INDEX(Students!$A:$A,MATCH(TRIM(B603),Students!$A:$A,0)),"NOT ON LIST"))</f>
        <v/>
      </c>
      <c r="H603" s="35">
        <f>IF(OR(G603="",G603="NOT ON LIST"),"",VLOOKUP(G603,Students!$A:$C,2,FALSE))</f>
        <v/>
      </c>
      <c r="I603" s="35">
        <f>IF(OR(G603="",G603="NOT ON LIST"),"",VLOOKUP(G603,Students!$A:$C,3,FALSE)&amp;"")</f>
        <v/>
      </c>
    </row>
    <row r="604">
      <c r="A604" s="31" t="n">
        <v>46338.42708333334</v>
      </c>
      <c r="B604" s="32" t="inlineStr">
        <is>
          <t>Henry Patel</t>
        </is>
      </c>
      <c r="C604" s="32" t="inlineStr">
        <is>
          <t>Luna Patel</t>
        </is>
      </c>
      <c r="D604" s="33" t="n">
        <v>25</v>
      </c>
      <c r="E604" s="32" t="inlineStr">
        <is>
          <t>OneCause</t>
        </is>
      </c>
      <c r="F604" s="34">
        <f>IF(A604="","",IFERROR(INT(A604),"check date"))</f>
        <v/>
      </c>
      <c r="G604" s="35">
        <f>IF(B604="","",IFERROR(INDEX(Students!$A:$A,MATCH(TRIM(B604),Students!$A:$A,0)),"NOT ON LIST"))</f>
        <v/>
      </c>
      <c r="H604" s="35">
        <f>IF(OR(G604="",G604="NOT ON LIST"),"",VLOOKUP(G604,Students!$A:$C,2,FALSE))</f>
        <v/>
      </c>
      <c r="I604" s="35">
        <f>IF(OR(G604="",G604="NOT ON LIST"),"",VLOOKUP(G604,Students!$A:$C,3,FALSE)&amp;"")</f>
        <v/>
      </c>
    </row>
    <row r="605">
      <c r="A605" s="31" t="n">
        <v>46325.33333333334</v>
      </c>
      <c r="B605" s="32" t="inlineStr">
        <is>
          <t>Olivia Cruz</t>
        </is>
      </c>
      <c r="C605" s="32" t="inlineStr">
        <is>
          <t>Isaac Cruz</t>
        </is>
      </c>
      <c r="D605" s="33" t="n">
        <v>25</v>
      </c>
      <c r="E605" s="32" t="inlineStr">
        <is>
          <t>OneCause</t>
        </is>
      </c>
      <c r="F605" s="34">
        <f>IF(A605="","",IFERROR(INT(A605),"check date"))</f>
        <v/>
      </c>
      <c r="G605" s="35">
        <f>IF(B605="","",IFERROR(INDEX(Students!$A:$A,MATCH(TRIM(B605),Students!$A:$A,0)),"NOT ON LIST"))</f>
        <v/>
      </c>
      <c r="H605" s="35">
        <f>IF(OR(G605="",G605="NOT ON LIST"),"",VLOOKUP(G605,Students!$A:$C,2,FALSE))</f>
        <v/>
      </c>
      <c r="I605" s="35">
        <f>IF(OR(G605="",G605="NOT ON LIST"),"",VLOOKUP(G605,Students!$A:$C,3,FALSE)&amp;"")</f>
        <v/>
      </c>
    </row>
    <row r="606">
      <c r="A606" s="31" t="n">
        <v>46336.64583333334</v>
      </c>
      <c r="B606" s="32" t="inlineStr">
        <is>
          <t>Ella Diaz</t>
        </is>
      </c>
      <c r="C606" s="32" t="inlineStr">
        <is>
          <t>Elijah Diaz</t>
        </is>
      </c>
      <c r="D606" s="33" t="n">
        <v>25</v>
      </c>
      <c r="E606" s="32" t="inlineStr">
        <is>
          <t>OneCause</t>
        </is>
      </c>
      <c r="F606" s="34">
        <f>IF(A606="","",IFERROR(INT(A606),"check date"))</f>
        <v/>
      </c>
      <c r="G606" s="35">
        <f>IF(B606="","",IFERROR(INDEX(Students!$A:$A,MATCH(TRIM(B606),Students!$A:$A,0)),"NOT ON LIST"))</f>
        <v/>
      </c>
      <c r="H606" s="35">
        <f>IF(OR(G606="",G606="NOT ON LIST"),"",VLOOKUP(G606,Students!$A:$C,2,FALSE))</f>
        <v/>
      </c>
      <c r="I606" s="35">
        <f>IF(OR(G606="",G606="NOT ON LIST"),"",VLOOKUP(G606,Students!$A:$C,3,FALSE)&amp;"")</f>
        <v/>
      </c>
    </row>
    <row r="607">
      <c r="A607" s="31" t="n">
        <v>46330.60416666666</v>
      </c>
      <c r="B607" s="32" t="inlineStr">
        <is>
          <t>Mateo Gonzalez</t>
        </is>
      </c>
      <c r="C607" s="32" t="inlineStr">
        <is>
          <t>Valentina Gonzalez</t>
        </is>
      </c>
      <c r="D607" s="33" t="n">
        <v>100</v>
      </c>
      <c r="E607" s="32" t="inlineStr">
        <is>
          <t>OneCause</t>
        </is>
      </c>
      <c r="F607" s="34">
        <f>IF(A607="","",IFERROR(INT(A607),"check date"))</f>
        <v/>
      </c>
      <c r="G607" s="35">
        <f>IF(B607="","",IFERROR(INDEX(Students!$A:$A,MATCH(TRIM(B607),Students!$A:$A,0)),"NOT ON LIST"))</f>
        <v/>
      </c>
      <c r="H607" s="35">
        <f>IF(OR(G607="",G607="NOT ON LIST"),"",VLOOKUP(G607,Students!$A:$C,2,FALSE))</f>
        <v/>
      </c>
      <c r="I607" s="35">
        <f>IF(OR(G607="",G607="NOT ON LIST"),"",VLOOKUP(G607,Students!$A:$C,3,FALSE)&amp;"")</f>
        <v/>
      </c>
    </row>
    <row r="608">
      <c r="A608" s="31" t="n">
        <v>46329</v>
      </c>
      <c r="B608" s="32" t="inlineStr">
        <is>
          <t>Nora Williams</t>
        </is>
      </c>
      <c r="C608" s="32" t="inlineStr">
        <is>
          <t>Elena Williams</t>
        </is>
      </c>
      <c r="D608" s="33" t="n">
        <v>25</v>
      </c>
      <c r="E608" s="32" t="inlineStr">
        <is>
          <t>Cash</t>
        </is>
      </c>
      <c r="F608" s="34">
        <f>IF(A608="","",IFERROR(INT(A608),"check date"))</f>
        <v/>
      </c>
      <c r="G608" s="35">
        <f>IF(B608="","",IFERROR(INDEX(Students!$A:$A,MATCH(TRIM(B608),Students!$A:$A,0)),"NOT ON LIST"))</f>
        <v/>
      </c>
      <c r="H608" s="35">
        <f>IF(OR(G608="",G608="NOT ON LIST"),"",VLOOKUP(G608,Students!$A:$C,2,FALSE))</f>
        <v/>
      </c>
      <c r="I608" s="35">
        <f>IF(OR(G608="",G608="NOT ON LIST"),"",VLOOKUP(G608,Students!$A:$C,3,FALSE)&amp;"")</f>
        <v/>
      </c>
    </row>
    <row r="609">
      <c r="A609" s="31" t="n">
        <v>46328.875</v>
      </c>
      <c r="B609" s="32" t="inlineStr">
        <is>
          <t>Lily Garcia</t>
        </is>
      </c>
      <c r="C609" s="32" t="inlineStr">
        <is>
          <t>Elena Garcia</t>
        </is>
      </c>
      <c r="D609" s="33" t="n">
        <v>25</v>
      </c>
      <c r="E609" s="32" t="inlineStr">
        <is>
          <t>OneCause</t>
        </is>
      </c>
      <c r="F609" s="34">
        <f>IF(A609="","",IFERROR(INT(A609),"check date"))</f>
        <v/>
      </c>
      <c r="G609" s="35">
        <f>IF(B609="","",IFERROR(INDEX(Students!$A:$A,MATCH(TRIM(B609),Students!$A:$A,0)),"NOT ON LIST"))</f>
        <v/>
      </c>
      <c r="H609" s="35">
        <f>IF(OR(G609="",G609="NOT ON LIST"),"",VLOOKUP(G609,Students!$A:$C,2,FALSE))</f>
        <v/>
      </c>
      <c r="I609" s="35">
        <f>IF(OR(G609="",G609="NOT ON LIST"),"",VLOOKUP(G609,Students!$A:$C,3,FALSE)&amp;"")</f>
        <v/>
      </c>
    </row>
    <row r="610">
      <c r="A610" s="31" t="n">
        <v>46326.55208333334</v>
      </c>
      <c r="B610" s="32" t="inlineStr">
        <is>
          <t>Daniel Morales</t>
        </is>
      </c>
      <c r="C610" s="32" t="inlineStr">
        <is>
          <t>Lucas Morales</t>
        </is>
      </c>
      <c r="D610" s="33" t="n">
        <v>50</v>
      </c>
      <c r="E610" s="32" t="inlineStr">
        <is>
          <t>OneCause</t>
        </is>
      </c>
      <c r="F610" s="34">
        <f>IF(A610="","",IFERROR(INT(A610),"check date"))</f>
        <v/>
      </c>
      <c r="G610" s="35">
        <f>IF(B610="","",IFERROR(INDEX(Students!$A:$A,MATCH(TRIM(B610),Students!$A:$A,0)),"NOT ON LIST"))</f>
        <v/>
      </c>
      <c r="H610" s="35">
        <f>IF(OR(G610="",G610="NOT ON LIST"),"",VLOOKUP(G610,Students!$A:$C,2,FALSE))</f>
        <v/>
      </c>
      <c r="I610" s="35">
        <f>IF(OR(G610="",G610="NOT ON LIST"),"",VLOOKUP(G610,Students!$A:$C,3,FALSE)&amp;"")</f>
        <v/>
      </c>
    </row>
    <row r="611">
      <c r="A611" s="31" t="n">
        <v>46333</v>
      </c>
      <c r="B611" s="32" t="inlineStr">
        <is>
          <t>Isabella Nguyen</t>
        </is>
      </c>
      <c r="C611" s="32" t="inlineStr">
        <is>
          <t>Maya Nguyen</t>
        </is>
      </c>
      <c r="D611" s="33" t="n">
        <v>25</v>
      </c>
      <c r="E611" s="32" t="inlineStr">
        <is>
          <t>Cash</t>
        </is>
      </c>
      <c r="F611" s="34">
        <f>IF(A611="","",IFERROR(INT(A611),"check date"))</f>
        <v/>
      </c>
      <c r="G611" s="35">
        <f>IF(B611="","",IFERROR(INDEX(Students!$A:$A,MATCH(TRIM(B611),Students!$A:$A,0)),"NOT ON LIST"))</f>
        <v/>
      </c>
      <c r="H611" s="35">
        <f>IF(OR(G611="",G611="NOT ON LIST"),"",VLOOKUP(G611,Students!$A:$C,2,FALSE))</f>
        <v/>
      </c>
      <c r="I611" s="35">
        <f>IF(OR(G611="",G611="NOT ON LIST"),"",VLOOKUP(G611,Students!$A:$C,3,FALSE)&amp;"")</f>
        <v/>
      </c>
    </row>
    <row r="612">
      <c r="A612" s="31" t="n">
        <v>46336.5625</v>
      </c>
      <c r="B612" s="32" t="inlineStr">
        <is>
          <t>Mateo Mendoza</t>
        </is>
      </c>
      <c r="C612" s="32" t="inlineStr">
        <is>
          <t>Zoe Mendoza</t>
        </is>
      </c>
      <c r="D612" s="33" t="n">
        <v>40</v>
      </c>
      <c r="E612" s="32" t="inlineStr">
        <is>
          <t>OneCause</t>
        </is>
      </c>
      <c r="F612" s="34">
        <f>IF(A612="","",IFERROR(INT(A612),"check date"))</f>
        <v/>
      </c>
      <c r="G612" s="35">
        <f>IF(B612="","",IFERROR(INDEX(Students!$A:$A,MATCH(TRIM(B612),Students!$A:$A,0)),"NOT ON LIST"))</f>
        <v/>
      </c>
      <c r="H612" s="35">
        <f>IF(OR(G612="",G612="NOT ON LIST"),"",VLOOKUP(G612,Students!$A:$C,2,FALSE))</f>
        <v/>
      </c>
      <c r="I612" s="35">
        <f>IF(OR(G612="",G612="NOT ON LIST"),"",VLOOKUP(G612,Students!$A:$C,3,FALSE)&amp;"")</f>
        <v/>
      </c>
    </row>
    <row r="613">
      <c r="A613" s="31" t="n">
        <v>46339.73958333334</v>
      </c>
      <c r="B613" s="32" t="inlineStr">
        <is>
          <t>Evelyn Cruz</t>
        </is>
      </c>
      <c r="C613" s="32" t="inlineStr">
        <is>
          <t>David Cruz</t>
        </is>
      </c>
      <c r="D613" s="33" t="n">
        <v>10</v>
      </c>
      <c r="E613" s="32" t="inlineStr">
        <is>
          <t>OneCause</t>
        </is>
      </c>
      <c r="F613" s="34">
        <f>IF(A613="","",IFERROR(INT(A613),"check date"))</f>
        <v/>
      </c>
      <c r="G613" s="35">
        <f>IF(B613="","",IFERROR(INDEX(Students!$A:$A,MATCH(TRIM(B613),Students!$A:$A,0)),"NOT ON LIST"))</f>
        <v/>
      </c>
      <c r="H613" s="35">
        <f>IF(OR(G613="",G613="NOT ON LIST"),"",VLOOKUP(G613,Students!$A:$C,2,FALSE))</f>
        <v/>
      </c>
      <c r="I613" s="35">
        <f>IF(OR(G613="",G613="NOT ON LIST"),"",VLOOKUP(G613,Students!$A:$C,3,FALSE)&amp;"")</f>
        <v/>
      </c>
    </row>
    <row r="614">
      <c r="A614" s="31" t="n">
        <v>46332.39583333334</v>
      </c>
      <c r="B614" s="32" t="inlineStr">
        <is>
          <t>Samuel Martinez</t>
        </is>
      </c>
      <c r="C614" s="32" t="inlineStr">
        <is>
          <t>Henry Martinez</t>
        </is>
      </c>
      <c r="D614" s="33" t="n">
        <v>100</v>
      </c>
      <c r="E614" s="32" t="inlineStr">
        <is>
          <t>OneCause</t>
        </is>
      </c>
      <c r="F614" s="34">
        <f>IF(A614="","",IFERROR(INT(A614),"check date"))</f>
        <v/>
      </c>
      <c r="G614" s="35">
        <f>IF(B614="","",IFERROR(INDEX(Students!$A:$A,MATCH(TRIM(B614),Students!$A:$A,0)),"NOT ON LIST"))</f>
        <v/>
      </c>
      <c r="H614" s="35">
        <f>IF(OR(G614="",G614="NOT ON LIST"),"",VLOOKUP(G614,Students!$A:$C,2,FALSE))</f>
        <v/>
      </c>
      <c r="I614" s="35">
        <f>IF(OR(G614="",G614="NOT ON LIST"),"",VLOOKUP(G614,Students!$A:$C,3,FALSE)&amp;"")</f>
        <v/>
      </c>
    </row>
    <row r="615">
      <c r="A615" s="31" t="n">
        <v>46330.375</v>
      </c>
      <c r="B615" s="32" t="inlineStr">
        <is>
          <t>Zoe Garcia</t>
        </is>
      </c>
      <c r="C615" s="32" t="inlineStr">
        <is>
          <t>Samuel Garcia</t>
        </is>
      </c>
      <c r="D615" s="33" t="n">
        <v>100</v>
      </c>
      <c r="E615" s="32" t="inlineStr">
        <is>
          <t>OneCause</t>
        </is>
      </c>
      <c r="F615" s="34">
        <f>IF(A615="","",IFERROR(INT(A615),"check date"))</f>
        <v/>
      </c>
      <c r="G615" s="35">
        <f>IF(B615="","",IFERROR(INDEX(Students!$A:$A,MATCH(TRIM(B615),Students!$A:$A,0)),"NOT ON LIST"))</f>
        <v/>
      </c>
      <c r="H615" s="35">
        <f>IF(OR(G615="",G615="NOT ON LIST"),"",VLOOKUP(G615,Students!$A:$C,2,FALSE))</f>
        <v/>
      </c>
      <c r="I615" s="35">
        <f>IF(OR(G615="",G615="NOT ON LIST"),"",VLOOKUP(G615,Students!$A:$C,3,FALSE)&amp;"")</f>
        <v/>
      </c>
    </row>
    <row r="616">
      <c r="A616" s="31" t="n">
        <v>46339.38541666666</v>
      </c>
      <c r="B616" s="32" t="inlineStr">
        <is>
          <t>Lucas Patel</t>
        </is>
      </c>
      <c r="C616" s="32" t="inlineStr">
        <is>
          <t>Samuel Patel</t>
        </is>
      </c>
      <c r="D616" s="33" t="n">
        <v>25</v>
      </c>
      <c r="E616" s="32" t="inlineStr">
        <is>
          <t>OneCause</t>
        </is>
      </c>
      <c r="F616" s="34">
        <f>IF(A616="","",IFERROR(INT(A616),"check date"))</f>
        <v/>
      </c>
      <c r="G616" s="35">
        <f>IF(B616="","",IFERROR(INDEX(Students!$A:$A,MATCH(TRIM(B616),Students!$A:$A,0)),"NOT ON LIST"))</f>
        <v/>
      </c>
      <c r="H616" s="35">
        <f>IF(OR(G616="",G616="NOT ON LIST"),"",VLOOKUP(G616,Students!$A:$C,2,FALSE))</f>
        <v/>
      </c>
      <c r="I616" s="35">
        <f>IF(OR(G616="",G616="NOT ON LIST"),"",VLOOKUP(G616,Students!$A:$C,3,FALSE)&amp;"")</f>
        <v/>
      </c>
    </row>
    <row r="617">
      <c r="A617" s="31" t="n">
        <v>46338.45833333334</v>
      </c>
      <c r="B617" s="32" t="inlineStr">
        <is>
          <t>Evelyn Diaz</t>
        </is>
      </c>
      <c r="C617" s="32" t="inlineStr">
        <is>
          <t>Joseph Diaz</t>
        </is>
      </c>
      <c r="D617" s="33" t="n">
        <v>25</v>
      </c>
      <c r="E617" s="32" t="inlineStr">
        <is>
          <t>OneCause</t>
        </is>
      </c>
      <c r="F617" s="34">
        <f>IF(A617="","",IFERROR(INT(A617),"check date"))</f>
        <v/>
      </c>
      <c r="G617" s="35">
        <f>IF(B617="","",IFERROR(INDEX(Students!$A:$A,MATCH(TRIM(B617),Students!$A:$A,0)),"NOT ON LIST"))</f>
        <v/>
      </c>
      <c r="H617" s="35">
        <f>IF(OR(G617="",G617="NOT ON LIST"),"",VLOOKUP(G617,Students!$A:$C,2,FALSE))</f>
        <v/>
      </c>
      <c r="I617" s="35">
        <f>IF(OR(G617="",G617="NOT ON LIST"),"",VLOOKUP(G617,Students!$A:$C,3,FALSE)&amp;"")</f>
        <v/>
      </c>
    </row>
    <row r="618">
      <c r="A618" s="31" t="n">
        <v>46333.35416666666</v>
      </c>
      <c r="B618" s="32" t="inlineStr">
        <is>
          <t>Mateo Perez</t>
        </is>
      </c>
      <c r="C618" s="32" t="inlineStr">
        <is>
          <t>Thomas Perez</t>
        </is>
      </c>
      <c r="D618" s="33" t="n">
        <v>50</v>
      </c>
      <c r="E618" s="32" t="inlineStr">
        <is>
          <t>OneCause</t>
        </is>
      </c>
      <c r="F618" s="34">
        <f>IF(A618="","",IFERROR(INT(A618),"check date"))</f>
        <v/>
      </c>
      <c r="G618" s="35">
        <f>IF(B618="","",IFERROR(INDEX(Students!$A:$A,MATCH(TRIM(B618),Students!$A:$A,0)),"NOT ON LIST"))</f>
        <v/>
      </c>
      <c r="H618" s="35">
        <f>IF(OR(G618="",G618="NOT ON LIST"),"",VLOOKUP(G618,Students!$A:$C,2,FALSE))</f>
        <v/>
      </c>
      <c r="I618" s="35">
        <f>IF(OR(G618="",G618="NOT ON LIST"),"",VLOOKUP(G618,Students!$A:$C,3,FALSE)&amp;"")</f>
        <v/>
      </c>
    </row>
    <row r="619">
      <c r="A619" s="31" t="n">
        <v>46325.66666666666</v>
      </c>
      <c r="B619" s="32" t="inlineStr">
        <is>
          <t>Emma Walsh</t>
        </is>
      </c>
      <c r="C619" s="32" t="inlineStr">
        <is>
          <t>Lucas Walsh</t>
        </is>
      </c>
      <c r="D619" s="33" t="n">
        <v>40</v>
      </c>
      <c r="E619" s="32" t="inlineStr">
        <is>
          <t>OneCause</t>
        </is>
      </c>
      <c r="F619" s="34">
        <f>IF(A619="","",IFERROR(INT(A619),"check date"))</f>
        <v/>
      </c>
      <c r="G619" s="35">
        <f>IF(B619="","",IFERROR(INDEX(Students!$A:$A,MATCH(TRIM(B619),Students!$A:$A,0)),"NOT ON LIST"))</f>
        <v/>
      </c>
      <c r="H619" s="35">
        <f>IF(OR(G619="",G619="NOT ON LIST"),"",VLOOKUP(G619,Students!$A:$C,2,FALSE))</f>
        <v/>
      </c>
      <c r="I619" s="35">
        <f>IF(OR(G619="",G619="NOT ON LIST"),"",VLOOKUP(G619,Students!$A:$C,3,FALSE)&amp;"")</f>
        <v/>
      </c>
    </row>
    <row r="620">
      <c r="A620" s="31" t="n">
        <v>46332</v>
      </c>
      <c r="B620" s="32" t="inlineStr">
        <is>
          <t>Elijah O'Brien</t>
        </is>
      </c>
      <c r="C620" s="32" t="inlineStr">
        <is>
          <t>Valentina O'Brien</t>
        </is>
      </c>
      <c r="D620" s="33" t="n">
        <v>100</v>
      </c>
      <c r="E620" s="32" t="inlineStr">
        <is>
          <t>Cash</t>
        </is>
      </c>
      <c r="F620" s="34">
        <f>IF(A620="","",IFERROR(INT(A620),"check date"))</f>
        <v/>
      </c>
      <c r="G620" s="35">
        <f>IF(B620="","",IFERROR(INDEX(Students!$A:$A,MATCH(TRIM(B620),Students!$A:$A,0)),"NOT ON LIST"))</f>
        <v/>
      </c>
      <c r="H620" s="35">
        <f>IF(OR(G620="",G620="NOT ON LIST"),"",VLOOKUP(G620,Students!$A:$C,2,FALSE))</f>
        <v/>
      </c>
      <c r="I620" s="35">
        <f>IF(OR(G620="",G620="NOT ON LIST"),"",VLOOKUP(G620,Students!$A:$C,3,FALSE)&amp;"")</f>
        <v/>
      </c>
    </row>
    <row r="621">
      <c r="A621" s="31" t="n">
        <v>46336.46875</v>
      </c>
      <c r="B621" s="32" t="inlineStr">
        <is>
          <t>Maya Nguyen</t>
        </is>
      </c>
      <c r="C621" s="32" t="inlineStr">
        <is>
          <t>Isabella Nguyen</t>
        </is>
      </c>
      <c r="D621" s="33" t="n">
        <v>25</v>
      </c>
      <c r="E621" s="32" t="inlineStr">
        <is>
          <t>OneCause</t>
        </is>
      </c>
      <c r="F621" s="34">
        <f>IF(A621="","",IFERROR(INT(A621),"check date"))</f>
        <v/>
      </c>
      <c r="G621" s="35">
        <f>IF(B621="","",IFERROR(INDEX(Students!$A:$A,MATCH(TRIM(B621),Students!$A:$A,0)),"NOT ON LIST"))</f>
        <v/>
      </c>
      <c r="H621" s="35">
        <f>IF(OR(G621="",G621="NOT ON LIST"),"",VLOOKUP(G621,Students!$A:$C,2,FALSE))</f>
        <v/>
      </c>
      <c r="I621" s="35">
        <f>IF(OR(G621="",G621="NOT ON LIST"),"",VLOOKUP(G621,Students!$A:$C,3,FALSE)&amp;"")</f>
        <v/>
      </c>
    </row>
    <row r="622">
      <c r="A622" s="31" t="n">
        <v>46338.71875</v>
      </c>
      <c r="B622" s="32" t="inlineStr">
        <is>
          <t>Benjamin Walsh</t>
        </is>
      </c>
      <c r="C622" s="32" t="inlineStr">
        <is>
          <t>Amelia Walsh</t>
        </is>
      </c>
      <c r="D622" s="33" t="n">
        <v>75</v>
      </c>
      <c r="E622" s="32" t="inlineStr">
        <is>
          <t>OneCause</t>
        </is>
      </c>
      <c r="F622" s="34">
        <f>IF(A622="","",IFERROR(INT(A622),"check date"))</f>
        <v/>
      </c>
      <c r="G622" s="35">
        <f>IF(B622="","",IFERROR(INDEX(Students!$A:$A,MATCH(TRIM(B622),Students!$A:$A,0)),"NOT ON LIST"))</f>
        <v/>
      </c>
      <c r="H622" s="35">
        <f>IF(OR(G622="",G622="NOT ON LIST"),"",VLOOKUP(G622,Students!$A:$C,2,FALSE))</f>
        <v/>
      </c>
      <c r="I622" s="35">
        <f>IF(OR(G622="",G622="NOT ON LIST"),"",VLOOKUP(G622,Students!$A:$C,3,FALSE)&amp;"")</f>
        <v/>
      </c>
    </row>
    <row r="623">
      <c r="A623" s="31" t="n">
        <v>46326.44791666666</v>
      </c>
      <c r="B623" s="32" t="inlineStr">
        <is>
          <t>Aria O'Brien</t>
        </is>
      </c>
      <c r="C623" s="32" t="inlineStr">
        <is>
          <t>Luna O'Brien</t>
        </is>
      </c>
      <c r="D623" s="33" t="n">
        <v>100</v>
      </c>
      <c r="E623" s="32" t="inlineStr">
        <is>
          <t>OneCause</t>
        </is>
      </c>
      <c r="F623" s="34">
        <f>IF(A623="","",IFERROR(INT(A623),"check date"))</f>
        <v/>
      </c>
      <c r="G623" s="35">
        <f>IF(B623="","",IFERROR(INDEX(Students!$A:$A,MATCH(TRIM(B623),Students!$A:$A,0)),"NOT ON LIST"))</f>
        <v/>
      </c>
      <c r="H623" s="35">
        <f>IF(OR(G623="",G623="NOT ON LIST"),"",VLOOKUP(G623,Students!$A:$C,2,FALSE))</f>
        <v/>
      </c>
      <c r="I623" s="35">
        <f>IF(OR(G623="",G623="NOT ON LIST"),"",VLOOKUP(G623,Students!$A:$C,3,FALSE)&amp;"")</f>
        <v/>
      </c>
    </row>
    <row r="624">
      <c r="A624" s="31" t="n">
        <v>46339.34375</v>
      </c>
      <c r="B624" s="32" t="inlineStr">
        <is>
          <t>Thomas Williams</t>
        </is>
      </c>
      <c r="C624" s="32" t="inlineStr">
        <is>
          <t>Noah Williams</t>
        </is>
      </c>
      <c r="D624" s="33" t="n">
        <v>50</v>
      </c>
      <c r="E624" s="32" t="inlineStr">
        <is>
          <t>OneCause</t>
        </is>
      </c>
      <c r="F624" s="34">
        <f>IF(A624="","",IFERROR(INT(A624),"check date"))</f>
        <v/>
      </c>
      <c r="G624" s="35">
        <f>IF(B624="","",IFERROR(INDEX(Students!$A:$A,MATCH(TRIM(B624),Students!$A:$A,0)),"NOT ON LIST"))</f>
        <v/>
      </c>
      <c r="H624" s="35">
        <f>IF(OR(G624="",G624="NOT ON LIST"),"",VLOOKUP(G624,Students!$A:$C,2,FALSE))</f>
        <v/>
      </c>
      <c r="I624" s="35">
        <f>IF(OR(G624="",G624="NOT ON LIST"),"",VLOOKUP(G624,Students!$A:$C,3,FALSE)&amp;"")</f>
        <v/>
      </c>
    </row>
    <row r="625">
      <c r="A625" s="31" t="n">
        <v>46339.79166666666</v>
      </c>
      <c r="B625" s="32" t="inlineStr">
        <is>
          <t>Zoe Chavez</t>
        </is>
      </c>
      <c r="C625" s="32" t="inlineStr">
        <is>
          <t>Adrian Chavez</t>
        </is>
      </c>
      <c r="D625" s="33" t="n">
        <v>25</v>
      </c>
      <c r="E625" s="32" t="inlineStr">
        <is>
          <t>OneCause</t>
        </is>
      </c>
      <c r="F625" s="34">
        <f>IF(A625="","",IFERROR(INT(A625),"check date"))</f>
        <v/>
      </c>
      <c r="G625" s="35">
        <f>IF(B625="","",IFERROR(INDEX(Students!$A:$A,MATCH(TRIM(B625),Students!$A:$A,0)),"NOT ON LIST"))</f>
        <v/>
      </c>
      <c r="H625" s="35">
        <f>IF(OR(G625="",G625="NOT ON LIST"),"",VLOOKUP(G625,Students!$A:$C,2,FALSE))</f>
        <v/>
      </c>
      <c r="I625" s="35">
        <f>IF(OR(G625="",G625="NOT ON LIST"),"",VLOOKUP(G625,Students!$A:$C,3,FALSE)&amp;"")</f>
        <v/>
      </c>
    </row>
    <row r="626">
      <c r="A626" s="31" t="n">
        <v>46331.32291666666</v>
      </c>
      <c r="B626" s="32" t="inlineStr">
        <is>
          <t>Henry Alvarez</t>
        </is>
      </c>
      <c r="C626" s="32" t="inlineStr">
        <is>
          <t>Noah Alvarez</t>
        </is>
      </c>
      <c r="D626" s="33" t="n">
        <v>10</v>
      </c>
      <c r="E626" s="32" t="inlineStr">
        <is>
          <t>OneCause</t>
        </is>
      </c>
      <c r="F626" s="34">
        <f>IF(A626="","",IFERROR(INT(A626),"check date"))</f>
        <v/>
      </c>
      <c r="G626" s="35">
        <f>IF(B626="","",IFERROR(INDEX(Students!$A:$A,MATCH(TRIM(B626),Students!$A:$A,0)),"NOT ON LIST"))</f>
        <v/>
      </c>
      <c r="H626" s="35">
        <f>IF(OR(G626="",G626="NOT ON LIST"),"",VLOOKUP(G626,Students!$A:$C,2,FALSE))</f>
        <v/>
      </c>
      <c r="I626" s="35">
        <f>IF(OR(G626="",G626="NOT ON LIST"),"",VLOOKUP(G626,Students!$A:$C,3,FALSE)&amp;"")</f>
        <v/>
      </c>
    </row>
    <row r="627">
      <c r="A627" s="31" t="n">
        <v>46328</v>
      </c>
      <c r="B627" s="32" t="inlineStr">
        <is>
          <t>Samuel Diaz</t>
        </is>
      </c>
      <c r="C627" s="32" t="inlineStr">
        <is>
          <t>Liam Diaz</t>
        </is>
      </c>
      <c r="D627" s="33" t="n">
        <v>50</v>
      </c>
      <c r="E627" s="32" t="inlineStr">
        <is>
          <t>Cash</t>
        </is>
      </c>
      <c r="F627" s="34">
        <f>IF(A627="","",IFERROR(INT(A627),"check date"))</f>
        <v/>
      </c>
      <c r="G627" s="35">
        <f>IF(B627="","",IFERROR(INDEX(Students!$A:$A,MATCH(TRIM(B627),Students!$A:$A,0)),"NOT ON LIST"))</f>
        <v/>
      </c>
      <c r="H627" s="35">
        <f>IF(OR(G627="",G627="NOT ON LIST"),"",VLOOKUP(G627,Students!$A:$C,2,FALSE))</f>
        <v/>
      </c>
      <c r="I627" s="35">
        <f>IF(OR(G627="",G627="NOT ON LIST"),"",VLOOKUP(G627,Students!$A:$C,3,FALSE)&amp;"")</f>
        <v/>
      </c>
    </row>
    <row r="628">
      <c r="A628" s="31" t="n">
        <v>46330.54166666666</v>
      </c>
      <c r="B628" s="32" t="inlineStr">
        <is>
          <t>Clara Gutierrez</t>
        </is>
      </c>
      <c r="C628" s="32" t="inlineStr">
        <is>
          <t>Zoe Gutierrez</t>
        </is>
      </c>
      <c r="D628" s="33" t="n">
        <v>25</v>
      </c>
      <c r="E628" s="32" t="inlineStr">
        <is>
          <t>OneCause</t>
        </is>
      </c>
      <c r="F628" s="34">
        <f>IF(A628="","",IFERROR(INT(A628),"check date"))</f>
        <v/>
      </c>
      <c r="G628" s="35">
        <f>IF(B628="","",IFERROR(INDEX(Students!$A:$A,MATCH(TRIM(B628),Students!$A:$A,0)),"NOT ON LIST"))</f>
        <v/>
      </c>
      <c r="H628" s="35">
        <f>IF(OR(G628="",G628="NOT ON LIST"),"",VLOOKUP(G628,Students!$A:$C,2,FALSE))</f>
        <v/>
      </c>
      <c r="I628" s="35">
        <f>IF(OR(G628="",G628="NOT ON LIST"),"",VLOOKUP(G628,Students!$A:$C,3,FALSE)&amp;"")</f>
        <v/>
      </c>
    </row>
    <row r="629">
      <c r="A629" s="31" t="n">
        <v>46330.55208333334</v>
      </c>
      <c r="B629" s="32" t="inlineStr">
        <is>
          <t>Thomas Ruiz</t>
        </is>
      </c>
      <c r="C629" s="32" t="inlineStr">
        <is>
          <t>Sofia Ruiz</t>
        </is>
      </c>
      <c r="D629" s="33" t="n">
        <v>100</v>
      </c>
      <c r="E629" s="32" t="inlineStr">
        <is>
          <t>OneCause</t>
        </is>
      </c>
      <c r="F629" s="34">
        <f>IF(A629="","",IFERROR(INT(A629),"check date"))</f>
        <v/>
      </c>
      <c r="G629" s="35">
        <f>IF(B629="","",IFERROR(INDEX(Students!$A:$A,MATCH(TRIM(B629),Students!$A:$A,0)),"NOT ON LIST"))</f>
        <v/>
      </c>
      <c r="H629" s="35">
        <f>IF(OR(G629="",G629="NOT ON LIST"),"",VLOOKUP(G629,Students!$A:$C,2,FALSE))</f>
        <v/>
      </c>
      <c r="I629" s="35">
        <f>IF(OR(G629="",G629="NOT ON LIST"),"",VLOOKUP(G629,Students!$A:$C,3,FALSE)&amp;"")</f>
        <v/>
      </c>
    </row>
    <row r="630">
      <c r="A630" s="31" t="n">
        <v>46338</v>
      </c>
      <c r="B630" s="32" t="inlineStr">
        <is>
          <t>Maya Flores</t>
        </is>
      </c>
      <c r="C630" s="32" t="inlineStr">
        <is>
          <t>Samuel Flores</t>
        </is>
      </c>
      <c r="D630" s="33" t="n">
        <v>50</v>
      </c>
      <c r="E630" s="32" t="inlineStr">
        <is>
          <t>Check</t>
        </is>
      </c>
      <c r="F630" s="34">
        <f>IF(A630="","",IFERROR(INT(A630),"check date"))</f>
        <v/>
      </c>
      <c r="G630" s="35">
        <f>IF(B630="","",IFERROR(INDEX(Students!$A:$A,MATCH(TRIM(B630),Students!$A:$A,0)),"NOT ON LIST"))</f>
        <v/>
      </c>
      <c r="H630" s="35">
        <f>IF(OR(G630="",G630="NOT ON LIST"),"",VLOOKUP(G630,Students!$A:$C,2,FALSE))</f>
        <v/>
      </c>
      <c r="I630" s="35">
        <f>IF(OR(G630="",G630="NOT ON LIST"),"",VLOOKUP(G630,Students!$A:$C,3,FALSE)&amp;"")</f>
        <v/>
      </c>
    </row>
    <row r="631">
      <c r="A631" s="31" t="n">
        <v>46329.54166666666</v>
      </c>
      <c r="B631" s="32" t="inlineStr">
        <is>
          <t>Benjamin Murphy</t>
        </is>
      </c>
      <c r="C631" s="32" t="inlineStr">
        <is>
          <t>Emma Murphy</t>
        </is>
      </c>
      <c r="D631" s="33" t="n">
        <v>50</v>
      </c>
      <c r="E631" s="32" t="inlineStr">
        <is>
          <t>OneCause</t>
        </is>
      </c>
      <c r="F631" s="34">
        <f>IF(A631="","",IFERROR(INT(A631),"check date"))</f>
        <v/>
      </c>
      <c r="G631" s="35">
        <f>IF(B631="","",IFERROR(INDEX(Students!$A:$A,MATCH(TRIM(B631),Students!$A:$A,0)),"NOT ON LIST"))</f>
        <v/>
      </c>
      <c r="H631" s="35">
        <f>IF(OR(G631="",G631="NOT ON LIST"),"",VLOOKUP(G631,Students!$A:$C,2,FALSE))</f>
        <v/>
      </c>
      <c r="I631" s="35">
        <f>IF(OR(G631="",G631="NOT ON LIST"),"",VLOOKUP(G631,Students!$A:$C,3,FALSE)&amp;"")</f>
        <v/>
      </c>
    </row>
    <row r="632">
      <c r="A632" s="31" t="n">
        <v>46338.63541666666</v>
      </c>
      <c r="B632" s="32" t="inlineStr">
        <is>
          <t>Elena Smith</t>
        </is>
      </c>
      <c r="C632" s="32" t="inlineStr">
        <is>
          <t>Lily Smith</t>
        </is>
      </c>
      <c r="D632" s="33" t="n">
        <v>25</v>
      </c>
      <c r="E632" s="32" t="inlineStr">
        <is>
          <t>OneCause</t>
        </is>
      </c>
      <c r="F632" s="34">
        <f>IF(A632="","",IFERROR(INT(A632),"check date"))</f>
        <v/>
      </c>
      <c r="G632" s="35">
        <f>IF(B632="","",IFERROR(INDEX(Students!$A:$A,MATCH(TRIM(B632),Students!$A:$A,0)),"NOT ON LIST"))</f>
        <v/>
      </c>
      <c r="H632" s="35">
        <f>IF(OR(G632="",G632="NOT ON LIST"),"",VLOOKUP(G632,Students!$A:$C,2,FALSE))</f>
        <v/>
      </c>
      <c r="I632" s="35">
        <f>IF(OR(G632="",G632="NOT ON LIST"),"",VLOOKUP(G632,Students!$A:$C,3,FALSE)&amp;"")</f>
        <v/>
      </c>
    </row>
    <row r="633">
      <c r="A633" s="31" t="n">
        <v>46332.78125</v>
      </c>
      <c r="B633" s="32" t="inlineStr">
        <is>
          <t>Ava Ramos</t>
        </is>
      </c>
      <c r="C633" s="32" t="inlineStr">
        <is>
          <t>Gabriel Ramos</t>
        </is>
      </c>
      <c r="D633" s="33" t="n">
        <v>40</v>
      </c>
      <c r="E633" s="32" t="inlineStr">
        <is>
          <t>OneCause</t>
        </is>
      </c>
      <c r="F633" s="34">
        <f>IF(A633="","",IFERROR(INT(A633),"check date"))</f>
        <v/>
      </c>
      <c r="G633" s="35">
        <f>IF(B633="","",IFERROR(INDEX(Students!$A:$A,MATCH(TRIM(B633),Students!$A:$A,0)),"NOT ON LIST"))</f>
        <v/>
      </c>
      <c r="H633" s="35">
        <f>IF(OR(G633="",G633="NOT ON LIST"),"",VLOOKUP(G633,Students!$A:$C,2,FALSE))</f>
        <v/>
      </c>
      <c r="I633" s="35">
        <f>IF(OR(G633="",G633="NOT ON LIST"),"",VLOOKUP(G633,Students!$A:$C,3,FALSE)&amp;"")</f>
        <v/>
      </c>
    </row>
    <row r="634">
      <c r="A634" s="31" t="n">
        <v>46328.64583333334</v>
      </c>
      <c r="B634" s="32" t="inlineStr">
        <is>
          <t>Aria Cruz</t>
        </is>
      </c>
      <c r="C634" s="32" t="inlineStr">
        <is>
          <t>Evelyn Cruz</t>
        </is>
      </c>
      <c r="D634" s="33" t="n">
        <v>150</v>
      </c>
      <c r="E634" s="32" t="inlineStr">
        <is>
          <t>OneCause</t>
        </is>
      </c>
      <c r="F634" s="34">
        <f>IF(A634="","",IFERROR(INT(A634),"check date"))</f>
        <v/>
      </c>
      <c r="G634" s="35">
        <f>IF(B634="","",IFERROR(INDEX(Students!$A:$A,MATCH(TRIM(B634),Students!$A:$A,0)),"NOT ON LIST"))</f>
        <v/>
      </c>
      <c r="H634" s="35">
        <f>IF(OR(G634="",G634="NOT ON LIST"),"",VLOOKUP(G634,Students!$A:$C,2,FALSE))</f>
        <v/>
      </c>
      <c r="I634" s="35">
        <f>IF(OR(G634="",G634="NOT ON LIST"),"",VLOOKUP(G634,Students!$A:$C,3,FALSE)&amp;"")</f>
        <v/>
      </c>
    </row>
    <row r="635">
      <c r="A635" s="31" t="n">
        <v>46337.3125</v>
      </c>
      <c r="B635" s="32" t="inlineStr">
        <is>
          <t>Luna Johnson</t>
        </is>
      </c>
      <c r="C635" s="32" t="inlineStr">
        <is>
          <t>Benjamin Johnson</t>
        </is>
      </c>
      <c r="D635" s="33" t="n">
        <v>25</v>
      </c>
      <c r="E635" s="32" t="inlineStr">
        <is>
          <t>OneCause</t>
        </is>
      </c>
      <c r="F635" s="34">
        <f>IF(A635="","",IFERROR(INT(A635),"check date"))</f>
        <v/>
      </c>
      <c r="G635" s="35">
        <f>IF(B635="","",IFERROR(INDEX(Students!$A:$A,MATCH(TRIM(B635),Students!$A:$A,0)),"NOT ON LIST"))</f>
        <v/>
      </c>
      <c r="H635" s="35">
        <f>IF(OR(G635="",G635="NOT ON LIST"),"",VLOOKUP(G635,Students!$A:$C,2,FALSE))</f>
        <v/>
      </c>
      <c r="I635" s="35">
        <f>IF(OR(G635="",G635="NOT ON LIST"),"",VLOOKUP(G635,Students!$A:$C,3,FALSE)&amp;"")</f>
        <v/>
      </c>
    </row>
    <row r="636">
      <c r="A636" s="31" t="n">
        <v>46338.72916666666</v>
      </c>
      <c r="B636" s="32" t="inlineStr">
        <is>
          <t>Ava Gomez</t>
        </is>
      </c>
      <c r="C636" s="32" t="inlineStr">
        <is>
          <t>Mateo Gomez</t>
        </is>
      </c>
      <c r="D636" s="33" t="n">
        <v>10</v>
      </c>
      <c r="E636" s="32" t="inlineStr">
        <is>
          <t>OneCause</t>
        </is>
      </c>
      <c r="F636" s="34">
        <f>IF(A636="","",IFERROR(INT(A636),"check date"))</f>
        <v/>
      </c>
      <c r="G636" s="35">
        <f>IF(B636="","",IFERROR(INDEX(Students!$A:$A,MATCH(TRIM(B636),Students!$A:$A,0)),"NOT ON LIST"))</f>
        <v/>
      </c>
      <c r="H636" s="35">
        <f>IF(OR(G636="",G636="NOT ON LIST"),"",VLOOKUP(G636,Students!$A:$C,2,FALSE))</f>
        <v/>
      </c>
      <c r="I636" s="35">
        <f>IF(OR(G636="",G636="NOT ON LIST"),"",VLOOKUP(G636,Students!$A:$C,3,FALSE)&amp;"")</f>
        <v/>
      </c>
    </row>
    <row r="637">
      <c r="A637" s="31" t="n">
        <v>46338.78125</v>
      </c>
      <c r="B637" s="32" t="inlineStr">
        <is>
          <t>Grace Ryan</t>
        </is>
      </c>
      <c r="C637" s="32" t="inlineStr">
        <is>
          <t>Ella Ryan</t>
        </is>
      </c>
      <c r="D637" s="33" t="n">
        <v>50</v>
      </c>
      <c r="E637" s="32" t="inlineStr">
        <is>
          <t>OneCause</t>
        </is>
      </c>
      <c r="F637" s="34">
        <f>IF(A637="","",IFERROR(INT(A637),"check date"))</f>
        <v/>
      </c>
      <c r="G637" s="35">
        <f>IF(B637="","",IFERROR(INDEX(Students!$A:$A,MATCH(TRIM(B637),Students!$A:$A,0)),"NOT ON LIST"))</f>
        <v/>
      </c>
      <c r="H637" s="35">
        <f>IF(OR(G637="",G637="NOT ON LIST"),"",VLOOKUP(G637,Students!$A:$C,2,FALSE))</f>
        <v/>
      </c>
      <c r="I637" s="35">
        <f>IF(OR(G637="",G637="NOT ON LIST"),"",VLOOKUP(G637,Students!$A:$C,3,FALSE)&amp;"")</f>
        <v/>
      </c>
    </row>
    <row r="638">
      <c r="A638" s="31" t="n">
        <v>46336.76041666666</v>
      </c>
      <c r="B638" s="32" t="inlineStr">
        <is>
          <t>Chloe Diaz</t>
        </is>
      </c>
      <c r="C638" s="32" t="inlineStr">
        <is>
          <t>Elena Diaz</t>
        </is>
      </c>
      <c r="D638" s="33" t="n">
        <v>20</v>
      </c>
      <c r="E638" s="32" t="inlineStr">
        <is>
          <t>OneCause</t>
        </is>
      </c>
      <c r="F638" s="34">
        <f>IF(A638="","",IFERROR(INT(A638),"check date"))</f>
        <v/>
      </c>
      <c r="G638" s="35">
        <f>IF(B638="","",IFERROR(INDEX(Students!$A:$A,MATCH(TRIM(B638),Students!$A:$A,0)),"NOT ON LIST"))</f>
        <v/>
      </c>
      <c r="H638" s="35">
        <f>IF(OR(G638="",G638="NOT ON LIST"),"",VLOOKUP(G638,Students!$A:$C,2,FALSE))</f>
        <v/>
      </c>
      <c r="I638" s="35">
        <f>IF(OR(G638="",G638="NOT ON LIST"),"",VLOOKUP(G638,Students!$A:$C,3,FALSE)&amp;"")</f>
        <v/>
      </c>
    </row>
    <row r="639">
      <c r="A639" s="31" t="n">
        <v>46338</v>
      </c>
      <c r="B639" s="32" t="inlineStr">
        <is>
          <t>Grace O'Brien</t>
        </is>
      </c>
      <c r="C639" s="32" t="inlineStr">
        <is>
          <t>Lucas O'Brien</t>
        </is>
      </c>
      <c r="D639" s="33" t="n">
        <v>50</v>
      </c>
      <c r="E639" s="32" t="inlineStr">
        <is>
          <t>Cash</t>
        </is>
      </c>
      <c r="F639" s="34">
        <f>IF(A639="","",IFERROR(INT(A639),"check date"))</f>
        <v/>
      </c>
      <c r="G639" s="35">
        <f>IF(B639="","",IFERROR(INDEX(Students!$A:$A,MATCH(TRIM(B639),Students!$A:$A,0)),"NOT ON LIST"))</f>
        <v/>
      </c>
      <c r="H639" s="35">
        <f>IF(OR(G639="",G639="NOT ON LIST"),"",VLOOKUP(G639,Students!$A:$C,2,FALSE))</f>
        <v/>
      </c>
      <c r="I639" s="35">
        <f>IF(OR(G639="",G639="NOT ON LIST"),"",VLOOKUP(G639,Students!$A:$C,3,FALSE)&amp;"")</f>
        <v/>
      </c>
    </row>
    <row r="640">
      <c r="A640" s="31" t="n">
        <v>46339.45833333334</v>
      </c>
      <c r="B640" s="32" t="inlineStr">
        <is>
          <t>Mateo Gonzalez</t>
        </is>
      </c>
      <c r="C640" s="32" t="inlineStr">
        <is>
          <t>Leo Gonzalez</t>
        </is>
      </c>
      <c r="D640" s="33" t="n">
        <v>20</v>
      </c>
      <c r="E640" s="32" t="inlineStr">
        <is>
          <t>OneCause</t>
        </is>
      </c>
      <c r="F640" s="34">
        <f>IF(A640="","",IFERROR(INT(A640),"check date"))</f>
        <v/>
      </c>
      <c r="G640" s="35">
        <f>IF(B640="","",IFERROR(INDEX(Students!$A:$A,MATCH(TRIM(B640),Students!$A:$A,0)),"NOT ON LIST"))</f>
        <v/>
      </c>
      <c r="H640" s="35">
        <f>IF(OR(G640="",G640="NOT ON LIST"),"",VLOOKUP(G640,Students!$A:$C,2,FALSE))</f>
        <v/>
      </c>
      <c r="I640" s="35">
        <f>IF(OR(G640="",G640="NOT ON LIST"),"",VLOOKUP(G640,Students!$A:$C,3,FALSE)&amp;"")</f>
        <v/>
      </c>
    </row>
    <row r="641">
      <c r="A641" s="31" t="n">
        <v>46325.6875</v>
      </c>
      <c r="B641" s="32" t="inlineStr">
        <is>
          <t>Joseph Chavez</t>
        </is>
      </c>
      <c r="C641" s="32" t="inlineStr">
        <is>
          <t>Diego Chavez</t>
        </is>
      </c>
      <c r="D641" s="33" t="n">
        <v>100</v>
      </c>
      <c r="E641" s="32" t="inlineStr">
        <is>
          <t>OneCause</t>
        </is>
      </c>
      <c r="F641" s="34">
        <f>IF(A641="","",IFERROR(INT(A641),"check date"))</f>
        <v/>
      </c>
      <c r="G641" s="35">
        <f>IF(B641="","",IFERROR(INDEX(Students!$A:$A,MATCH(TRIM(B641),Students!$A:$A,0)),"NOT ON LIST"))</f>
        <v/>
      </c>
      <c r="H641" s="35">
        <f>IF(OR(G641="",G641="NOT ON LIST"),"",VLOOKUP(G641,Students!$A:$C,2,FALSE))</f>
        <v/>
      </c>
      <c r="I641" s="35">
        <f>IF(OR(G641="",G641="NOT ON LIST"),"",VLOOKUP(G641,Students!$A:$C,3,FALSE)&amp;"")</f>
        <v/>
      </c>
    </row>
    <row r="642">
      <c r="A642" s="31" t="n">
        <v>46325.53125</v>
      </c>
      <c r="B642" s="32" t="inlineStr">
        <is>
          <t>Zoe Gomez</t>
        </is>
      </c>
      <c r="C642" s="32" t="inlineStr">
        <is>
          <t>Amelia Gomez</t>
        </is>
      </c>
      <c r="D642" s="33" t="n">
        <v>25</v>
      </c>
      <c r="E642" s="32" t="inlineStr">
        <is>
          <t>OneCause</t>
        </is>
      </c>
      <c r="F642" s="34">
        <f>IF(A642="","",IFERROR(INT(A642),"check date"))</f>
        <v/>
      </c>
      <c r="G642" s="35">
        <f>IF(B642="","",IFERROR(INDEX(Students!$A:$A,MATCH(TRIM(B642),Students!$A:$A,0)),"NOT ON LIST"))</f>
        <v/>
      </c>
      <c r="H642" s="35">
        <f>IF(OR(G642="",G642="NOT ON LIST"),"",VLOOKUP(G642,Students!$A:$C,2,FALSE))</f>
        <v/>
      </c>
      <c r="I642" s="35">
        <f>IF(OR(G642="",G642="NOT ON LIST"),"",VLOOKUP(G642,Students!$A:$C,3,FALSE)&amp;"")</f>
        <v/>
      </c>
    </row>
    <row r="643">
      <c r="A643" s="31" t="n">
        <v>46335.71875</v>
      </c>
      <c r="B643" s="32" t="inlineStr">
        <is>
          <t>Evelyn Martinez</t>
        </is>
      </c>
      <c r="C643" s="32" t="inlineStr">
        <is>
          <t>Ella Martinez</t>
        </is>
      </c>
      <c r="D643" s="33" t="n">
        <v>150</v>
      </c>
      <c r="E643" s="32" t="inlineStr">
        <is>
          <t>OneCause</t>
        </is>
      </c>
      <c r="F643" s="34">
        <f>IF(A643="","",IFERROR(INT(A643),"check date"))</f>
        <v/>
      </c>
      <c r="G643" s="35">
        <f>IF(B643="","",IFERROR(INDEX(Students!$A:$A,MATCH(TRIM(B643),Students!$A:$A,0)),"NOT ON LIST"))</f>
        <v/>
      </c>
      <c r="H643" s="35">
        <f>IF(OR(G643="",G643="NOT ON LIST"),"",VLOOKUP(G643,Students!$A:$C,2,FALSE))</f>
        <v/>
      </c>
      <c r="I643" s="35">
        <f>IF(OR(G643="",G643="NOT ON LIST"),"",VLOOKUP(G643,Students!$A:$C,3,FALSE)&amp;"")</f>
        <v/>
      </c>
    </row>
    <row r="644">
      <c r="A644" s="31" t="n">
        <v>46336.80208333334</v>
      </c>
      <c r="B644" s="32" t="inlineStr">
        <is>
          <t>Daniel Ramos</t>
        </is>
      </c>
      <c r="C644" s="32" t="inlineStr">
        <is>
          <t>Grace Ramos</t>
        </is>
      </c>
      <c r="D644" s="33" t="n">
        <v>10</v>
      </c>
      <c r="E644" s="32" t="inlineStr">
        <is>
          <t>OneCause</t>
        </is>
      </c>
      <c r="F644" s="34">
        <f>IF(A644="","",IFERROR(INT(A644),"check date"))</f>
        <v/>
      </c>
      <c r="G644" s="35">
        <f>IF(B644="","",IFERROR(INDEX(Students!$A:$A,MATCH(TRIM(B644),Students!$A:$A,0)),"NOT ON LIST"))</f>
        <v/>
      </c>
      <c r="H644" s="35">
        <f>IF(OR(G644="",G644="NOT ON LIST"),"",VLOOKUP(G644,Students!$A:$C,2,FALSE))</f>
        <v/>
      </c>
      <c r="I644" s="35">
        <f>IF(OR(G644="",G644="NOT ON LIST"),"",VLOOKUP(G644,Students!$A:$C,3,FALSE)&amp;"")</f>
        <v/>
      </c>
    </row>
    <row r="645">
      <c r="A645" s="31" t="n">
        <v>46338.875</v>
      </c>
      <c r="B645" s="32" t="inlineStr">
        <is>
          <t>Zoe O'Brien</t>
        </is>
      </c>
      <c r="C645" s="32" t="inlineStr">
        <is>
          <t>Thomas O'Brien</t>
        </is>
      </c>
      <c r="D645" s="33" t="n">
        <v>50</v>
      </c>
      <c r="E645" s="32" t="inlineStr">
        <is>
          <t>OneCause</t>
        </is>
      </c>
      <c r="F645" s="34">
        <f>IF(A645="","",IFERROR(INT(A645),"check date"))</f>
        <v/>
      </c>
      <c r="G645" s="35">
        <f>IF(B645="","",IFERROR(INDEX(Students!$A:$A,MATCH(TRIM(B645),Students!$A:$A,0)),"NOT ON LIST"))</f>
        <v/>
      </c>
      <c r="H645" s="35">
        <f>IF(OR(G645="",G645="NOT ON LIST"),"",VLOOKUP(G645,Students!$A:$C,2,FALSE))</f>
        <v/>
      </c>
      <c r="I645" s="35">
        <f>IF(OR(G645="",G645="NOT ON LIST"),"",VLOOKUP(G645,Students!$A:$C,3,FALSE)&amp;"")</f>
        <v/>
      </c>
    </row>
    <row r="646">
      <c r="A646" s="31" t="n">
        <v>46325.58333333334</v>
      </c>
      <c r="B646" s="32" t="inlineStr">
        <is>
          <t>Zoe Gomez</t>
        </is>
      </c>
      <c r="C646" s="32" t="inlineStr">
        <is>
          <t>Emma Gomez</t>
        </is>
      </c>
      <c r="D646" s="33" t="n">
        <v>20</v>
      </c>
      <c r="E646" s="32" t="inlineStr">
        <is>
          <t>OneCause</t>
        </is>
      </c>
      <c r="F646" s="34">
        <f>IF(A646="","",IFERROR(INT(A646),"check date"))</f>
        <v/>
      </c>
      <c r="G646" s="35">
        <f>IF(B646="","",IFERROR(INDEX(Students!$A:$A,MATCH(TRIM(B646),Students!$A:$A,0)),"NOT ON LIST"))</f>
        <v/>
      </c>
      <c r="H646" s="35">
        <f>IF(OR(G646="",G646="NOT ON LIST"),"",VLOOKUP(G646,Students!$A:$C,2,FALSE))</f>
        <v/>
      </c>
      <c r="I646" s="35">
        <f>IF(OR(G646="",G646="NOT ON LIST"),"",VLOOKUP(G646,Students!$A:$C,3,FALSE)&amp;"")</f>
        <v/>
      </c>
    </row>
    <row r="647">
      <c r="A647" s="31" t="n">
        <v>46338.83333333334</v>
      </c>
      <c r="B647" s="32" t="inlineStr">
        <is>
          <t>Nicolas Brown</t>
        </is>
      </c>
      <c r="C647" s="32" t="inlineStr">
        <is>
          <t>Nora Brown</t>
        </is>
      </c>
      <c r="D647" s="33" t="n">
        <v>50</v>
      </c>
      <c r="E647" s="32" t="inlineStr">
        <is>
          <t>OneCause</t>
        </is>
      </c>
      <c r="F647" s="34">
        <f>IF(A647="","",IFERROR(INT(A647),"check date"))</f>
        <v/>
      </c>
      <c r="G647" s="35">
        <f>IF(B647="","",IFERROR(INDEX(Students!$A:$A,MATCH(TRIM(B647),Students!$A:$A,0)),"NOT ON LIST"))</f>
        <v/>
      </c>
      <c r="H647" s="35">
        <f>IF(OR(G647="",G647="NOT ON LIST"),"",VLOOKUP(G647,Students!$A:$C,2,FALSE))</f>
        <v/>
      </c>
      <c r="I647" s="35">
        <f>IF(OR(G647="",G647="NOT ON LIST"),"",VLOOKUP(G647,Students!$A:$C,3,FALSE)&amp;"")</f>
        <v/>
      </c>
    </row>
    <row r="648">
      <c r="A648" s="31" t="n">
        <v>46331.76041666666</v>
      </c>
      <c r="B648" s="32" t="inlineStr">
        <is>
          <t>James Flores</t>
        </is>
      </c>
      <c r="C648" s="32" t="inlineStr">
        <is>
          <t>Elijah Flores</t>
        </is>
      </c>
      <c r="D648" s="33" t="n">
        <v>50</v>
      </c>
      <c r="E648" s="32" t="inlineStr">
        <is>
          <t>OneCause</t>
        </is>
      </c>
      <c r="F648" s="34">
        <f>IF(A648="","",IFERROR(INT(A648),"check date"))</f>
        <v/>
      </c>
      <c r="G648" s="35">
        <f>IF(B648="","",IFERROR(INDEX(Students!$A:$A,MATCH(TRIM(B648),Students!$A:$A,0)),"NOT ON LIST"))</f>
        <v/>
      </c>
      <c r="H648" s="35">
        <f>IF(OR(G648="",G648="NOT ON LIST"),"",VLOOKUP(G648,Students!$A:$C,2,FALSE))</f>
        <v/>
      </c>
      <c r="I648" s="35">
        <f>IF(OR(G648="",G648="NOT ON LIST"),"",VLOOKUP(G648,Students!$A:$C,3,FALSE)&amp;"")</f>
        <v/>
      </c>
    </row>
    <row r="649">
      <c r="A649" s="31" t="n">
        <v>46334.45833333334</v>
      </c>
      <c r="B649" s="32" t="inlineStr">
        <is>
          <t>Leo Vasquez</t>
        </is>
      </c>
      <c r="C649" s="32" t="inlineStr">
        <is>
          <t>Emma Vasquez</t>
        </is>
      </c>
      <c r="D649" s="33" t="n">
        <v>100</v>
      </c>
      <c r="E649" s="32" t="inlineStr">
        <is>
          <t>OneCause</t>
        </is>
      </c>
      <c r="F649" s="34">
        <f>IF(A649="","",IFERROR(INT(A649),"check date"))</f>
        <v/>
      </c>
      <c r="G649" s="35">
        <f>IF(B649="","",IFERROR(INDEX(Students!$A:$A,MATCH(TRIM(B649),Students!$A:$A,0)),"NOT ON LIST"))</f>
        <v/>
      </c>
      <c r="H649" s="35">
        <f>IF(OR(G649="",G649="NOT ON LIST"),"",VLOOKUP(G649,Students!$A:$C,2,FALSE))</f>
        <v/>
      </c>
      <c r="I649" s="35">
        <f>IF(OR(G649="",G649="NOT ON LIST"),"",VLOOKUP(G649,Students!$A:$C,3,FALSE)&amp;"")</f>
        <v/>
      </c>
    </row>
    <row r="650">
      <c r="A650" s="31" t="n">
        <v>46336.88541666666</v>
      </c>
      <c r="B650" s="32" t="inlineStr">
        <is>
          <t>Maya Nguyen</t>
        </is>
      </c>
      <c r="C650" s="32" t="inlineStr">
        <is>
          <t>Elijah Nguyen</t>
        </is>
      </c>
      <c r="D650" s="33" t="n">
        <v>40</v>
      </c>
      <c r="E650" s="32" t="inlineStr">
        <is>
          <t>OneCause</t>
        </is>
      </c>
      <c r="F650" s="34">
        <f>IF(A650="","",IFERROR(INT(A650),"check date"))</f>
        <v/>
      </c>
      <c r="G650" s="35">
        <f>IF(B650="","",IFERROR(INDEX(Students!$A:$A,MATCH(TRIM(B650),Students!$A:$A,0)),"NOT ON LIST"))</f>
        <v/>
      </c>
      <c r="H650" s="35">
        <f>IF(OR(G650="",G650="NOT ON LIST"),"",VLOOKUP(G650,Students!$A:$C,2,FALSE))</f>
        <v/>
      </c>
      <c r="I650" s="35">
        <f>IF(OR(G650="",G650="NOT ON LIST"),"",VLOOKUP(G650,Students!$A:$C,3,FALSE)&amp;"")</f>
        <v/>
      </c>
    </row>
    <row r="651">
      <c r="A651" s="31" t="n">
        <v>46334.84375</v>
      </c>
      <c r="B651" s="32" t="inlineStr">
        <is>
          <t>Samuel Ramirez</t>
        </is>
      </c>
      <c r="C651" s="32" t="inlineStr">
        <is>
          <t>Elijah Ramirez</t>
        </is>
      </c>
      <c r="D651" s="33" t="n">
        <v>20</v>
      </c>
      <c r="E651" s="32" t="inlineStr">
        <is>
          <t>OneCause</t>
        </is>
      </c>
      <c r="F651" s="34">
        <f>IF(A651="","",IFERROR(INT(A651),"check date"))</f>
        <v/>
      </c>
      <c r="G651" s="35">
        <f>IF(B651="","",IFERROR(INDEX(Students!$A:$A,MATCH(TRIM(B651),Students!$A:$A,0)),"NOT ON LIST"))</f>
        <v/>
      </c>
      <c r="H651" s="35">
        <f>IF(OR(G651="",G651="NOT ON LIST"),"",VLOOKUP(G651,Students!$A:$C,2,FALSE))</f>
        <v/>
      </c>
      <c r="I651" s="35">
        <f>IF(OR(G651="",G651="NOT ON LIST"),"",VLOOKUP(G651,Students!$A:$C,3,FALSE)&amp;"")</f>
        <v/>
      </c>
    </row>
    <row r="652">
      <c r="A652" s="31" t="n">
        <v>46338.71875</v>
      </c>
      <c r="B652" s="32" t="inlineStr">
        <is>
          <t>Thomas Patel</t>
        </is>
      </c>
      <c r="C652" s="32" t="inlineStr">
        <is>
          <t>Harper Patel</t>
        </is>
      </c>
      <c r="D652" s="33" t="n">
        <v>20</v>
      </c>
      <c r="E652" s="32" t="inlineStr">
        <is>
          <t>OneCause</t>
        </is>
      </c>
      <c r="F652" s="34">
        <f>IF(A652="","",IFERROR(INT(A652),"check date"))</f>
        <v/>
      </c>
      <c r="G652" s="35">
        <f>IF(B652="","",IFERROR(INDEX(Students!$A:$A,MATCH(TRIM(B652),Students!$A:$A,0)),"NOT ON LIST"))</f>
        <v/>
      </c>
      <c r="H652" s="35">
        <f>IF(OR(G652="",G652="NOT ON LIST"),"",VLOOKUP(G652,Students!$A:$C,2,FALSE))</f>
        <v/>
      </c>
      <c r="I652" s="35">
        <f>IF(OR(G652="",G652="NOT ON LIST"),"",VLOOKUP(G652,Students!$A:$C,3,FALSE)&amp;"")</f>
        <v/>
      </c>
    </row>
    <row r="653">
      <c r="A653" s="31" t="n">
        <v>46339.61458333334</v>
      </c>
      <c r="B653" s="32" t="inlineStr">
        <is>
          <t>Adrian Lopez</t>
        </is>
      </c>
      <c r="C653" s="32" t="inlineStr">
        <is>
          <t>Chloe Lopez</t>
        </is>
      </c>
      <c r="D653" s="33" t="n">
        <v>100</v>
      </c>
      <c r="E653" s="32" t="inlineStr">
        <is>
          <t>OneCause</t>
        </is>
      </c>
      <c r="F653" s="34">
        <f>IF(A653="","",IFERROR(INT(A653),"check date"))</f>
        <v/>
      </c>
      <c r="G653" s="35">
        <f>IF(B653="","",IFERROR(INDEX(Students!$A:$A,MATCH(TRIM(B653),Students!$A:$A,0)),"NOT ON LIST"))</f>
        <v/>
      </c>
      <c r="H653" s="35">
        <f>IF(OR(G653="",G653="NOT ON LIST"),"",VLOOKUP(G653,Students!$A:$C,2,FALSE))</f>
        <v/>
      </c>
      <c r="I653" s="35">
        <f>IF(OR(G653="",G653="NOT ON LIST"),"",VLOOKUP(G653,Students!$A:$C,3,FALSE)&amp;"")</f>
        <v/>
      </c>
    </row>
    <row r="654">
      <c r="A654" s="31" t="n">
        <v>46338.65625</v>
      </c>
      <c r="B654" s="32" t="inlineStr">
        <is>
          <t>Noah Gomez</t>
        </is>
      </c>
      <c r="C654" s="32" t="inlineStr">
        <is>
          <t>Nicolas Gomez</t>
        </is>
      </c>
      <c r="D654" s="33" t="n">
        <v>50</v>
      </c>
      <c r="E654" s="32" t="inlineStr">
        <is>
          <t>OneCause</t>
        </is>
      </c>
      <c r="F654" s="34">
        <f>IF(A654="","",IFERROR(INT(A654),"check date"))</f>
        <v/>
      </c>
      <c r="G654" s="35">
        <f>IF(B654="","",IFERROR(INDEX(Students!$A:$A,MATCH(TRIM(B654),Students!$A:$A,0)),"NOT ON LIST"))</f>
        <v/>
      </c>
      <c r="H654" s="35">
        <f>IF(OR(G654="",G654="NOT ON LIST"),"",VLOOKUP(G654,Students!$A:$C,2,FALSE))</f>
        <v/>
      </c>
      <c r="I654" s="35">
        <f>IF(OR(G654="",G654="NOT ON LIST"),"",VLOOKUP(G654,Students!$A:$C,3,FALSE)&amp;"")</f>
        <v/>
      </c>
    </row>
    <row r="655">
      <c r="A655" s="31" t="n">
        <v>46327.82291666666</v>
      </c>
      <c r="B655" s="32" t="inlineStr">
        <is>
          <t>James Patel</t>
        </is>
      </c>
      <c r="C655" s="32" t="inlineStr">
        <is>
          <t>Liam Patel</t>
        </is>
      </c>
      <c r="D655" s="33" t="n">
        <v>100</v>
      </c>
      <c r="E655" s="32" t="inlineStr">
        <is>
          <t>OneCause</t>
        </is>
      </c>
      <c r="F655" s="34">
        <f>IF(A655="","",IFERROR(INT(A655),"check date"))</f>
        <v/>
      </c>
      <c r="G655" s="35">
        <f>IF(B655="","",IFERROR(INDEX(Students!$A:$A,MATCH(TRIM(B655),Students!$A:$A,0)),"NOT ON LIST"))</f>
        <v/>
      </c>
      <c r="H655" s="35">
        <f>IF(OR(G655="",G655="NOT ON LIST"),"",VLOOKUP(G655,Students!$A:$C,2,FALSE))</f>
        <v/>
      </c>
      <c r="I655" s="35">
        <f>IF(OR(G655="",G655="NOT ON LIST"),"",VLOOKUP(G655,Students!$A:$C,3,FALSE)&amp;"")</f>
        <v/>
      </c>
    </row>
    <row r="656">
      <c r="A656" s="31" t="n">
        <v>46327.45833333334</v>
      </c>
      <c r="B656" s="32" t="inlineStr">
        <is>
          <t>Santiago Gutierrez</t>
        </is>
      </c>
      <c r="C656" s="32" t="inlineStr">
        <is>
          <t>Sofia Gutierrez</t>
        </is>
      </c>
      <c r="D656" s="33" t="n">
        <v>25</v>
      </c>
      <c r="E656" s="32" t="inlineStr">
        <is>
          <t>OneCause</t>
        </is>
      </c>
      <c r="F656" s="34">
        <f>IF(A656="","",IFERROR(INT(A656),"check date"))</f>
        <v/>
      </c>
      <c r="G656" s="35">
        <f>IF(B656="","",IFERROR(INDEX(Students!$A:$A,MATCH(TRIM(B656),Students!$A:$A,0)),"NOT ON LIST"))</f>
        <v/>
      </c>
      <c r="H656" s="35">
        <f>IF(OR(G656="",G656="NOT ON LIST"),"",VLOOKUP(G656,Students!$A:$C,2,FALSE))</f>
        <v/>
      </c>
      <c r="I656" s="35">
        <f>IF(OR(G656="",G656="NOT ON LIST"),"",VLOOKUP(G656,Students!$A:$C,3,FALSE)&amp;"")</f>
        <v/>
      </c>
    </row>
    <row r="657">
      <c r="A657" s="31" t="n">
        <v>46332.90625</v>
      </c>
      <c r="B657" s="32" t="inlineStr">
        <is>
          <t>Luna Rodriguez</t>
        </is>
      </c>
      <c r="C657" s="32" t="inlineStr">
        <is>
          <t>Elena Rodriguez</t>
        </is>
      </c>
      <c r="D657" s="33" t="n">
        <v>25</v>
      </c>
      <c r="E657" s="32" t="inlineStr">
        <is>
          <t>OneCause</t>
        </is>
      </c>
      <c r="F657" s="34">
        <f>IF(A657="","",IFERROR(INT(A657),"check date"))</f>
        <v/>
      </c>
      <c r="G657" s="35">
        <f>IF(B657="","",IFERROR(INDEX(Students!$A:$A,MATCH(TRIM(B657),Students!$A:$A,0)),"NOT ON LIST"))</f>
        <v/>
      </c>
      <c r="H657" s="35">
        <f>IF(OR(G657="",G657="NOT ON LIST"),"",VLOOKUP(G657,Students!$A:$C,2,FALSE))</f>
        <v/>
      </c>
      <c r="I657" s="35">
        <f>IF(OR(G657="",G657="NOT ON LIST"),"",VLOOKUP(G657,Students!$A:$C,3,FALSE)&amp;"")</f>
        <v/>
      </c>
    </row>
    <row r="658">
      <c r="A658" s="31" t="n">
        <v>46331.79166666666</v>
      </c>
      <c r="B658" s="32" t="inlineStr">
        <is>
          <t>Emma Williams</t>
        </is>
      </c>
      <c r="C658" s="32" t="inlineStr">
        <is>
          <t>James Williams</t>
        </is>
      </c>
      <c r="D658" s="33" t="n">
        <v>40</v>
      </c>
      <c r="E658" s="32" t="inlineStr">
        <is>
          <t>OneCause</t>
        </is>
      </c>
      <c r="F658" s="34">
        <f>IF(A658="","",IFERROR(INT(A658),"check date"))</f>
        <v/>
      </c>
      <c r="G658" s="35">
        <f>IF(B658="","",IFERROR(INDEX(Students!$A:$A,MATCH(TRIM(B658),Students!$A:$A,0)),"NOT ON LIST"))</f>
        <v/>
      </c>
      <c r="H658" s="35">
        <f>IF(OR(G658="",G658="NOT ON LIST"),"",VLOOKUP(G658,Students!$A:$C,2,FALSE))</f>
        <v/>
      </c>
      <c r="I658" s="35">
        <f>IF(OR(G658="",G658="NOT ON LIST"),"",VLOOKUP(G658,Students!$A:$C,3,FALSE)&amp;"")</f>
        <v/>
      </c>
    </row>
    <row r="659">
      <c r="A659" s="31" t="n">
        <v>46338.65625</v>
      </c>
      <c r="B659" s="32" t="inlineStr">
        <is>
          <t>Daniel Ramos</t>
        </is>
      </c>
      <c r="C659" s="32" t="inlineStr">
        <is>
          <t>Henry Ramos</t>
        </is>
      </c>
      <c r="D659" s="33" t="n">
        <v>25</v>
      </c>
      <c r="E659" s="32" t="inlineStr">
        <is>
          <t>OneCause</t>
        </is>
      </c>
      <c r="F659" s="34">
        <f>IF(A659="","",IFERROR(INT(A659),"check date"))</f>
        <v/>
      </c>
      <c r="G659" s="35">
        <f>IF(B659="","",IFERROR(INDEX(Students!$A:$A,MATCH(TRIM(B659),Students!$A:$A,0)),"NOT ON LIST"))</f>
        <v/>
      </c>
      <c r="H659" s="35">
        <f>IF(OR(G659="",G659="NOT ON LIST"),"",VLOOKUP(G659,Students!$A:$C,2,FALSE))</f>
        <v/>
      </c>
      <c r="I659" s="35">
        <f>IF(OR(G659="",G659="NOT ON LIST"),"",VLOOKUP(G659,Students!$A:$C,3,FALSE)&amp;"")</f>
        <v/>
      </c>
    </row>
    <row r="660">
      <c r="A660" s="31" t="n">
        <v>46337.29166666666</v>
      </c>
      <c r="B660" s="32" t="inlineStr">
        <is>
          <t>Mia Kim</t>
        </is>
      </c>
      <c r="C660" s="32" t="inlineStr">
        <is>
          <t>Ava Kim</t>
        </is>
      </c>
      <c r="D660" s="33" t="n">
        <v>40</v>
      </c>
      <c r="E660" s="32" t="inlineStr">
        <is>
          <t>OneCause</t>
        </is>
      </c>
      <c r="F660" s="34">
        <f>IF(A660="","",IFERROR(INT(A660),"check date"))</f>
        <v/>
      </c>
      <c r="G660" s="35">
        <f>IF(B660="","",IFERROR(INDEX(Students!$A:$A,MATCH(TRIM(B660),Students!$A:$A,0)),"NOT ON LIST"))</f>
        <v/>
      </c>
      <c r="H660" s="35">
        <f>IF(OR(G660="",G660="NOT ON LIST"),"",VLOOKUP(G660,Students!$A:$C,2,FALSE))</f>
        <v/>
      </c>
      <c r="I660" s="35">
        <f>IF(OR(G660="",G660="NOT ON LIST"),"",VLOOKUP(G660,Students!$A:$C,3,FALSE)&amp;"")</f>
        <v/>
      </c>
    </row>
    <row r="661">
      <c r="A661" s="31" t="n">
        <v>46333.33333333334</v>
      </c>
      <c r="B661" s="32" t="inlineStr">
        <is>
          <t>Grace Gomez</t>
        </is>
      </c>
      <c r="C661" s="32" t="inlineStr">
        <is>
          <t>Camila Gomez</t>
        </is>
      </c>
      <c r="D661" s="33" t="n">
        <v>10</v>
      </c>
      <c r="E661" s="32" t="inlineStr">
        <is>
          <t>OneCause</t>
        </is>
      </c>
      <c r="F661" s="34">
        <f>IF(A661="","",IFERROR(INT(A661),"check date"))</f>
        <v/>
      </c>
      <c r="G661" s="35">
        <f>IF(B661="","",IFERROR(INDEX(Students!$A:$A,MATCH(TRIM(B661),Students!$A:$A,0)),"NOT ON LIST"))</f>
        <v/>
      </c>
      <c r="H661" s="35">
        <f>IF(OR(G661="",G661="NOT ON LIST"),"",VLOOKUP(G661,Students!$A:$C,2,FALSE))</f>
        <v/>
      </c>
      <c r="I661" s="35">
        <f>IF(OR(G661="",G661="NOT ON LIST"),"",VLOOKUP(G661,Students!$A:$C,3,FALSE)&amp;"")</f>
        <v/>
      </c>
    </row>
    <row r="662">
      <c r="A662" s="31" t="n">
        <v>46332.73958333334</v>
      </c>
      <c r="B662" s="32" t="inlineStr">
        <is>
          <t>Zoe Martinez</t>
        </is>
      </c>
      <c r="C662" s="32" t="inlineStr">
        <is>
          <t>Thomas Martinez</t>
        </is>
      </c>
      <c r="D662" s="33" t="n">
        <v>50</v>
      </c>
      <c r="E662" s="32" t="inlineStr">
        <is>
          <t>OneCause</t>
        </is>
      </c>
      <c r="F662" s="34">
        <f>IF(A662="","",IFERROR(INT(A662),"check date"))</f>
        <v/>
      </c>
      <c r="G662" s="35">
        <f>IF(B662="","",IFERROR(INDEX(Students!$A:$A,MATCH(TRIM(B662),Students!$A:$A,0)),"NOT ON LIST"))</f>
        <v/>
      </c>
      <c r="H662" s="35">
        <f>IF(OR(G662="",G662="NOT ON LIST"),"",VLOOKUP(G662,Students!$A:$C,2,FALSE))</f>
        <v/>
      </c>
      <c r="I662" s="35">
        <f>IF(OR(G662="",G662="NOT ON LIST"),"",VLOOKUP(G662,Students!$A:$C,3,FALSE)&amp;"")</f>
        <v/>
      </c>
    </row>
    <row r="663">
      <c r="A663" s="31" t="n">
        <v>46328.79166666666</v>
      </c>
      <c r="B663" s="32" t="inlineStr">
        <is>
          <t>Leo Johnson</t>
        </is>
      </c>
      <c r="C663" s="32" t="inlineStr">
        <is>
          <t>Lily Johnson</t>
        </is>
      </c>
      <c r="D663" s="33" t="n">
        <v>50</v>
      </c>
      <c r="E663" s="32" t="inlineStr">
        <is>
          <t>OneCause</t>
        </is>
      </c>
      <c r="F663" s="34">
        <f>IF(A663="","",IFERROR(INT(A663),"check date"))</f>
        <v/>
      </c>
      <c r="G663" s="35">
        <f>IF(B663="","",IFERROR(INDEX(Students!$A:$A,MATCH(TRIM(B663),Students!$A:$A,0)),"NOT ON LIST"))</f>
        <v/>
      </c>
      <c r="H663" s="35">
        <f>IF(OR(G663="",G663="NOT ON LIST"),"",VLOOKUP(G663,Students!$A:$C,2,FALSE))</f>
        <v/>
      </c>
      <c r="I663" s="35">
        <f>IF(OR(G663="",G663="NOT ON LIST"),"",VLOOKUP(G663,Students!$A:$C,3,FALSE)&amp;"")</f>
        <v/>
      </c>
    </row>
    <row r="664">
      <c r="A664" s="31" t="n">
        <v>46332.79166666666</v>
      </c>
      <c r="B664" s="32" t="inlineStr">
        <is>
          <t>Nora Williams</t>
        </is>
      </c>
      <c r="C664" s="32" t="inlineStr">
        <is>
          <t>Diego Williams</t>
        </is>
      </c>
      <c r="D664" s="33" t="n">
        <v>25</v>
      </c>
      <c r="E664" s="32" t="inlineStr">
        <is>
          <t>OneCause</t>
        </is>
      </c>
      <c r="F664" s="34">
        <f>IF(A664="","",IFERROR(INT(A664),"check date"))</f>
        <v/>
      </c>
      <c r="G664" s="35">
        <f>IF(B664="","",IFERROR(INDEX(Students!$A:$A,MATCH(TRIM(B664),Students!$A:$A,0)),"NOT ON LIST"))</f>
        <v/>
      </c>
      <c r="H664" s="35">
        <f>IF(OR(G664="",G664="NOT ON LIST"),"",VLOOKUP(G664,Students!$A:$C,2,FALSE))</f>
        <v/>
      </c>
      <c r="I664" s="35">
        <f>IF(OR(G664="",G664="NOT ON LIST"),"",VLOOKUP(G664,Students!$A:$C,3,FALSE)&amp;"")</f>
        <v/>
      </c>
    </row>
    <row r="665">
      <c r="A665" s="31" t="n">
        <v>46338</v>
      </c>
      <c r="B665" s="32" t="inlineStr">
        <is>
          <t>Sofia Gutierrez</t>
        </is>
      </c>
      <c r="C665" s="32" t="inlineStr">
        <is>
          <t>Isabella Gutierrez</t>
        </is>
      </c>
      <c r="D665" s="33" t="n">
        <v>150</v>
      </c>
      <c r="E665" s="32" t="inlineStr">
        <is>
          <t>Check</t>
        </is>
      </c>
      <c r="F665" s="34">
        <f>IF(A665="","",IFERROR(INT(A665),"check date"))</f>
        <v/>
      </c>
      <c r="G665" s="35">
        <f>IF(B665="","",IFERROR(INDEX(Students!$A:$A,MATCH(TRIM(B665),Students!$A:$A,0)),"NOT ON LIST"))</f>
        <v/>
      </c>
      <c r="H665" s="35">
        <f>IF(OR(G665="",G665="NOT ON LIST"),"",VLOOKUP(G665,Students!$A:$C,2,FALSE))</f>
        <v/>
      </c>
      <c r="I665" s="35">
        <f>IF(OR(G665="",G665="NOT ON LIST"),"",VLOOKUP(G665,Students!$A:$C,3,FALSE)&amp;"")</f>
        <v/>
      </c>
    </row>
    <row r="666">
      <c r="A666" s="31" t="n">
        <v>46332.41666666666</v>
      </c>
      <c r="B666" s="32" t="inlineStr">
        <is>
          <t>James Torres</t>
        </is>
      </c>
      <c r="C666" s="32" t="inlineStr">
        <is>
          <t>Samuel Torres</t>
        </is>
      </c>
      <c r="D666" s="33" t="n">
        <v>10</v>
      </c>
      <c r="E666" s="32" t="inlineStr">
        <is>
          <t>OneCause</t>
        </is>
      </c>
      <c r="F666" s="34">
        <f>IF(A666="","",IFERROR(INT(A666),"check date"))</f>
        <v/>
      </c>
      <c r="G666" s="35">
        <f>IF(B666="","",IFERROR(INDEX(Students!$A:$A,MATCH(TRIM(B666),Students!$A:$A,0)),"NOT ON LIST"))</f>
        <v/>
      </c>
      <c r="H666" s="35">
        <f>IF(OR(G666="",G666="NOT ON LIST"),"",VLOOKUP(G666,Students!$A:$C,2,FALSE))</f>
        <v/>
      </c>
      <c r="I666" s="35">
        <f>IF(OR(G666="",G666="NOT ON LIST"),"",VLOOKUP(G666,Students!$A:$C,3,FALSE)&amp;"")</f>
        <v/>
      </c>
    </row>
    <row r="667">
      <c r="A667" s="31" t="n">
        <v>46326.61458333334</v>
      </c>
      <c r="B667" s="32" t="inlineStr">
        <is>
          <t>Joseph Sanchez</t>
        </is>
      </c>
      <c r="C667" s="32" t="inlineStr">
        <is>
          <t>Liam Sanchez</t>
        </is>
      </c>
      <c r="D667" s="33" t="n">
        <v>20</v>
      </c>
      <c r="E667" s="32" t="inlineStr">
        <is>
          <t>OneCause</t>
        </is>
      </c>
      <c r="F667" s="34">
        <f>IF(A667="","",IFERROR(INT(A667),"check date"))</f>
        <v/>
      </c>
      <c r="G667" s="35">
        <f>IF(B667="","",IFERROR(INDEX(Students!$A:$A,MATCH(TRIM(B667),Students!$A:$A,0)),"NOT ON LIST"))</f>
        <v/>
      </c>
      <c r="H667" s="35">
        <f>IF(OR(G667="",G667="NOT ON LIST"),"",VLOOKUP(G667,Students!$A:$C,2,FALSE))</f>
        <v/>
      </c>
      <c r="I667" s="35">
        <f>IF(OR(G667="",G667="NOT ON LIST"),"",VLOOKUP(G667,Students!$A:$C,3,FALSE)&amp;"")</f>
        <v/>
      </c>
    </row>
    <row r="668">
      <c r="A668" s="31" t="n">
        <v>46325.60416666666</v>
      </c>
      <c r="B668" s="32" t="inlineStr">
        <is>
          <t>Gabriel Smith</t>
        </is>
      </c>
      <c r="C668" s="32" t="inlineStr">
        <is>
          <t>Julian Smith</t>
        </is>
      </c>
      <c r="D668" s="33" t="n">
        <v>100</v>
      </c>
      <c r="E668" s="32" t="inlineStr">
        <is>
          <t>OneCause</t>
        </is>
      </c>
      <c r="F668" s="34">
        <f>IF(A668="","",IFERROR(INT(A668),"check date"))</f>
        <v/>
      </c>
      <c r="G668" s="35">
        <f>IF(B668="","",IFERROR(INDEX(Students!$A:$A,MATCH(TRIM(B668),Students!$A:$A,0)),"NOT ON LIST"))</f>
        <v/>
      </c>
      <c r="H668" s="35">
        <f>IF(OR(G668="",G668="NOT ON LIST"),"",VLOOKUP(G668,Students!$A:$C,2,FALSE))</f>
        <v/>
      </c>
      <c r="I668" s="35">
        <f>IF(OR(G668="",G668="NOT ON LIST"),"",VLOOKUP(G668,Students!$A:$C,3,FALSE)&amp;"")</f>
        <v/>
      </c>
    </row>
    <row r="669">
      <c r="A669" s="31" t="n">
        <v>46339.76041666666</v>
      </c>
      <c r="B669" s="32" t="inlineStr">
        <is>
          <t>Chloe Ortiz</t>
        </is>
      </c>
      <c r="C669" s="32" t="inlineStr">
        <is>
          <t>Lucas Ortiz</t>
        </is>
      </c>
      <c r="D669" s="33" t="n">
        <v>25</v>
      </c>
      <c r="E669" s="32" t="inlineStr">
        <is>
          <t>OneCause</t>
        </is>
      </c>
      <c r="F669" s="34">
        <f>IF(A669="","",IFERROR(INT(A669),"check date"))</f>
        <v/>
      </c>
      <c r="G669" s="35">
        <f>IF(B669="","",IFERROR(INDEX(Students!$A:$A,MATCH(TRIM(B669),Students!$A:$A,0)),"NOT ON LIST"))</f>
        <v/>
      </c>
      <c r="H669" s="35">
        <f>IF(OR(G669="",G669="NOT ON LIST"),"",VLOOKUP(G669,Students!$A:$C,2,FALSE))</f>
        <v/>
      </c>
      <c r="I669" s="35">
        <f>IF(OR(G669="",G669="NOT ON LIST"),"",VLOOKUP(G669,Students!$A:$C,3,FALSE)&amp;"")</f>
        <v/>
      </c>
    </row>
    <row r="670">
      <c r="A670" s="31" t="n">
        <v>46331</v>
      </c>
      <c r="B670" s="32" t="inlineStr">
        <is>
          <t>David Chavez</t>
        </is>
      </c>
      <c r="C670" s="32" t="inlineStr">
        <is>
          <t>Evelyn Chavez</t>
        </is>
      </c>
      <c r="D670" s="33" t="n">
        <v>50</v>
      </c>
      <c r="E670" s="32" t="inlineStr">
        <is>
          <t>Check</t>
        </is>
      </c>
      <c r="F670" s="34">
        <f>IF(A670="","",IFERROR(INT(A670),"check date"))</f>
        <v/>
      </c>
      <c r="G670" s="35">
        <f>IF(B670="","",IFERROR(INDEX(Students!$A:$A,MATCH(TRIM(B670),Students!$A:$A,0)),"NOT ON LIST"))</f>
        <v/>
      </c>
      <c r="H670" s="35">
        <f>IF(OR(G670="",G670="NOT ON LIST"),"",VLOOKUP(G670,Students!$A:$C,2,FALSE))</f>
        <v/>
      </c>
      <c r="I670" s="35">
        <f>IF(OR(G670="",G670="NOT ON LIST"),"",VLOOKUP(G670,Students!$A:$C,3,FALSE)&amp;"")</f>
        <v/>
      </c>
    </row>
    <row r="671">
      <c r="A671" s="31" t="n">
        <v>46333.66666666666</v>
      </c>
      <c r="B671" s="32" t="inlineStr">
        <is>
          <t>Evelyn Chavez</t>
        </is>
      </c>
      <c r="C671" s="32" t="inlineStr">
        <is>
          <t>Gabriel Chavez</t>
        </is>
      </c>
      <c r="D671" s="33" t="n">
        <v>20</v>
      </c>
      <c r="E671" s="32" t="inlineStr">
        <is>
          <t>OneCause</t>
        </is>
      </c>
      <c r="F671" s="34">
        <f>IF(A671="","",IFERROR(INT(A671),"check date"))</f>
        <v/>
      </c>
      <c r="G671" s="35">
        <f>IF(B671="","",IFERROR(INDEX(Students!$A:$A,MATCH(TRIM(B671),Students!$A:$A,0)),"NOT ON LIST"))</f>
        <v/>
      </c>
      <c r="H671" s="35">
        <f>IF(OR(G671="",G671="NOT ON LIST"),"",VLOOKUP(G671,Students!$A:$C,2,FALSE))</f>
        <v/>
      </c>
      <c r="I671" s="35">
        <f>IF(OR(G671="",G671="NOT ON LIST"),"",VLOOKUP(G671,Students!$A:$C,3,FALSE)&amp;"")</f>
        <v/>
      </c>
    </row>
    <row r="672">
      <c r="A672" s="31" t="n">
        <v>46333.5</v>
      </c>
      <c r="B672" s="32" t="inlineStr">
        <is>
          <t>Mia Gutierrez</t>
        </is>
      </c>
      <c r="C672" s="32" t="inlineStr">
        <is>
          <t>Amelia Gutierrez</t>
        </is>
      </c>
      <c r="D672" s="33" t="n">
        <v>40</v>
      </c>
      <c r="E672" s="32" t="inlineStr">
        <is>
          <t>OneCause</t>
        </is>
      </c>
      <c r="F672" s="34">
        <f>IF(A672="","",IFERROR(INT(A672),"check date"))</f>
        <v/>
      </c>
      <c r="G672" s="35">
        <f>IF(B672="","",IFERROR(INDEX(Students!$A:$A,MATCH(TRIM(B672),Students!$A:$A,0)),"NOT ON LIST"))</f>
        <v/>
      </c>
      <c r="H672" s="35">
        <f>IF(OR(G672="",G672="NOT ON LIST"),"",VLOOKUP(G672,Students!$A:$C,2,FALSE))</f>
        <v/>
      </c>
      <c r="I672" s="35">
        <f>IF(OR(G672="",G672="NOT ON LIST"),"",VLOOKUP(G672,Students!$A:$C,3,FALSE)&amp;"")</f>
        <v/>
      </c>
    </row>
    <row r="673">
      <c r="A673" s="31" t="n">
        <v>46330.33333333334</v>
      </c>
      <c r="B673" s="32" t="inlineStr">
        <is>
          <t>Grace Reyes</t>
        </is>
      </c>
      <c r="C673" s="32" t="inlineStr">
        <is>
          <t>Nora Reyes</t>
        </is>
      </c>
      <c r="D673" s="33" t="n">
        <v>100</v>
      </c>
      <c r="E673" s="32" t="inlineStr">
        <is>
          <t>OneCause</t>
        </is>
      </c>
      <c r="F673" s="34">
        <f>IF(A673="","",IFERROR(INT(A673),"check date"))</f>
        <v/>
      </c>
      <c r="G673" s="35">
        <f>IF(B673="","",IFERROR(INDEX(Students!$A:$A,MATCH(TRIM(B673),Students!$A:$A,0)),"NOT ON LIST"))</f>
        <v/>
      </c>
      <c r="H673" s="35">
        <f>IF(OR(G673="",G673="NOT ON LIST"),"",VLOOKUP(G673,Students!$A:$C,2,FALSE))</f>
        <v/>
      </c>
      <c r="I673" s="35">
        <f>IF(OR(G673="",G673="NOT ON LIST"),"",VLOOKUP(G673,Students!$A:$C,3,FALSE)&amp;"")</f>
        <v/>
      </c>
    </row>
    <row r="674">
      <c r="A674" s="31" t="n">
        <v>46326.70833333334</v>
      </c>
      <c r="B674" s="32" t="inlineStr">
        <is>
          <t>Aria Martinez</t>
        </is>
      </c>
      <c r="C674" s="32" t="inlineStr">
        <is>
          <t>Grace Martinez</t>
        </is>
      </c>
      <c r="D674" s="33" t="n">
        <v>40</v>
      </c>
      <c r="E674" s="32" t="inlineStr">
        <is>
          <t>OneCause</t>
        </is>
      </c>
      <c r="F674" s="34">
        <f>IF(A674="","",IFERROR(INT(A674),"check date"))</f>
        <v/>
      </c>
      <c r="G674" s="35">
        <f>IF(B674="","",IFERROR(INDEX(Students!$A:$A,MATCH(TRIM(B674),Students!$A:$A,0)),"NOT ON LIST"))</f>
        <v/>
      </c>
      <c r="H674" s="35">
        <f>IF(OR(G674="",G674="NOT ON LIST"),"",VLOOKUP(G674,Students!$A:$C,2,FALSE))</f>
        <v/>
      </c>
      <c r="I674" s="35">
        <f>IF(OR(G674="",G674="NOT ON LIST"),"",VLOOKUP(G674,Students!$A:$C,3,FALSE)&amp;"")</f>
        <v/>
      </c>
    </row>
    <row r="675">
      <c r="A675" s="31" t="n">
        <v>46334.53125</v>
      </c>
      <c r="B675" s="32" t="inlineStr">
        <is>
          <t>Mia Brown</t>
        </is>
      </c>
      <c r="C675" s="32" t="inlineStr">
        <is>
          <t>Leo Brown</t>
        </is>
      </c>
      <c r="D675" s="33" t="n">
        <v>25</v>
      </c>
      <c r="E675" s="32" t="inlineStr">
        <is>
          <t>OneCause</t>
        </is>
      </c>
      <c r="F675" s="34">
        <f>IF(A675="","",IFERROR(INT(A675),"check date"))</f>
        <v/>
      </c>
      <c r="G675" s="35">
        <f>IF(B675="","",IFERROR(INDEX(Students!$A:$A,MATCH(TRIM(B675),Students!$A:$A,0)),"NOT ON LIST"))</f>
        <v/>
      </c>
      <c r="H675" s="35">
        <f>IF(OR(G675="",G675="NOT ON LIST"),"",VLOOKUP(G675,Students!$A:$C,2,FALSE))</f>
        <v/>
      </c>
      <c r="I675" s="35">
        <f>IF(OR(G675="",G675="NOT ON LIST"),"",VLOOKUP(G675,Students!$A:$C,3,FALSE)&amp;"")</f>
        <v/>
      </c>
    </row>
    <row r="676">
      <c r="A676" s="31" t="n">
        <v>46335.40625</v>
      </c>
      <c r="B676" s="32" t="inlineStr">
        <is>
          <t>Nicolas Chavez</t>
        </is>
      </c>
      <c r="C676" s="32" t="inlineStr">
        <is>
          <t>Ella Chavez</t>
        </is>
      </c>
      <c r="D676" s="33" t="n">
        <v>50</v>
      </c>
      <c r="E676" s="32" t="inlineStr">
        <is>
          <t>OneCause</t>
        </is>
      </c>
      <c r="F676" s="34">
        <f>IF(A676="","",IFERROR(INT(A676),"check date"))</f>
        <v/>
      </c>
      <c r="G676" s="35">
        <f>IF(B676="","",IFERROR(INDEX(Students!$A:$A,MATCH(TRIM(B676),Students!$A:$A,0)),"NOT ON LIST"))</f>
        <v/>
      </c>
      <c r="H676" s="35">
        <f>IF(OR(G676="",G676="NOT ON LIST"),"",VLOOKUP(G676,Students!$A:$C,2,FALSE))</f>
        <v/>
      </c>
      <c r="I676" s="35">
        <f>IF(OR(G676="",G676="NOT ON LIST"),"",VLOOKUP(G676,Students!$A:$C,3,FALSE)&amp;"")</f>
        <v/>
      </c>
    </row>
    <row r="677">
      <c r="A677" s="31" t="n">
        <v>46328.29166666666</v>
      </c>
      <c r="B677" s="32" t="inlineStr">
        <is>
          <t>Noah Gutierrez</t>
        </is>
      </c>
      <c r="C677" s="32" t="inlineStr">
        <is>
          <t>Valentina Gutierrez</t>
        </is>
      </c>
      <c r="D677" s="33" t="n">
        <v>20</v>
      </c>
      <c r="E677" s="32" t="inlineStr">
        <is>
          <t>OneCause</t>
        </is>
      </c>
      <c r="F677" s="34">
        <f>IF(A677="","",IFERROR(INT(A677),"check date"))</f>
        <v/>
      </c>
      <c r="G677" s="35">
        <f>IF(B677="","",IFERROR(INDEX(Students!$A:$A,MATCH(TRIM(B677),Students!$A:$A,0)),"NOT ON LIST"))</f>
        <v/>
      </c>
      <c r="H677" s="35">
        <f>IF(OR(G677="",G677="NOT ON LIST"),"",VLOOKUP(G677,Students!$A:$C,2,FALSE))</f>
        <v/>
      </c>
      <c r="I677" s="35">
        <f>IF(OR(G677="",G677="NOT ON LIST"),"",VLOOKUP(G677,Students!$A:$C,3,FALSE)&amp;"")</f>
        <v/>
      </c>
    </row>
    <row r="678">
      <c r="A678" s="31" t="n">
        <v>46333.65625</v>
      </c>
      <c r="B678" s="32" t="inlineStr">
        <is>
          <t>Leo Gutierrez</t>
        </is>
      </c>
      <c r="C678" s="32" t="inlineStr">
        <is>
          <t>James Gutierrez</t>
        </is>
      </c>
      <c r="D678" s="33" t="n">
        <v>25</v>
      </c>
      <c r="E678" s="32" t="inlineStr">
        <is>
          <t>OneCause</t>
        </is>
      </c>
      <c r="F678" s="34">
        <f>IF(A678="","",IFERROR(INT(A678),"check date"))</f>
        <v/>
      </c>
      <c r="G678" s="35">
        <f>IF(B678="","",IFERROR(INDEX(Students!$A:$A,MATCH(TRIM(B678),Students!$A:$A,0)),"NOT ON LIST"))</f>
        <v/>
      </c>
      <c r="H678" s="35">
        <f>IF(OR(G678="",G678="NOT ON LIST"),"",VLOOKUP(G678,Students!$A:$C,2,FALSE))</f>
        <v/>
      </c>
      <c r="I678" s="35">
        <f>IF(OR(G678="",G678="NOT ON LIST"),"",VLOOKUP(G678,Students!$A:$C,3,FALSE)&amp;"")</f>
        <v/>
      </c>
    </row>
    <row r="679">
      <c r="A679" s="31" t="n">
        <v>46329.3125</v>
      </c>
      <c r="B679" s="32" t="inlineStr">
        <is>
          <t>Noah Gutierrez</t>
        </is>
      </c>
      <c r="C679" s="32" t="inlineStr">
        <is>
          <t>Noah Gutierrez</t>
        </is>
      </c>
      <c r="D679" s="33" t="n">
        <v>50</v>
      </c>
      <c r="E679" s="32" t="inlineStr">
        <is>
          <t>OneCause</t>
        </is>
      </c>
      <c r="F679" s="34">
        <f>IF(A679="","",IFERROR(INT(A679),"check date"))</f>
        <v/>
      </c>
      <c r="G679" s="35">
        <f>IF(B679="","",IFERROR(INDEX(Students!$A:$A,MATCH(TRIM(B679),Students!$A:$A,0)),"NOT ON LIST"))</f>
        <v/>
      </c>
      <c r="H679" s="35">
        <f>IF(OR(G679="",G679="NOT ON LIST"),"",VLOOKUP(G679,Students!$A:$C,2,FALSE))</f>
        <v/>
      </c>
      <c r="I679" s="35">
        <f>IF(OR(G679="",G679="NOT ON LIST"),"",VLOOKUP(G679,Students!$A:$C,3,FALSE)&amp;"")</f>
        <v/>
      </c>
    </row>
    <row r="680">
      <c r="A680" s="31" t="n">
        <v>46331.90625</v>
      </c>
      <c r="B680" s="32" t="inlineStr">
        <is>
          <t>Clara Garcia</t>
        </is>
      </c>
      <c r="C680" s="32" t="inlineStr">
        <is>
          <t>Lucas Garcia</t>
        </is>
      </c>
      <c r="D680" s="33" t="n">
        <v>25</v>
      </c>
      <c r="E680" s="32" t="inlineStr">
        <is>
          <t>OneCause</t>
        </is>
      </c>
      <c r="F680" s="34">
        <f>IF(A680="","",IFERROR(INT(A680),"check date"))</f>
        <v/>
      </c>
      <c r="G680" s="35">
        <f>IF(B680="","",IFERROR(INDEX(Students!$A:$A,MATCH(TRIM(B680),Students!$A:$A,0)),"NOT ON LIST"))</f>
        <v/>
      </c>
      <c r="H680" s="35">
        <f>IF(OR(G680="",G680="NOT ON LIST"),"",VLOOKUP(G680,Students!$A:$C,2,FALSE))</f>
        <v/>
      </c>
      <c r="I680" s="35">
        <f>IF(OR(G680="",G680="NOT ON LIST"),"",VLOOKUP(G680,Students!$A:$C,3,FALSE)&amp;"")</f>
        <v/>
      </c>
    </row>
    <row r="681">
      <c r="A681" s="31" t="n">
        <v>46334.73958333334</v>
      </c>
      <c r="B681" s="32" t="inlineStr">
        <is>
          <t>Liam Rodriguez</t>
        </is>
      </c>
      <c r="C681" s="32" t="inlineStr">
        <is>
          <t>Samuel Rodriguez</t>
        </is>
      </c>
      <c r="D681" s="33" t="n">
        <v>10</v>
      </c>
      <c r="E681" s="32" t="inlineStr">
        <is>
          <t>OneCause</t>
        </is>
      </c>
      <c r="F681" s="34">
        <f>IF(A681="","",IFERROR(INT(A681),"check date"))</f>
        <v/>
      </c>
      <c r="G681" s="35">
        <f>IF(B681="","",IFERROR(INDEX(Students!$A:$A,MATCH(TRIM(B681),Students!$A:$A,0)),"NOT ON LIST"))</f>
        <v/>
      </c>
      <c r="H681" s="35">
        <f>IF(OR(G681="",G681="NOT ON LIST"),"",VLOOKUP(G681,Students!$A:$C,2,FALSE))</f>
        <v/>
      </c>
      <c r="I681" s="35">
        <f>IF(OR(G681="",G681="NOT ON LIST"),"",VLOOKUP(G681,Students!$A:$C,3,FALSE)&amp;"")</f>
        <v/>
      </c>
    </row>
    <row r="682">
      <c r="A682" s="31" t="n">
        <v>46330.52083333334</v>
      </c>
      <c r="B682" s="32" t="inlineStr">
        <is>
          <t>Nicolas Perez</t>
        </is>
      </c>
      <c r="C682" s="32" t="inlineStr">
        <is>
          <t>Harper Perez</t>
        </is>
      </c>
      <c r="D682" s="33" t="n">
        <v>25</v>
      </c>
      <c r="E682" s="32" t="inlineStr">
        <is>
          <t>OneCause</t>
        </is>
      </c>
      <c r="F682" s="34">
        <f>IF(A682="","",IFERROR(INT(A682),"check date"))</f>
        <v/>
      </c>
      <c r="G682" s="35">
        <f>IF(B682="","",IFERROR(INDEX(Students!$A:$A,MATCH(TRIM(B682),Students!$A:$A,0)),"NOT ON LIST"))</f>
        <v/>
      </c>
      <c r="H682" s="35">
        <f>IF(OR(G682="",G682="NOT ON LIST"),"",VLOOKUP(G682,Students!$A:$C,2,FALSE))</f>
        <v/>
      </c>
      <c r="I682" s="35">
        <f>IF(OR(G682="",G682="NOT ON LIST"),"",VLOOKUP(G682,Students!$A:$C,3,FALSE)&amp;"")</f>
        <v/>
      </c>
    </row>
    <row r="683">
      <c r="A683" s="31" t="n">
        <v>46338.88541666666</v>
      </c>
      <c r="B683" s="32" t="inlineStr">
        <is>
          <t>Clara Lopez</t>
        </is>
      </c>
      <c r="C683" s="32" t="inlineStr">
        <is>
          <t>Benjamin Lopez</t>
        </is>
      </c>
      <c r="D683" s="33" t="n">
        <v>40</v>
      </c>
      <c r="E683" s="32" t="inlineStr">
        <is>
          <t>OneCause</t>
        </is>
      </c>
      <c r="F683" s="34">
        <f>IF(A683="","",IFERROR(INT(A683),"check date"))</f>
        <v/>
      </c>
      <c r="G683" s="35">
        <f>IF(B683="","",IFERROR(INDEX(Students!$A:$A,MATCH(TRIM(B683),Students!$A:$A,0)),"NOT ON LIST"))</f>
        <v/>
      </c>
      <c r="H683" s="35">
        <f>IF(OR(G683="",G683="NOT ON LIST"),"",VLOOKUP(G683,Students!$A:$C,2,FALSE))</f>
        <v/>
      </c>
      <c r="I683" s="35">
        <f>IF(OR(G683="",G683="NOT ON LIST"),"",VLOOKUP(G683,Students!$A:$C,3,FALSE)&amp;"")</f>
        <v/>
      </c>
    </row>
    <row r="684">
      <c r="A684" s="31" t="n">
        <v>46334.77083333334</v>
      </c>
      <c r="B684" s="32" t="inlineStr">
        <is>
          <t>Leo Gutierrez</t>
        </is>
      </c>
      <c r="C684" s="32" t="inlineStr">
        <is>
          <t>Daniel Gutierrez</t>
        </is>
      </c>
      <c r="D684" s="33" t="n">
        <v>25</v>
      </c>
      <c r="E684" s="32" t="inlineStr">
        <is>
          <t>OneCause</t>
        </is>
      </c>
      <c r="F684" s="34">
        <f>IF(A684="","",IFERROR(INT(A684),"check date"))</f>
        <v/>
      </c>
      <c r="G684" s="35">
        <f>IF(B684="","",IFERROR(INDEX(Students!$A:$A,MATCH(TRIM(B684),Students!$A:$A,0)),"NOT ON LIST"))</f>
        <v/>
      </c>
      <c r="H684" s="35">
        <f>IF(OR(G684="",G684="NOT ON LIST"),"",VLOOKUP(G684,Students!$A:$C,2,FALSE))</f>
        <v/>
      </c>
      <c r="I684" s="35">
        <f>IF(OR(G684="",G684="NOT ON LIST"),"",VLOOKUP(G684,Students!$A:$C,3,FALSE)&amp;"")</f>
        <v/>
      </c>
    </row>
    <row r="685">
      <c r="A685" s="31" t="n">
        <v>46339.375</v>
      </c>
      <c r="B685" s="32" t="inlineStr">
        <is>
          <t>Elijah Cruz</t>
        </is>
      </c>
      <c r="C685" s="32" t="inlineStr">
        <is>
          <t>Elijah Cruz</t>
        </is>
      </c>
      <c r="D685" s="33" t="n">
        <v>10</v>
      </c>
      <c r="E685" s="32" t="inlineStr">
        <is>
          <t>OneCause</t>
        </is>
      </c>
      <c r="F685" s="34">
        <f>IF(A685="","",IFERROR(INT(A685),"check date"))</f>
        <v/>
      </c>
      <c r="G685" s="35">
        <f>IF(B685="","",IFERROR(INDEX(Students!$A:$A,MATCH(TRIM(B685),Students!$A:$A,0)),"NOT ON LIST"))</f>
        <v/>
      </c>
      <c r="H685" s="35">
        <f>IF(OR(G685="",G685="NOT ON LIST"),"",VLOOKUP(G685,Students!$A:$C,2,FALSE))</f>
        <v/>
      </c>
      <c r="I685" s="35">
        <f>IF(OR(G685="",G685="NOT ON LIST"),"",VLOOKUP(G685,Students!$A:$C,3,FALSE)&amp;"")</f>
        <v/>
      </c>
    </row>
    <row r="686">
      <c r="A686" s="31" t="n">
        <v>46336.46875</v>
      </c>
      <c r="B686" s="32" t="inlineStr">
        <is>
          <t>Zoe Castillo</t>
        </is>
      </c>
      <c r="C686" s="32" t="inlineStr">
        <is>
          <t>Olivia Castillo</t>
        </is>
      </c>
      <c r="D686" s="33" t="n">
        <v>25</v>
      </c>
      <c r="E686" s="32" t="inlineStr">
        <is>
          <t>OneCause</t>
        </is>
      </c>
      <c r="F686" s="34">
        <f>IF(A686="","",IFERROR(INT(A686),"check date"))</f>
        <v/>
      </c>
      <c r="G686" s="35">
        <f>IF(B686="","",IFERROR(INDEX(Students!$A:$A,MATCH(TRIM(B686),Students!$A:$A,0)),"NOT ON LIST"))</f>
        <v/>
      </c>
      <c r="H686" s="35">
        <f>IF(OR(G686="",G686="NOT ON LIST"),"",VLOOKUP(G686,Students!$A:$C,2,FALSE))</f>
        <v/>
      </c>
      <c r="I686" s="35">
        <f>IF(OR(G686="",G686="NOT ON LIST"),"",VLOOKUP(G686,Students!$A:$C,3,FALSE)&amp;"")</f>
        <v/>
      </c>
    </row>
    <row r="687">
      <c r="A687" s="31" t="n">
        <v>46331.59375</v>
      </c>
      <c r="B687" s="32" t="inlineStr">
        <is>
          <t>Santiago Castillo</t>
        </is>
      </c>
      <c r="C687" s="32" t="inlineStr">
        <is>
          <t>Harper Castillo</t>
        </is>
      </c>
      <c r="D687" s="33" t="n">
        <v>25</v>
      </c>
      <c r="E687" s="32" t="inlineStr">
        <is>
          <t>OneCause</t>
        </is>
      </c>
      <c r="F687" s="34">
        <f>IF(A687="","",IFERROR(INT(A687),"check date"))</f>
        <v/>
      </c>
      <c r="G687" s="35">
        <f>IF(B687="","",IFERROR(INDEX(Students!$A:$A,MATCH(TRIM(B687),Students!$A:$A,0)),"NOT ON LIST"))</f>
        <v/>
      </c>
      <c r="H687" s="35">
        <f>IF(OR(G687="",G687="NOT ON LIST"),"",VLOOKUP(G687,Students!$A:$C,2,FALSE))</f>
        <v/>
      </c>
      <c r="I687" s="35">
        <f>IF(OR(G687="",G687="NOT ON LIST"),"",VLOOKUP(G687,Students!$A:$C,3,FALSE)&amp;"")</f>
        <v/>
      </c>
    </row>
    <row r="688">
      <c r="A688" s="31" t="n">
        <v>46325.83333333334</v>
      </c>
      <c r="B688" s="32" t="inlineStr">
        <is>
          <t>Evelyn Alvarez</t>
        </is>
      </c>
      <c r="C688" s="32" t="inlineStr">
        <is>
          <t>Ella Alvarez</t>
        </is>
      </c>
      <c r="D688" s="33" t="n">
        <v>25</v>
      </c>
      <c r="E688" s="32" t="inlineStr">
        <is>
          <t>OneCause</t>
        </is>
      </c>
      <c r="F688" s="34">
        <f>IF(A688="","",IFERROR(INT(A688),"check date"))</f>
        <v/>
      </c>
      <c r="G688" s="35">
        <f>IF(B688="","",IFERROR(INDEX(Students!$A:$A,MATCH(TRIM(B688),Students!$A:$A,0)),"NOT ON LIST"))</f>
        <v/>
      </c>
      <c r="H688" s="35">
        <f>IF(OR(G688="",G688="NOT ON LIST"),"",VLOOKUP(G688,Students!$A:$C,2,FALSE))</f>
        <v/>
      </c>
      <c r="I688" s="35">
        <f>IF(OR(G688="",G688="NOT ON LIST"),"",VLOOKUP(G688,Students!$A:$C,3,FALSE)&amp;"")</f>
        <v/>
      </c>
    </row>
    <row r="689">
      <c r="A689" s="31" t="n">
        <v>46338.70833333334</v>
      </c>
      <c r="B689" s="32" t="inlineStr">
        <is>
          <t>Mateo Gonzalez</t>
        </is>
      </c>
      <c r="C689" s="32" t="inlineStr">
        <is>
          <t>Leo Gonzalez</t>
        </is>
      </c>
      <c r="D689" s="33" t="n">
        <v>25</v>
      </c>
      <c r="E689" s="32" t="inlineStr">
        <is>
          <t>OneCause</t>
        </is>
      </c>
      <c r="F689" s="34">
        <f>IF(A689="","",IFERROR(INT(A689),"check date"))</f>
        <v/>
      </c>
      <c r="G689" s="35">
        <f>IF(B689="","",IFERROR(INDEX(Students!$A:$A,MATCH(TRIM(B689),Students!$A:$A,0)),"NOT ON LIST"))</f>
        <v/>
      </c>
      <c r="H689" s="35">
        <f>IF(OR(G689="",G689="NOT ON LIST"),"",VLOOKUP(G689,Students!$A:$C,2,FALSE))</f>
        <v/>
      </c>
      <c r="I689" s="35">
        <f>IF(OR(G689="",G689="NOT ON LIST"),"",VLOOKUP(G689,Students!$A:$C,3,FALSE)&amp;"")</f>
        <v/>
      </c>
    </row>
    <row r="690">
      <c r="A690" s="31" t="n">
        <v>46331.29166666666</v>
      </c>
      <c r="B690" s="32" t="inlineStr">
        <is>
          <t>Ella Nguyen</t>
        </is>
      </c>
      <c r="C690" s="32" t="inlineStr">
        <is>
          <t>Isaac Nguyen</t>
        </is>
      </c>
      <c r="D690" s="33" t="n">
        <v>25</v>
      </c>
      <c r="E690" s="32" t="inlineStr">
        <is>
          <t>OneCause</t>
        </is>
      </c>
      <c r="F690" s="34">
        <f>IF(A690="","",IFERROR(INT(A690),"check date"))</f>
        <v/>
      </c>
      <c r="G690" s="35">
        <f>IF(B690="","",IFERROR(INDEX(Students!$A:$A,MATCH(TRIM(B690),Students!$A:$A,0)),"NOT ON LIST"))</f>
        <v/>
      </c>
      <c r="H690" s="35">
        <f>IF(OR(G690="",G690="NOT ON LIST"),"",VLOOKUP(G690,Students!$A:$C,2,FALSE))</f>
        <v/>
      </c>
      <c r="I690" s="35">
        <f>IF(OR(G690="",G690="NOT ON LIST"),"",VLOOKUP(G690,Students!$A:$C,3,FALSE)&amp;"")</f>
        <v/>
      </c>
    </row>
    <row r="691">
      <c r="A691" s="31" t="n">
        <v>46336.67708333334</v>
      </c>
      <c r="B691" s="32" t="inlineStr">
        <is>
          <t>Liam Ruiz</t>
        </is>
      </c>
      <c r="C691" s="32" t="inlineStr">
        <is>
          <t>Isabella Ruiz</t>
        </is>
      </c>
      <c r="D691" s="33" t="n">
        <v>25</v>
      </c>
      <c r="E691" s="32" t="inlineStr">
        <is>
          <t>OneCause</t>
        </is>
      </c>
      <c r="F691" s="34">
        <f>IF(A691="","",IFERROR(INT(A691),"check date"))</f>
        <v/>
      </c>
      <c r="G691" s="35">
        <f>IF(B691="","",IFERROR(INDEX(Students!$A:$A,MATCH(TRIM(B691),Students!$A:$A,0)),"NOT ON LIST"))</f>
        <v/>
      </c>
      <c r="H691" s="35">
        <f>IF(OR(G691="",G691="NOT ON LIST"),"",VLOOKUP(G691,Students!$A:$C,2,FALSE))</f>
        <v/>
      </c>
      <c r="I691" s="35">
        <f>IF(OR(G691="",G691="NOT ON LIST"),"",VLOOKUP(G691,Students!$A:$C,3,FALSE)&amp;"")</f>
        <v/>
      </c>
    </row>
    <row r="692">
      <c r="A692" s="31" t="n">
        <v>46334.67708333334</v>
      </c>
      <c r="B692" s="32" t="inlineStr">
        <is>
          <t>Aria Kim</t>
        </is>
      </c>
      <c r="C692" s="32" t="inlineStr">
        <is>
          <t>Olivia Kim</t>
        </is>
      </c>
      <c r="D692" s="33" t="n">
        <v>25</v>
      </c>
      <c r="E692" s="32" t="inlineStr">
        <is>
          <t>OneCause</t>
        </is>
      </c>
      <c r="F692" s="34">
        <f>IF(A692="","",IFERROR(INT(A692),"check date"))</f>
        <v/>
      </c>
      <c r="G692" s="35">
        <f>IF(B692="","",IFERROR(INDEX(Students!$A:$A,MATCH(TRIM(B692),Students!$A:$A,0)),"NOT ON LIST"))</f>
        <v/>
      </c>
      <c r="H692" s="35">
        <f>IF(OR(G692="",G692="NOT ON LIST"),"",VLOOKUP(G692,Students!$A:$C,2,FALSE))</f>
        <v/>
      </c>
      <c r="I692" s="35">
        <f>IF(OR(G692="",G692="NOT ON LIST"),"",VLOOKUP(G692,Students!$A:$C,3,FALSE)&amp;"")</f>
        <v/>
      </c>
    </row>
    <row r="693">
      <c r="A693" s="31" t="n">
        <v>46331.71875</v>
      </c>
      <c r="B693" s="32" t="inlineStr">
        <is>
          <t>Mateo Cruz</t>
        </is>
      </c>
      <c r="C693" s="32" t="inlineStr">
        <is>
          <t>Santiago Cruz</t>
        </is>
      </c>
      <c r="D693" s="33" t="n">
        <v>25</v>
      </c>
      <c r="E693" s="32" t="inlineStr">
        <is>
          <t>OneCause</t>
        </is>
      </c>
      <c r="F693" s="34">
        <f>IF(A693="","",IFERROR(INT(A693),"check date"))</f>
        <v/>
      </c>
      <c r="G693" s="35">
        <f>IF(B693="","",IFERROR(INDEX(Students!$A:$A,MATCH(TRIM(B693),Students!$A:$A,0)),"NOT ON LIST"))</f>
        <v/>
      </c>
      <c r="H693" s="35">
        <f>IF(OR(G693="",G693="NOT ON LIST"),"",VLOOKUP(G693,Students!$A:$C,2,FALSE))</f>
        <v/>
      </c>
      <c r="I693" s="35">
        <f>IF(OR(G693="",G693="NOT ON LIST"),"",VLOOKUP(G693,Students!$A:$C,3,FALSE)&amp;"")</f>
        <v/>
      </c>
    </row>
    <row r="694">
      <c r="A694" s="31" t="n">
        <v>46325.8125</v>
      </c>
      <c r="B694" s="32" t="inlineStr">
        <is>
          <t>Noah Morales</t>
        </is>
      </c>
      <c r="C694" s="32" t="inlineStr">
        <is>
          <t>Amelia Morales</t>
        </is>
      </c>
      <c r="D694" s="33" t="n">
        <v>75</v>
      </c>
      <c r="E694" s="32" t="inlineStr">
        <is>
          <t>OneCause</t>
        </is>
      </c>
      <c r="F694" s="34">
        <f>IF(A694="","",IFERROR(INT(A694),"check date"))</f>
        <v/>
      </c>
      <c r="G694" s="35">
        <f>IF(B694="","",IFERROR(INDEX(Students!$A:$A,MATCH(TRIM(B694),Students!$A:$A,0)),"NOT ON LIST"))</f>
        <v/>
      </c>
      <c r="H694" s="35">
        <f>IF(OR(G694="",G694="NOT ON LIST"),"",VLOOKUP(G694,Students!$A:$C,2,FALSE))</f>
        <v/>
      </c>
      <c r="I694" s="35">
        <f>IF(OR(G694="",G694="NOT ON LIST"),"",VLOOKUP(G694,Students!$A:$C,3,FALSE)&amp;"")</f>
        <v/>
      </c>
    </row>
    <row r="695">
      <c r="A695" s="31" t="n">
        <v>46339.75</v>
      </c>
      <c r="B695" s="32" t="inlineStr">
        <is>
          <t>Henry Lopez</t>
        </is>
      </c>
      <c r="C695" s="32" t="inlineStr">
        <is>
          <t>Adrian Lopez</t>
        </is>
      </c>
      <c r="D695" s="33" t="n">
        <v>20</v>
      </c>
      <c r="E695" s="32" t="inlineStr">
        <is>
          <t>OneCause</t>
        </is>
      </c>
      <c r="F695" s="34">
        <f>IF(A695="","",IFERROR(INT(A695),"check date"))</f>
        <v/>
      </c>
      <c r="G695" s="35">
        <f>IF(B695="","",IFERROR(INDEX(Students!$A:$A,MATCH(TRIM(B695),Students!$A:$A,0)),"NOT ON LIST"))</f>
        <v/>
      </c>
      <c r="H695" s="35">
        <f>IF(OR(G695="",G695="NOT ON LIST"),"",VLOOKUP(G695,Students!$A:$C,2,FALSE))</f>
        <v/>
      </c>
      <c r="I695" s="35">
        <f>IF(OR(G695="",G695="NOT ON LIST"),"",VLOOKUP(G695,Students!$A:$C,3,FALSE)&amp;"")</f>
        <v/>
      </c>
    </row>
    <row r="696">
      <c r="A696" s="31" t="n">
        <v>46339.34375</v>
      </c>
      <c r="B696" s="32" t="inlineStr">
        <is>
          <t>Zoe Chavez</t>
        </is>
      </c>
      <c r="C696" s="32" t="inlineStr">
        <is>
          <t>Emma Chavez</t>
        </is>
      </c>
      <c r="D696" s="33" t="n">
        <v>20</v>
      </c>
      <c r="E696" s="32" t="inlineStr">
        <is>
          <t>OneCause</t>
        </is>
      </c>
      <c r="F696" s="34">
        <f>IF(A696="","",IFERROR(INT(A696),"check date"))</f>
        <v/>
      </c>
      <c r="G696" s="35">
        <f>IF(B696="","",IFERROR(INDEX(Students!$A:$A,MATCH(TRIM(B696),Students!$A:$A,0)),"NOT ON LIST"))</f>
        <v/>
      </c>
      <c r="H696" s="35">
        <f>IF(OR(G696="",G696="NOT ON LIST"),"",VLOOKUP(G696,Students!$A:$C,2,FALSE))</f>
        <v/>
      </c>
      <c r="I696" s="35">
        <f>IF(OR(G696="",G696="NOT ON LIST"),"",VLOOKUP(G696,Students!$A:$C,3,FALSE)&amp;"")</f>
        <v/>
      </c>
    </row>
    <row r="697">
      <c r="A697" s="31" t="n">
        <v>46332.58333333334</v>
      </c>
      <c r="B697" s="32" t="inlineStr">
        <is>
          <t>Evelyn Vasquez</t>
        </is>
      </c>
      <c r="C697" s="32" t="inlineStr">
        <is>
          <t>David Vasquez</t>
        </is>
      </c>
      <c r="D697" s="33" t="n">
        <v>75</v>
      </c>
      <c r="E697" s="32" t="inlineStr">
        <is>
          <t>OneCause</t>
        </is>
      </c>
      <c r="F697" s="34">
        <f>IF(A697="","",IFERROR(INT(A697),"check date"))</f>
        <v/>
      </c>
      <c r="G697" s="35">
        <f>IF(B697="","",IFERROR(INDEX(Students!$A:$A,MATCH(TRIM(B697),Students!$A:$A,0)),"NOT ON LIST"))</f>
        <v/>
      </c>
      <c r="H697" s="35">
        <f>IF(OR(G697="",G697="NOT ON LIST"),"",VLOOKUP(G697,Students!$A:$C,2,FALSE))</f>
        <v/>
      </c>
      <c r="I697" s="35">
        <f>IF(OR(G697="",G697="NOT ON LIST"),"",VLOOKUP(G697,Students!$A:$C,3,FALSE)&amp;"")</f>
        <v/>
      </c>
    </row>
    <row r="698">
      <c r="A698" s="31" t="n">
        <v>46330.77083333334</v>
      </c>
      <c r="B698" s="32" t="inlineStr">
        <is>
          <t>Evelyn Martinez</t>
        </is>
      </c>
      <c r="C698" s="32" t="inlineStr">
        <is>
          <t>Benjamin Martinez</t>
        </is>
      </c>
      <c r="D698" s="33" t="n">
        <v>25</v>
      </c>
      <c r="E698" s="32" t="inlineStr">
        <is>
          <t>OneCause</t>
        </is>
      </c>
      <c r="F698" s="34">
        <f>IF(A698="","",IFERROR(INT(A698),"check date"))</f>
        <v/>
      </c>
      <c r="G698" s="35">
        <f>IF(B698="","",IFERROR(INDEX(Students!$A:$A,MATCH(TRIM(B698),Students!$A:$A,0)),"NOT ON LIST"))</f>
        <v/>
      </c>
      <c r="H698" s="35">
        <f>IF(OR(G698="",G698="NOT ON LIST"),"",VLOOKUP(G698,Students!$A:$C,2,FALSE))</f>
        <v/>
      </c>
      <c r="I698" s="35">
        <f>IF(OR(G698="",G698="NOT ON LIST"),"",VLOOKUP(G698,Students!$A:$C,3,FALSE)&amp;"")</f>
        <v/>
      </c>
    </row>
    <row r="699">
      <c r="A699" s="31" t="n">
        <v>46328.42708333334</v>
      </c>
      <c r="B699" s="32" t="inlineStr">
        <is>
          <t>Zoe Castillo</t>
        </is>
      </c>
      <c r="C699" s="32" t="inlineStr">
        <is>
          <t>Chloe Castillo</t>
        </is>
      </c>
      <c r="D699" s="33" t="n">
        <v>25</v>
      </c>
      <c r="E699" s="32" t="inlineStr">
        <is>
          <t>OneCause</t>
        </is>
      </c>
      <c r="F699" s="34">
        <f>IF(A699="","",IFERROR(INT(A699),"check date"))</f>
        <v/>
      </c>
      <c r="G699" s="35">
        <f>IF(B699="","",IFERROR(INDEX(Students!$A:$A,MATCH(TRIM(B699),Students!$A:$A,0)),"NOT ON LIST"))</f>
        <v/>
      </c>
      <c r="H699" s="35">
        <f>IF(OR(G699="",G699="NOT ON LIST"),"",VLOOKUP(G699,Students!$A:$C,2,FALSE))</f>
        <v/>
      </c>
      <c r="I699" s="35">
        <f>IF(OR(G699="",G699="NOT ON LIST"),"",VLOOKUP(G699,Students!$A:$C,3,FALSE)&amp;"")</f>
        <v/>
      </c>
    </row>
    <row r="700">
      <c r="A700" s="31" t="n">
        <v>46336.48958333334</v>
      </c>
      <c r="B700" s="32" t="inlineStr">
        <is>
          <t>Noah Rodriguez</t>
        </is>
      </c>
      <c r="C700" s="32" t="inlineStr">
        <is>
          <t>James Rodriguez</t>
        </is>
      </c>
      <c r="D700" s="33" t="n">
        <v>20</v>
      </c>
      <c r="E700" s="32" t="inlineStr">
        <is>
          <t>OneCause</t>
        </is>
      </c>
      <c r="F700" s="34">
        <f>IF(A700="","",IFERROR(INT(A700),"check date"))</f>
        <v/>
      </c>
      <c r="G700" s="35">
        <f>IF(B700="","",IFERROR(INDEX(Students!$A:$A,MATCH(TRIM(B700),Students!$A:$A,0)),"NOT ON LIST"))</f>
        <v/>
      </c>
      <c r="H700" s="35">
        <f>IF(OR(G700="",G700="NOT ON LIST"),"",VLOOKUP(G700,Students!$A:$C,2,FALSE))</f>
        <v/>
      </c>
      <c r="I700" s="35">
        <f>IF(OR(G700="",G700="NOT ON LIST"),"",VLOOKUP(G700,Students!$A:$C,3,FALSE)&amp;"")</f>
        <v/>
      </c>
    </row>
    <row r="701">
      <c r="A701" s="31" t="n">
        <v>46332.72916666666</v>
      </c>
      <c r="B701" s="32" t="inlineStr">
        <is>
          <t>Valentina Hernandez</t>
        </is>
      </c>
      <c r="C701" s="32" t="inlineStr">
        <is>
          <t>Camila Hernandez</t>
        </is>
      </c>
      <c r="D701" s="33" t="n">
        <v>40</v>
      </c>
      <c r="E701" s="32" t="inlineStr">
        <is>
          <t>OneCause</t>
        </is>
      </c>
      <c r="F701" s="34">
        <f>IF(A701="","",IFERROR(INT(A701),"check date"))</f>
        <v/>
      </c>
      <c r="G701" s="35">
        <f>IF(B701="","",IFERROR(INDEX(Students!$A:$A,MATCH(TRIM(B701),Students!$A:$A,0)),"NOT ON LIST"))</f>
        <v/>
      </c>
      <c r="H701" s="35">
        <f>IF(OR(G701="",G701="NOT ON LIST"),"",VLOOKUP(G701,Students!$A:$C,2,FALSE))</f>
        <v/>
      </c>
      <c r="I701" s="35">
        <f>IF(OR(G701="",G701="NOT ON LIST"),"",VLOOKUP(G701,Students!$A:$C,3,FALSE)&amp;"")</f>
        <v/>
      </c>
    </row>
    <row r="702">
      <c r="A702" s="31" t="n">
        <v>46339.58333333334</v>
      </c>
      <c r="B702" s="32" t="inlineStr">
        <is>
          <t>Thomas Ruiz</t>
        </is>
      </c>
      <c r="C702" s="32" t="inlineStr">
        <is>
          <t>Julian Ruiz</t>
        </is>
      </c>
      <c r="D702" s="33" t="n">
        <v>25</v>
      </c>
      <c r="E702" s="32" t="inlineStr">
        <is>
          <t>OneCause</t>
        </is>
      </c>
      <c r="F702" s="34">
        <f>IF(A702="","",IFERROR(INT(A702),"check date"))</f>
        <v/>
      </c>
      <c r="G702" s="35">
        <f>IF(B702="","",IFERROR(INDEX(Students!$A:$A,MATCH(TRIM(B702),Students!$A:$A,0)),"NOT ON LIST"))</f>
        <v/>
      </c>
      <c r="H702" s="35">
        <f>IF(OR(G702="",G702="NOT ON LIST"),"",VLOOKUP(G702,Students!$A:$C,2,FALSE))</f>
        <v/>
      </c>
      <c r="I702" s="35">
        <f>IF(OR(G702="",G702="NOT ON LIST"),"",VLOOKUP(G702,Students!$A:$C,3,FALSE)&amp;"")</f>
        <v/>
      </c>
    </row>
    <row r="703">
      <c r="A703" s="31" t="n">
        <v>46339.6875</v>
      </c>
      <c r="B703" s="32" t="inlineStr">
        <is>
          <t>Thomas Gutierrez</t>
        </is>
      </c>
      <c r="C703" s="32" t="inlineStr">
        <is>
          <t>Noah Gutierrez</t>
        </is>
      </c>
      <c r="D703" s="33" t="n">
        <v>50</v>
      </c>
      <c r="E703" s="32" t="inlineStr">
        <is>
          <t>OneCause</t>
        </is>
      </c>
      <c r="F703" s="34">
        <f>IF(A703="","",IFERROR(INT(A703),"check date"))</f>
        <v/>
      </c>
      <c r="G703" s="35">
        <f>IF(B703="","",IFERROR(INDEX(Students!$A:$A,MATCH(TRIM(B703),Students!$A:$A,0)),"NOT ON LIST"))</f>
        <v/>
      </c>
      <c r="H703" s="35">
        <f>IF(OR(G703="",G703="NOT ON LIST"),"",VLOOKUP(G703,Students!$A:$C,2,FALSE))</f>
        <v/>
      </c>
      <c r="I703" s="35">
        <f>IF(OR(G703="",G703="NOT ON LIST"),"",VLOOKUP(G703,Students!$A:$C,3,FALSE)&amp;"")</f>
        <v/>
      </c>
    </row>
    <row r="704">
      <c r="A704" s="31" t="n">
        <v>46336.48958333334</v>
      </c>
      <c r="B704" s="32" t="inlineStr">
        <is>
          <t>Ava Gomez</t>
        </is>
      </c>
      <c r="C704" s="32" t="inlineStr">
        <is>
          <t>Zoe Gomez</t>
        </is>
      </c>
      <c r="D704" s="33" t="n">
        <v>75</v>
      </c>
      <c r="E704" s="32" t="inlineStr">
        <is>
          <t>OneCause</t>
        </is>
      </c>
      <c r="F704" s="34">
        <f>IF(A704="","",IFERROR(INT(A704),"check date"))</f>
        <v/>
      </c>
      <c r="G704" s="35">
        <f>IF(B704="","",IFERROR(INDEX(Students!$A:$A,MATCH(TRIM(B704),Students!$A:$A,0)),"NOT ON LIST"))</f>
        <v/>
      </c>
      <c r="H704" s="35">
        <f>IF(OR(G704="",G704="NOT ON LIST"),"",VLOOKUP(G704,Students!$A:$C,2,FALSE))</f>
        <v/>
      </c>
      <c r="I704" s="35">
        <f>IF(OR(G704="",G704="NOT ON LIST"),"",VLOOKUP(G704,Students!$A:$C,3,FALSE)&amp;"")</f>
        <v/>
      </c>
    </row>
    <row r="705">
      <c r="A705" s="31" t="n">
        <v>46336.66666666666</v>
      </c>
      <c r="B705" s="32" t="inlineStr">
        <is>
          <t>Luna Hernandez</t>
        </is>
      </c>
      <c r="C705" s="32" t="inlineStr">
        <is>
          <t>Mateo Hernandez</t>
        </is>
      </c>
      <c r="D705" s="33" t="n">
        <v>20</v>
      </c>
      <c r="E705" s="32" t="inlineStr">
        <is>
          <t>OneCause</t>
        </is>
      </c>
      <c r="F705" s="34">
        <f>IF(A705="","",IFERROR(INT(A705),"check date"))</f>
        <v/>
      </c>
      <c r="G705" s="35">
        <f>IF(B705="","",IFERROR(INDEX(Students!$A:$A,MATCH(TRIM(B705),Students!$A:$A,0)),"NOT ON LIST"))</f>
        <v/>
      </c>
      <c r="H705" s="35">
        <f>IF(OR(G705="",G705="NOT ON LIST"),"",VLOOKUP(G705,Students!$A:$C,2,FALSE))</f>
        <v/>
      </c>
      <c r="I705" s="35">
        <f>IF(OR(G705="",G705="NOT ON LIST"),"",VLOOKUP(G705,Students!$A:$C,3,FALSE)&amp;"")</f>
        <v/>
      </c>
    </row>
    <row r="706">
      <c r="A706" s="31" t="n">
        <v>46336.54166666666</v>
      </c>
      <c r="B706" s="32" t="inlineStr">
        <is>
          <t>Amelia Alvarez</t>
        </is>
      </c>
      <c r="C706" s="32" t="inlineStr">
        <is>
          <t>Benjamin Alvarez</t>
        </is>
      </c>
      <c r="D706" s="33" t="n">
        <v>10</v>
      </c>
      <c r="E706" s="32" t="inlineStr">
        <is>
          <t>OneCause</t>
        </is>
      </c>
      <c r="F706" s="34">
        <f>IF(A706="","",IFERROR(INT(A706),"check date"))</f>
        <v/>
      </c>
      <c r="G706" s="35">
        <f>IF(B706="","",IFERROR(INDEX(Students!$A:$A,MATCH(TRIM(B706),Students!$A:$A,0)),"NOT ON LIST"))</f>
        <v/>
      </c>
      <c r="H706" s="35">
        <f>IF(OR(G706="",G706="NOT ON LIST"),"",VLOOKUP(G706,Students!$A:$C,2,FALSE))</f>
        <v/>
      </c>
      <c r="I706" s="35">
        <f>IF(OR(G706="",G706="NOT ON LIST"),"",VLOOKUP(G706,Students!$A:$C,3,FALSE)&amp;"")</f>
        <v/>
      </c>
    </row>
    <row r="707">
      <c r="A707" s="31" t="n">
        <v>46332.36458333334</v>
      </c>
      <c r="B707" s="32" t="inlineStr">
        <is>
          <t>Daniel Garcia</t>
        </is>
      </c>
      <c r="C707" s="32" t="inlineStr">
        <is>
          <t>Isaac Garcia</t>
        </is>
      </c>
      <c r="D707" s="33" t="n">
        <v>25</v>
      </c>
      <c r="E707" s="32" t="inlineStr">
        <is>
          <t>OneCause</t>
        </is>
      </c>
      <c r="F707" s="34">
        <f>IF(A707="","",IFERROR(INT(A707),"check date"))</f>
        <v/>
      </c>
      <c r="G707" s="35">
        <f>IF(B707="","",IFERROR(INDEX(Students!$A:$A,MATCH(TRIM(B707),Students!$A:$A,0)),"NOT ON LIST"))</f>
        <v/>
      </c>
      <c r="H707" s="35">
        <f>IF(OR(G707="",G707="NOT ON LIST"),"",VLOOKUP(G707,Students!$A:$C,2,FALSE))</f>
        <v/>
      </c>
      <c r="I707" s="35">
        <f>IF(OR(G707="",G707="NOT ON LIST"),"",VLOOKUP(G707,Students!$A:$C,3,FALSE)&amp;"")</f>
        <v/>
      </c>
    </row>
    <row r="708">
      <c r="A708" s="31" t="n">
        <v>46339.8125</v>
      </c>
      <c r="B708" s="32" t="inlineStr">
        <is>
          <t>Amelia Gomez</t>
        </is>
      </c>
      <c r="C708" s="32" t="inlineStr">
        <is>
          <t>Liam Gomez</t>
        </is>
      </c>
      <c r="D708" s="33" t="n">
        <v>20</v>
      </c>
      <c r="E708" s="32" t="inlineStr">
        <is>
          <t>OneCause</t>
        </is>
      </c>
      <c r="F708" s="34">
        <f>IF(A708="","",IFERROR(INT(A708),"check date"))</f>
        <v/>
      </c>
      <c r="G708" s="35">
        <f>IF(B708="","",IFERROR(INDEX(Students!$A:$A,MATCH(TRIM(B708),Students!$A:$A,0)),"NOT ON LIST"))</f>
        <v/>
      </c>
      <c r="H708" s="35">
        <f>IF(OR(G708="",G708="NOT ON LIST"),"",VLOOKUP(G708,Students!$A:$C,2,FALSE))</f>
        <v/>
      </c>
      <c r="I708" s="35">
        <f>IF(OR(G708="",G708="NOT ON LIST"),"",VLOOKUP(G708,Students!$A:$C,3,FALSE)&amp;"")</f>
        <v/>
      </c>
    </row>
    <row r="709">
      <c r="A709" s="31" t="n">
        <v>46338.88541666666</v>
      </c>
      <c r="B709" s="32" t="inlineStr">
        <is>
          <t>Henry Alvarez</t>
        </is>
      </c>
      <c r="C709" s="32" t="inlineStr">
        <is>
          <t>Lily Alvarez</t>
        </is>
      </c>
      <c r="D709" s="33" t="n">
        <v>50</v>
      </c>
      <c r="E709" s="32" t="inlineStr">
        <is>
          <t>OneCause</t>
        </is>
      </c>
      <c r="F709" s="34">
        <f>IF(A709="","",IFERROR(INT(A709),"check date"))</f>
        <v/>
      </c>
      <c r="G709" s="35">
        <f>IF(B709="","",IFERROR(INDEX(Students!$A:$A,MATCH(TRIM(B709),Students!$A:$A,0)),"NOT ON LIST"))</f>
        <v/>
      </c>
      <c r="H709" s="35">
        <f>IF(OR(G709="",G709="NOT ON LIST"),"",VLOOKUP(G709,Students!$A:$C,2,FALSE))</f>
        <v/>
      </c>
      <c r="I709" s="35">
        <f>IF(OR(G709="",G709="NOT ON LIST"),"",VLOOKUP(G709,Students!$A:$C,3,FALSE)&amp;"")</f>
        <v/>
      </c>
    </row>
    <row r="710">
      <c r="A710" s="31" t="n">
        <v>46334.5</v>
      </c>
      <c r="B710" s="32" t="inlineStr">
        <is>
          <t>Olivia Gutierrez</t>
        </is>
      </c>
      <c r="C710" s="32" t="inlineStr">
        <is>
          <t>Olivia Gutierrez</t>
        </is>
      </c>
      <c r="D710" s="33" t="n">
        <v>50</v>
      </c>
      <c r="E710" s="32" t="inlineStr">
        <is>
          <t>OneCause</t>
        </is>
      </c>
      <c r="F710" s="34">
        <f>IF(A710="","",IFERROR(INT(A710),"check date"))</f>
        <v/>
      </c>
      <c r="G710" s="35">
        <f>IF(B710="","",IFERROR(INDEX(Students!$A:$A,MATCH(TRIM(B710),Students!$A:$A,0)),"NOT ON LIST"))</f>
        <v/>
      </c>
      <c r="H710" s="35">
        <f>IF(OR(G710="",G710="NOT ON LIST"),"",VLOOKUP(G710,Students!$A:$C,2,FALSE))</f>
        <v/>
      </c>
      <c r="I710" s="35">
        <f>IF(OR(G710="",G710="NOT ON LIST"),"",VLOOKUP(G710,Students!$A:$C,3,FALSE)&amp;"")</f>
        <v/>
      </c>
    </row>
    <row r="711">
      <c r="A711" s="31" t="n">
        <v>46325.55208333334</v>
      </c>
      <c r="B711" s="32" t="inlineStr">
        <is>
          <t>Chloe Gomez</t>
        </is>
      </c>
      <c r="C711" s="32" t="inlineStr">
        <is>
          <t>Lily Gomez</t>
        </is>
      </c>
      <c r="D711" s="33" t="n">
        <v>40</v>
      </c>
      <c r="E711" s="32" t="inlineStr">
        <is>
          <t>OneCause</t>
        </is>
      </c>
      <c r="F711" s="34">
        <f>IF(A711="","",IFERROR(INT(A711),"check date"))</f>
        <v/>
      </c>
      <c r="G711" s="35">
        <f>IF(B711="","",IFERROR(INDEX(Students!$A:$A,MATCH(TRIM(B711),Students!$A:$A,0)),"NOT ON LIST"))</f>
        <v/>
      </c>
      <c r="H711" s="35">
        <f>IF(OR(G711="",G711="NOT ON LIST"),"",VLOOKUP(G711,Students!$A:$C,2,FALSE))</f>
        <v/>
      </c>
      <c r="I711" s="35">
        <f>IF(OR(G711="",G711="NOT ON LIST"),"",VLOOKUP(G711,Students!$A:$C,3,FALSE)&amp;"")</f>
        <v/>
      </c>
    </row>
    <row r="712">
      <c r="A712" s="31" t="n">
        <v>46325.33333333334</v>
      </c>
      <c r="B712" s="32" t="inlineStr">
        <is>
          <t>Aria Kim</t>
        </is>
      </c>
      <c r="C712" s="32" t="inlineStr">
        <is>
          <t>Gabriel Kim</t>
        </is>
      </c>
      <c r="D712" s="33" t="n">
        <v>50</v>
      </c>
      <c r="E712" s="32" t="inlineStr">
        <is>
          <t>OneCause</t>
        </is>
      </c>
      <c r="F712" s="34">
        <f>IF(A712="","",IFERROR(INT(A712),"check date"))</f>
        <v/>
      </c>
      <c r="G712" s="35">
        <f>IF(B712="","",IFERROR(INDEX(Students!$A:$A,MATCH(TRIM(B712),Students!$A:$A,0)),"NOT ON LIST"))</f>
        <v/>
      </c>
      <c r="H712" s="35">
        <f>IF(OR(G712="",G712="NOT ON LIST"),"",VLOOKUP(G712,Students!$A:$C,2,FALSE))</f>
        <v/>
      </c>
      <c r="I712" s="35">
        <f>IF(OR(G712="",G712="NOT ON LIST"),"",VLOOKUP(G712,Students!$A:$C,3,FALSE)&amp;"")</f>
        <v/>
      </c>
    </row>
    <row r="713">
      <c r="A713" s="31" t="n">
        <v>46326.63541666666</v>
      </c>
      <c r="B713" s="32" t="inlineStr">
        <is>
          <t>Mateo Murphy</t>
        </is>
      </c>
      <c r="C713" s="32" t="inlineStr">
        <is>
          <t>Santiago Murphy</t>
        </is>
      </c>
      <c r="D713" s="33" t="n">
        <v>10</v>
      </c>
      <c r="E713" s="32" t="inlineStr">
        <is>
          <t>OneCause</t>
        </is>
      </c>
      <c r="F713" s="34">
        <f>IF(A713="","",IFERROR(INT(A713),"check date"))</f>
        <v/>
      </c>
      <c r="G713" s="35">
        <f>IF(B713="","",IFERROR(INDEX(Students!$A:$A,MATCH(TRIM(B713),Students!$A:$A,0)),"NOT ON LIST"))</f>
        <v/>
      </c>
      <c r="H713" s="35">
        <f>IF(OR(G713="",G713="NOT ON LIST"),"",VLOOKUP(G713,Students!$A:$C,2,FALSE))</f>
        <v/>
      </c>
      <c r="I713" s="35">
        <f>IF(OR(G713="",G713="NOT ON LIST"),"",VLOOKUP(G713,Students!$A:$C,3,FALSE)&amp;"")</f>
        <v/>
      </c>
    </row>
    <row r="714">
      <c r="A714" s="31" t="n">
        <v>46338.85416666666</v>
      </c>
      <c r="B714" s="32" t="inlineStr">
        <is>
          <t>Nora Ramirez</t>
        </is>
      </c>
      <c r="C714" s="32" t="inlineStr">
        <is>
          <t>Luna Ramirez</t>
        </is>
      </c>
      <c r="D714" s="33" t="n">
        <v>150</v>
      </c>
      <c r="E714" s="32" t="inlineStr">
        <is>
          <t>OneCause</t>
        </is>
      </c>
      <c r="F714" s="34">
        <f>IF(A714="","",IFERROR(INT(A714),"check date"))</f>
        <v/>
      </c>
      <c r="G714" s="35">
        <f>IF(B714="","",IFERROR(INDEX(Students!$A:$A,MATCH(TRIM(B714),Students!$A:$A,0)),"NOT ON LIST"))</f>
        <v/>
      </c>
      <c r="H714" s="35">
        <f>IF(OR(G714="",G714="NOT ON LIST"),"",VLOOKUP(G714,Students!$A:$C,2,FALSE))</f>
        <v/>
      </c>
      <c r="I714" s="35">
        <f>IF(OR(G714="",G714="NOT ON LIST"),"",VLOOKUP(G714,Students!$A:$C,3,FALSE)&amp;"")</f>
        <v/>
      </c>
    </row>
    <row r="715">
      <c r="A715" s="31" t="n">
        <v>46326.45833333334</v>
      </c>
      <c r="B715" s="32" t="inlineStr">
        <is>
          <t>Adrian Nguyen</t>
        </is>
      </c>
      <c r="C715" s="32" t="inlineStr">
        <is>
          <t>Joseph Nguyen</t>
        </is>
      </c>
      <c r="D715" s="33" t="n">
        <v>25</v>
      </c>
      <c r="E715" s="32" t="inlineStr">
        <is>
          <t>OneCause</t>
        </is>
      </c>
      <c r="F715" s="34">
        <f>IF(A715="","",IFERROR(INT(A715),"check date"))</f>
        <v/>
      </c>
      <c r="G715" s="35">
        <f>IF(B715="","",IFERROR(INDEX(Students!$A:$A,MATCH(TRIM(B715),Students!$A:$A,0)),"NOT ON LIST"))</f>
        <v/>
      </c>
      <c r="H715" s="35">
        <f>IF(OR(G715="",G715="NOT ON LIST"),"",VLOOKUP(G715,Students!$A:$C,2,FALSE))</f>
        <v/>
      </c>
      <c r="I715" s="35">
        <f>IF(OR(G715="",G715="NOT ON LIST"),"",VLOOKUP(G715,Students!$A:$C,3,FALSE)&amp;"")</f>
        <v/>
      </c>
    </row>
    <row r="716">
      <c r="A716" s="31" t="n">
        <v>46334.89583333334</v>
      </c>
      <c r="B716" s="32" t="inlineStr">
        <is>
          <t>Elijah Vasquez</t>
        </is>
      </c>
      <c r="C716" s="32" t="inlineStr">
        <is>
          <t>Ava Vasquez</t>
        </is>
      </c>
      <c r="D716" s="33" t="n">
        <v>25</v>
      </c>
      <c r="E716" s="32" t="inlineStr">
        <is>
          <t>OneCause</t>
        </is>
      </c>
      <c r="F716" s="34">
        <f>IF(A716="","",IFERROR(INT(A716),"check date"))</f>
        <v/>
      </c>
      <c r="G716" s="35">
        <f>IF(B716="","",IFERROR(INDEX(Students!$A:$A,MATCH(TRIM(B716),Students!$A:$A,0)),"NOT ON LIST"))</f>
        <v/>
      </c>
      <c r="H716" s="35">
        <f>IF(OR(G716="",G716="NOT ON LIST"),"",VLOOKUP(G716,Students!$A:$C,2,FALSE))</f>
        <v/>
      </c>
      <c r="I716" s="35">
        <f>IF(OR(G716="",G716="NOT ON LIST"),"",VLOOKUP(G716,Students!$A:$C,3,FALSE)&amp;"")</f>
        <v/>
      </c>
    </row>
    <row r="717">
      <c r="A717" s="31" t="n">
        <v>46328.86458333334</v>
      </c>
      <c r="B717" s="32" t="inlineStr">
        <is>
          <t>Isaac Rodriguez</t>
        </is>
      </c>
      <c r="C717" s="32" t="inlineStr">
        <is>
          <t>Clara Rodriguez</t>
        </is>
      </c>
      <c r="D717" s="33" t="n">
        <v>50</v>
      </c>
      <c r="E717" s="32" t="inlineStr">
        <is>
          <t>OneCause</t>
        </is>
      </c>
      <c r="F717" s="34">
        <f>IF(A717="","",IFERROR(INT(A717),"check date"))</f>
        <v/>
      </c>
      <c r="G717" s="35">
        <f>IF(B717="","",IFERROR(INDEX(Students!$A:$A,MATCH(TRIM(B717),Students!$A:$A,0)),"NOT ON LIST"))</f>
        <v/>
      </c>
      <c r="H717" s="35">
        <f>IF(OR(G717="",G717="NOT ON LIST"),"",VLOOKUP(G717,Students!$A:$C,2,FALSE))</f>
        <v/>
      </c>
      <c r="I717" s="35">
        <f>IF(OR(G717="",G717="NOT ON LIST"),"",VLOOKUP(G717,Students!$A:$C,3,FALSE)&amp;"")</f>
        <v/>
      </c>
    </row>
    <row r="718">
      <c r="A718" s="31" t="n">
        <v>46336.5</v>
      </c>
      <c r="B718" s="32" t="inlineStr">
        <is>
          <t>Evelyn Diaz</t>
        </is>
      </c>
      <c r="C718" s="32" t="inlineStr">
        <is>
          <t>James Diaz</t>
        </is>
      </c>
      <c r="D718" s="33" t="n">
        <v>50</v>
      </c>
      <c r="E718" s="32" t="inlineStr">
        <is>
          <t>OneCause</t>
        </is>
      </c>
      <c r="F718" s="34">
        <f>IF(A718="","",IFERROR(INT(A718),"check date"))</f>
        <v/>
      </c>
      <c r="G718" s="35">
        <f>IF(B718="","",IFERROR(INDEX(Students!$A:$A,MATCH(TRIM(B718),Students!$A:$A,0)),"NOT ON LIST"))</f>
        <v/>
      </c>
      <c r="H718" s="35">
        <f>IF(OR(G718="",G718="NOT ON LIST"),"",VLOOKUP(G718,Students!$A:$C,2,FALSE))</f>
        <v/>
      </c>
      <c r="I718" s="35">
        <f>IF(OR(G718="",G718="NOT ON LIST"),"",VLOOKUP(G718,Students!$A:$C,3,FALSE)&amp;"")</f>
        <v/>
      </c>
    </row>
    <row r="719">
      <c r="A719" s="31" t="n">
        <v>46328.72916666666</v>
      </c>
      <c r="B719" s="32" t="inlineStr">
        <is>
          <t>Elena Diaz</t>
        </is>
      </c>
      <c r="C719" s="32" t="inlineStr">
        <is>
          <t>Sofia Diaz</t>
        </is>
      </c>
      <c r="D719" s="33" t="n">
        <v>50</v>
      </c>
      <c r="E719" s="32" t="inlineStr">
        <is>
          <t>OneCause</t>
        </is>
      </c>
      <c r="F719" s="34">
        <f>IF(A719="","",IFERROR(INT(A719),"check date"))</f>
        <v/>
      </c>
      <c r="G719" s="35">
        <f>IF(B719="","",IFERROR(INDEX(Students!$A:$A,MATCH(TRIM(B719),Students!$A:$A,0)),"NOT ON LIST"))</f>
        <v/>
      </c>
      <c r="H719" s="35">
        <f>IF(OR(G719="",G719="NOT ON LIST"),"",VLOOKUP(G719,Students!$A:$C,2,FALSE))</f>
        <v/>
      </c>
      <c r="I719" s="35">
        <f>IF(OR(G719="",G719="NOT ON LIST"),"",VLOOKUP(G719,Students!$A:$C,3,FALSE)&amp;"")</f>
        <v/>
      </c>
    </row>
    <row r="720">
      <c r="A720" s="31" t="n">
        <v>46336.625</v>
      </c>
      <c r="B720" s="32" t="inlineStr">
        <is>
          <t>Evelyn Hernandez</t>
        </is>
      </c>
      <c r="C720" s="32" t="inlineStr">
        <is>
          <t>Santiago Hernandez</t>
        </is>
      </c>
      <c r="D720" s="33" t="n">
        <v>25</v>
      </c>
      <c r="E720" s="32" t="inlineStr">
        <is>
          <t>OneCause</t>
        </is>
      </c>
      <c r="F720" s="34">
        <f>IF(A720="","",IFERROR(INT(A720),"check date"))</f>
        <v/>
      </c>
      <c r="G720" s="35">
        <f>IF(B720="","",IFERROR(INDEX(Students!$A:$A,MATCH(TRIM(B720),Students!$A:$A,0)),"NOT ON LIST"))</f>
        <v/>
      </c>
      <c r="H720" s="35">
        <f>IF(OR(G720="",G720="NOT ON LIST"),"",VLOOKUP(G720,Students!$A:$C,2,FALSE))</f>
        <v/>
      </c>
      <c r="I720" s="35">
        <f>IF(OR(G720="",G720="NOT ON LIST"),"",VLOOKUP(G720,Students!$A:$C,3,FALSE)&amp;"")</f>
        <v/>
      </c>
    </row>
    <row r="721">
      <c r="A721" s="31" t="n">
        <v>46330.80208333334</v>
      </c>
      <c r="B721" s="32" t="inlineStr">
        <is>
          <t>Emma Sanchez</t>
        </is>
      </c>
      <c r="C721" s="32" t="inlineStr">
        <is>
          <t>Isaac Sanchez</t>
        </is>
      </c>
      <c r="D721" s="33" t="n">
        <v>25</v>
      </c>
      <c r="E721" s="32" t="inlineStr">
        <is>
          <t>OneCause</t>
        </is>
      </c>
      <c r="F721" s="34">
        <f>IF(A721="","",IFERROR(INT(A721),"check date"))</f>
        <v/>
      </c>
      <c r="G721" s="35">
        <f>IF(B721="","",IFERROR(INDEX(Students!$A:$A,MATCH(TRIM(B721),Students!$A:$A,0)),"NOT ON LIST"))</f>
        <v/>
      </c>
      <c r="H721" s="35">
        <f>IF(OR(G721="",G721="NOT ON LIST"),"",VLOOKUP(G721,Students!$A:$C,2,FALSE))</f>
        <v/>
      </c>
      <c r="I721" s="35">
        <f>IF(OR(G721="",G721="NOT ON LIST"),"",VLOOKUP(G721,Students!$A:$C,3,FALSE)&amp;"")</f>
        <v/>
      </c>
    </row>
    <row r="722">
      <c r="A722" s="31" t="n">
        <v>46336.80208333334</v>
      </c>
      <c r="B722" s="32" t="inlineStr">
        <is>
          <t>Evelyn Gonzalez</t>
        </is>
      </c>
      <c r="C722" s="32" t="inlineStr">
        <is>
          <t>Chloe Gonzalez</t>
        </is>
      </c>
      <c r="D722" s="33" t="n">
        <v>20</v>
      </c>
      <c r="E722" s="32" t="inlineStr">
        <is>
          <t>OneCause</t>
        </is>
      </c>
      <c r="F722" s="34">
        <f>IF(A722="","",IFERROR(INT(A722),"check date"))</f>
        <v/>
      </c>
      <c r="G722" s="35">
        <f>IF(B722="","",IFERROR(INDEX(Students!$A:$A,MATCH(TRIM(B722),Students!$A:$A,0)),"NOT ON LIST"))</f>
        <v/>
      </c>
      <c r="H722" s="35">
        <f>IF(OR(G722="",G722="NOT ON LIST"),"",VLOOKUP(G722,Students!$A:$C,2,FALSE))</f>
        <v/>
      </c>
      <c r="I722" s="35">
        <f>IF(OR(G722="",G722="NOT ON LIST"),"",VLOOKUP(G722,Students!$A:$C,3,FALSE)&amp;"")</f>
        <v/>
      </c>
    </row>
    <row r="723">
      <c r="A723" s="31" t="n">
        <v>46325</v>
      </c>
      <c r="B723" s="32" t="inlineStr">
        <is>
          <t>Isaac Williams</t>
        </is>
      </c>
      <c r="C723" s="32" t="inlineStr">
        <is>
          <t>Liam Williams</t>
        </is>
      </c>
      <c r="D723" s="33" t="n">
        <v>100</v>
      </c>
      <c r="E723" s="32" t="inlineStr">
        <is>
          <t>Check</t>
        </is>
      </c>
      <c r="F723" s="34">
        <f>IF(A723="","",IFERROR(INT(A723),"check date"))</f>
        <v/>
      </c>
      <c r="G723" s="35">
        <f>IF(B723="","",IFERROR(INDEX(Students!$A:$A,MATCH(TRIM(B723),Students!$A:$A,0)),"NOT ON LIST"))</f>
        <v/>
      </c>
      <c r="H723" s="35">
        <f>IF(OR(G723="",G723="NOT ON LIST"),"",VLOOKUP(G723,Students!$A:$C,2,FALSE))</f>
        <v/>
      </c>
      <c r="I723" s="35">
        <f>IF(OR(G723="",G723="NOT ON LIST"),"",VLOOKUP(G723,Students!$A:$C,3,FALSE)&amp;"")</f>
        <v/>
      </c>
    </row>
    <row r="724">
      <c r="A724" s="31" t="n">
        <v>46331.375</v>
      </c>
      <c r="B724" s="32" t="inlineStr">
        <is>
          <t>Adrian Diaz</t>
        </is>
      </c>
      <c r="C724" s="32" t="inlineStr">
        <is>
          <t>Zoe Diaz</t>
        </is>
      </c>
      <c r="D724" s="33" t="n">
        <v>25</v>
      </c>
      <c r="E724" s="32" t="inlineStr">
        <is>
          <t>OneCause</t>
        </is>
      </c>
      <c r="F724" s="34">
        <f>IF(A724="","",IFERROR(INT(A724),"check date"))</f>
        <v/>
      </c>
      <c r="G724" s="35">
        <f>IF(B724="","",IFERROR(INDEX(Students!$A:$A,MATCH(TRIM(B724),Students!$A:$A,0)),"NOT ON LIST"))</f>
        <v/>
      </c>
      <c r="H724" s="35">
        <f>IF(OR(G724="",G724="NOT ON LIST"),"",VLOOKUP(G724,Students!$A:$C,2,FALSE))</f>
        <v/>
      </c>
      <c r="I724" s="35">
        <f>IF(OR(G724="",G724="NOT ON LIST"),"",VLOOKUP(G724,Students!$A:$C,3,FALSE)&amp;"")</f>
        <v/>
      </c>
    </row>
    <row r="725">
      <c r="A725" s="31" t="n">
        <v>46332.625</v>
      </c>
      <c r="B725" s="32" t="inlineStr">
        <is>
          <t>Nora Morales</t>
        </is>
      </c>
      <c r="C725" s="32" t="inlineStr">
        <is>
          <t>Joseph Morales</t>
        </is>
      </c>
      <c r="D725" s="33" t="n">
        <v>50</v>
      </c>
      <c r="E725" s="32" t="inlineStr">
        <is>
          <t>OneCause</t>
        </is>
      </c>
      <c r="F725" s="34">
        <f>IF(A725="","",IFERROR(INT(A725),"check date"))</f>
        <v/>
      </c>
      <c r="G725" s="35">
        <f>IF(B725="","",IFERROR(INDEX(Students!$A:$A,MATCH(TRIM(B725),Students!$A:$A,0)),"NOT ON LIST"))</f>
        <v/>
      </c>
      <c r="H725" s="35">
        <f>IF(OR(G725="",G725="NOT ON LIST"),"",VLOOKUP(G725,Students!$A:$C,2,FALSE))</f>
        <v/>
      </c>
      <c r="I725" s="35">
        <f>IF(OR(G725="",G725="NOT ON LIST"),"",VLOOKUP(G725,Students!$A:$C,3,FALSE)&amp;"")</f>
        <v/>
      </c>
    </row>
    <row r="726">
      <c r="A726" s="31" t="n">
        <v>46328.48958333334</v>
      </c>
      <c r="B726" s="32" t="inlineStr">
        <is>
          <t>Joseph Gonzalez</t>
        </is>
      </c>
      <c r="C726" s="32" t="inlineStr">
        <is>
          <t>Nicolas Gonzalez</t>
        </is>
      </c>
      <c r="D726" s="33" t="n">
        <v>20</v>
      </c>
      <c r="E726" s="32" t="inlineStr">
        <is>
          <t>OneCause</t>
        </is>
      </c>
      <c r="F726" s="34">
        <f>IF(A726="","",IFERROR(INT(A726),"check date"))</f>
        <v/>
      </c>
      <c r="G726" s="35">
        <f>IF(B726="","",IFERROR(INDEX(Students!$A:$A,MATCH(TRIM(B726),Students!$A:$A,0)),"NOT ON LIST"))</f>
        <v/>
      </c>
      <c r="H726" s="35">
        <f>IF(OR(G726="",G726="NOT ON LIST"),"",VLOOKUP(G726,Students!$A:$C,2,FALSE))</f>
        <v/>
      </c>
      <c r="I726" s="35">
        <f>IF(OR(G726="",G726="NOT ON LIST"),"",VLOOKUP(G726,Students!$A:$C,3,FALSE)&amp;"")</f>
        <v/>
      </c>
    </row>
    <row r="727">
      <c r="A727" s="31" t="n">
        <v>46339.47916666666</v>
      </c>
      <c r="B727" s="32" t="inlineStr">
        <is>
          <t>Maya Kim</t>
        </is>
      </c>
      <c r="C727" s="32" t="inlineStr">
        <is>
          <t>Aria Kim</t>
        </is>
      </c>
      <c r="D727" s="33" t="n">
        <v>40</v>
      </c>
      <c r="E727" s="32" t="inlineStr">
        <is>
          <t>OneCause</t>
        </is>
      </c>
      <c r="F727" s="34">
        <f>IF(A727="","",IFERROR(INT(A727),"check date"))</f>
        <v/>
      </c>
      <c r="G727" s="35">
        <f>IF(B727="","",IFERROR(INDEX(Students!$A:$A,MATCH(TRIM(B727),Students!$A:$A,0)),"NOT ON LIST"))</f>
        <v/>
      </c>
      <c r="H727" s="35">
        <f>IF(OR(G727="",G727="NOT ON LIST"),"",VLOOKUP(G727,Students!$A:$C,2,FALSE))</f>
        <v/>
      </c>
      <c r="I727" s="35">
        <f>IF(OR(G727="",G727="NOT ON LIST"),"",VLOOKUP(G727,Students!$A:$C,3,FALSE)&amp;"")</f>
        <v/>
      </c>
    </row>
    <row r="728">
      <c r="A728" s="31" t="n">
        <v>46334.58333333334</v>
      </c>
      <c r="B728" s="32" t="inlineStr">
        <is>
          <t>Clara Sullivan</t>
        </is>
      </c>
      <c r="C728" s="32" t="inlineStr">
        <is>
          <t>Ella Sullivan</t>
        </is>
      </c>
      <c r="D728" s="33" t="n">
        <v>25</v>
      </c>
      <c r="E728" s="32" t="inlineStr">
        <is>
          <t>OneCause</t>
        </is>
      </c>
      <c r="F728" s="34">
        <f>IF(A728="","",IFERROR(INT(A728),"check date"))</f>
        <v/>
      </c>
      <c r="G728" s="35">
        <f>IF(B728="","",IFERROR(INDEX(Students!$A:$A,MATCH(TRIM(B728),Students!$A:$A,0)),"NOT ON LIST"))</f>
        <v/>
      </c>
      <c r="H728" s="35">
        <f>IF(OR(G728="",G728="NOT ON LIST"),"",VLOOKUP(G728,Students!$A:$C,2,FALSE))</f>
        <v/>
      </c>
      <c r="I728" s="35">
        <f>IF(OR(G728="",G728="NOT ON LIST"),"",VLOOKUP(G728,Students!$A:$C,3,FALSE)&amp;"")</f>
        <v/>
      </c>
    </row>
    <row r="729">
      <c r="A729" s="31" t="n">
        <v>46329.72916666666</v>
      </c>
      <c r="B729" s="32" t="inlineStr">
        <is>
          <t>Clara Sullivan</t>
        </is>
      </c>
      <c r="C729" s="32" t="inlineStr">
        <is>
          <t>Adrian Sullivan</t>
        </is>
      </c>
      <c r="D729" s="33" t="n">
        <v>10</v>
      </c>
      <c r="E729" s="32" t="inlineStr">
        <is>
          <t>OneCause</t>
        </is>
      </c>
      <c r="F729" s="34">
        <f>IF(A729="","",IFERROR(INT(A729),"check date"))</f>
        <v/>
      </c>
      <c r="G729" s="35">
        <f>IF(B729="","",IFERROR(INDEX(Students!$A:$A,MATCH(TRIM(B729),Students!$A:$A,0)),"NOT ON LIST"))</f>
        <v/>
      </c>
      <c r="H729" s="35">
        <f>IF(OR(G729="",G729="NOT ON LIST"),"",VLOOKUP(G729,Students!$A:$C,2,FALSE))</f>
        <v/>
      </c>
      <c r="I729" s="35">
        <f>IF(OR(G729="",G729="NOT ON LIST"),"",VLOOKUP(G729,Students!$A:$C,3,FALSE)&amp;"")</f>
        <v/>
      </c>
    </row>
    <row r="730">
      <c r="A730" s="31" t="n">
        <v>46339.51041666666</v>
      </c>
      <c r="B730" s="32" t="inlineStr">
        <is>
          <t>James Garcia</t>
        </is>
      </c>
      <c r="C730" s="32" t="inlineStr">
        <is>
          <t>Mateo Garcia</t>
        </is>
      </c>
      <c r="D730" s="33" t="n">
        <v>10</v>
      </c>
      <c r="E730" s="32" t="inlineStr">
        <is>
          <t>OneCause</t>
        </is>
      </c>
      <c r="F730" s="34">
        <f>IF(A730="","",IFERROR(INT(A730),"check date"))</f>
        <v/>
      </c>
      <c r="G730" s="35">
        <f>IF(B730="","",IFERROR(INDEX(Students!$A:$A,MATCH(TRIM(B730),Students!$A:$A,0)),"NOT ON LIST"))</f>
        <v/>
      </c>
      <c r="H730" s="35">
        <f>IF(OR(G730="",G730="NOT ON LIST"),"",VLOOKUP(G730,Students!$A:$C,2,FALSE))</f>
        <v/>
      </c>
      <c r="I730" s="35">
        <f>IF(OR(G730="",G730="NOT ON LIST"),"",VLOOKUP(G730,Students!$A:$C,3,FALSE)&amp;"")</f>
        <v/>
      </c>
    </row>
    <row r="731">
      <c r="A731" s="31" t="n">
        <v>46331.84375</v>
      </c>
      <c r="B731" s="32" t="inlineStr">
        <is>
          <t>Sofia Lopez</t>
        </is>
      </c>
      <c r="C731" s="32" t="inlineStr">
        <is>
          <t>Clara Lopez</t>
        </is>
      </c>
      <c r="D731" s="33" t="n">
        <v>50</v>
      </c>
      <c r="E731" s="32" t="inlineStr">
        <is>
          <t>OneCause</t>
        </is>
      </c>
      <c r="F731" s="34">
        <f>IF(A731="","",IFERROR(INT(A731),"check date"))</f>
        <v/>
      </c>
      <c r="G731" s="35">
        <f>IF(B731="","",IFERROR(INDEX(Students!$A:$A,MATCH(TRIM(B731),Students!$A:$A,0)),"NOT ON LIST"))</f>
        <v/>
      </c>
      <c r="H731" s="35">
        <f>IF(OR(G731="",G731="NOT ON LIST"),"",VLOOKUP(G731,Students!$A:$C,2,FALSE))</f>
        <v/>
      </c>
      <c r="I731" s="35">
        <f>IF(OR(G731="",G731="NOT ON LIST"),"",VLOOKUP(G731,Students!$A:$C,3,FALSE)&amp;"")</f>
        <v/>
      </c>
    </row>
    <row r="732">
      <c r="A732" s="31" t="n">
        <v>46330.5625</v>
      </c>
      <c r="B732" s="32" t="inlineStr">
        <is>
          <t>Grace Murphy</t>
        </is>
      </c>
      <c r="C732" s="32" t="inlineStr">
        <is>
          <t>Lily Murphy</t>
        </is>
      </c>
      <c r="D732" s="33" t="n">
        <v>50</v>
      </c>
      <c r="E732" s="32" t="inlineStr">
        <is>
          <t>OneCause</t>
        </is>
      </c>
      <c r="F732" s="34">
        <f>IF(A732="","",IFERROR(INT(A732),"check date"))</f>
        <v/>
      </c>
      <c r="G732" s="35">
        <f>IF(B732="","",IFERROR(INDEX(Students!$A:$A,MATCH(TRIM(B732),Students!$A:$A,0)),"NOT ON LIST"))</f>
        <v/>
      </c>
      <c r="H732" s="35">
        <f>IF(OR(G732="",G732="NOT ON LIST"),"",VLOOKUP(G732,Students!$A:$C,2,FALSE))</f>
        <v/>
      </c>
      <c r="I732" s="35">
        <f>IF(OR(G732="",G732="NOT ON LIST"),"",VLOOKUP(G732,Students!$A:$C,3,FALSE)&amp;"")</f>
        <v/>
      </c>
    </row>
    <row r="733">
      <c r="A733" s="31" t="n">
        <v>46334.78125</v>
      </c>
      <c r="B733" s="32" t="inlineStr">
        <is>
          <t>Chloe Smith</t>
        </is>
      </c>
      <c r="C733" s="32" t="inlineStr">
        <is>
          <t>Mia Smith</t>
        </is>
      </c>
      <c r="D733" s="33" t="n">
        <v>100</v>
      </c>
      <c r="E733" s="32" t="inlineStr">
        <is>
          <t>OneCause</t>
        </is>
      </c>
      <c r="F733" s="34">
        <f>IF(A733="","",IFERROR(INT(A733),"check date"))</f>
        <v/>
      </c>
      <c r="G733" s="35">
        <f>IF(B733="","",IFERROR(INDEX(Students!$A:$A,MATCH(TRIM(B733),Students!$A:$A,0)),"NOT ON LIST"))</f>
        <v/>
      </c>
      <c r="H733" s="35">
        <f>IF(OR(G733="",G733="NOT ON LIST"),"",VLOOKUP(G733,Students!$A:$C,2,FALSE))</f>
        <v/>
      </c>
      <c r="I733" s="35">
        <f>IF(OR(G733="",G733="NOT ON LIST"),"",VLOOKUP(G733,Students!$A:$C,3,FALSE)&amp;"")</f>
        <v/>
      </c>
    </row>
    <row r="734">
      <c r="A734" s="31" t="n">
        <v>46325.75</v>
      </c>
      <c r="B734" s="32" t="inlineStr">
        <is>
          <t>Clara Nguyen</t>
        </is>
      </c>
      <c r="C734" s="32" t="inlineStr">
        <is>
          <t>Thomas Nguyen</t>
        </is>
      </c>
      <c r="D734" s="33" t="n">
        <v>10</v>
      </c>
      <c r="E734" s="32" t="inlineStr">
        <is>
          <t>OneCause</t>
        </is>
      </c>
      <c r="F734" s="34">
        <f>IF(A734="","",IFERROR(INT(A734),"check date"))</f>
        <v/>
      </c>
      <c r="G734" s="35">
        <f>IF(B734="","",IFERROR(INDEX(Students!$A:$A,MATCH(TRIM(B734),Students!$A:$A,0)),"NOT ON LIST"))</f>
        <v/>
      </c>
      <c r="H734" s="35">
        <f>IF(OR(G734="",G734="NOT ON LIST"),"",VLOOKUP(G734,Students!$A:$C,2,FALSE))</f>
        <v/>
      </c>
      <c r="I734" s="35">
        <f>IF(OR(G734="",G734="NOT ON LIST"),"",VLOOKUP(G734,Students!$A:$C,3,FALSE)&amp;"")</f>
        <v/>
      </c>
    </row>
    <row r="735">
      <c r="A735" s="31" t="n">
        <v>46329.6875</v>
      </c>
      <c r="B735" s="32" t="inlineStr">
        <is>
          <t>Mateo Martinez</t>
        </is>
      </c>
      <c r="C735" s="32" t="inlineStr">
        <is>
          <t>Zoe Martinez</t>
        </is>
      </c>
      <c r="D735" s="33" t="n">
        <v>25</v>
      </c>
      <c r="E735" s="32" t="inlineStr">
        <is>
          <t>OneCause</t>
        </is>
      </c>
      <c r="F735" s="34">
        <f>IF(A735="","",IFERROR(INT(A735),"check date"))</f>
        <v/>
      </c>
      <c r="G735" s="35">
        <f>IF(B735="","",IFERROR(INDEX(Students!$A:$A,MATCH(TRIM(B735),Students!$A:$A,0)),"NOT ON LIST"))</f>
        <v/>
      </c>
      <c r="H735" s="35">
        <f>IF(OR(G735="",G735="NOT ON LIST"),"",VLOOKUP(G735,Students!$A:$C,2,FALSE))</f>
        <v/>
      </c>
      <c r="I735" s="35">
        <f>IF(OR(G735="",G735="NOT ON LIST"),"",VLOOKUP(G735,Students!$A:$C,3,FALSE)&amp;"")</f>
        <v/>
      </c>
    </row>
    <row r="736">
      <c r="A736" s="31" t="n">
        <v>46336.53125</v>
      </c>
      <c r="B736" s="32" t="inlineStr">
        <is>
          <t>Aria Ramirez</t>
        </is>
      </c>
      <c r="C736" s="32" t="inlineStr">
        <is>
          <t>Ava Ramirez</t>
        </is>
      </c>
      <c r="D736" s="33" t="n">
        <v>100</v>
      </c>
      <c r="E736" s="32" t="inlineStr">
        <is>
          <t>OneCause</t>
        </is>
      </c>
      <c r="F736" s="34">
        <f>IF(A736="","",IFERROR(INT(A736),"check date"))</f>
        <v/>
      </c>
      <c r="G736" s="35">
        <f>IF(B736="","",IFERROR(INDEX(Students!$A:$A,MATCH(TRIM(B736),Students!$A:$A,0)),"NOT ON LIST"))</f>
        <v/>
      </c>
      <c r="H736" s="35">
        <f>IF(OR(G736="",G736="NOT ON LIST"),"",VLOOKUP(G736,Students!$A:$C,2,FALSE))</f>
        <v/>
      </c>
      <c r="I736" s="35">
        <f>IF(OR(G736="",G736="NOT ON LIST"),"",VLOOKUP(G736,Students!$A:$C,3,FALSE)&amp;"")</f>
        <v/>
      </c>
    </row>
    <row r="737">
      <c r="A737" s="31" t="n">
        <v>46327.70833333334</v>
      </c>
      <c r="B737" s="32" t="inlineStr">
        <is>
          <t>Olivia Murphy</t>
        </is>
      </c>
      <c r="C737" s="32" t="inlineStr">
        <is>
          <t>Olivia Murphy</t>
        </is>
      </c>
      <c r="D737" s="33" t="n">
        <v>25</v>
      </c>
      <c r="E737" s="32" t="inlineStr">
        <is>
          <t>OneCause</t>
        </is>
      </c>
      <c r="F737" s="34">
        <f>IF(A737="","",IFERROR(INT(A737),"check date"))</f>
        <v/>
      </c>
      <c r="G737" s="35">
        <f>IF(B737="","",IFERROR(INDEX(Students!$A:$A,MATCH(TRIM(B737),Students!$A:$A,0)),"NOT ON LIST"))</f>
        <v/>
      </c>
      <c r="H737" s="35">
        <f>IF(OR(G737="",G737="NOT ON LIST"),"",VLOOKUP(G737,Students!$A:$C,2,FALSE))</f>
        <v/>
      </c>
      <c r="I737" s="35">
        <f>IF(OR(G737="",G737="NOT ON LIST"),"",VLOOKUP(G737,Students!$A:$C,3,FALSE)&amp;"")</f>
        <v/>
      </c>
    </row>
    <row r="738">
      <c r="A738" s="31" t="n">
        <v>46330.5</v>
      </c>
      <c r="B738" s="32" t="inlineStr">
        <is>
          <t>Aria Ramirez</t>
        </is>
      </c>
      <c r="C738" s="32" t="inlineStr">
        <is>
          <t>Amelia Ramirez</t>
        </is>
      </c>
      <c r="D738" s="33" t="n">
        <v>100</v>
      </c>
      <c r="E738" s="32" t="inlineStr">
        <is>
          <t>OneCause</t>
        </is>
      </c>
      <c r="F738" s="34">
        <f>IF(A738="","",IFERROR(INT(A738),"check date"))</f>
        <v/>
      </c>
      <c r="G738" s="35">
        <f>IF(B738="","",IFERROR(INDEX(Students!$A:$A,MATCH(TRIM(B738),Students!$A:$A,0)),"NOT ON LIST"))</f>
        <v/>
      </c>
      <c r="H738" s="35">
        <f>IF(OR(G738="",G738="NOT ON LIST"),"",VLOOKUP(G738,Students!$A:$C,2,FALSE))</f>
        <v/>
      </c>
      <c r="I738" s="35">
        <f>IF(OR(G738="",G738="NOT ON LIST"),"",VLOOKUP(G738,Students!$A:$C,3,FALSE)&amp;"")</f>
        <v/>
      </c>
    </row>
    <row r="739">
      <c r="A739" s="31" t="n">
        <v>46328.53125</v>
      </c>
      <c r="B739" s="32" t="inlineStr">
        <is>
          <t>Mateo Gutierrez</t>
        </is>
      </c>
      <c r="C739" s="32" t="inlineStr">
        <is>
          <t>Elena Gutierrez</t>
        </is>
      </c>
      <c r="D739" s="33" t="n">
        <v>20</v>
      </c>
      <c r="E739" s="32" t="inlineStr">
        <is>
          <t>OneCause</t>
        </is>
      </c>
      <c r="F739" s="34">
        <f>IF(A739="","",IFERROR(INT(A739),"check date"))</f>
        <v/>
      </c>
      <c r="G739" s="35">
        <f>IF(B739="","",IFERROR(INDEX(Students!$A:$A,MATCH(TRIM(B739),Students!$A:$A,0)),"NOT ON LIST"))</f>
        <v/>
      </c>
      <c r="H739" s="35">
        <f>IF(OR(G739="",G739="NOT ON LIST"),"",VLOOKUP(G739,Students!$A:$C,2,FALSE))</f>
        <v/>
      </c>
      <c r="I739" s="35">
        <f>IF(OR(G739="",G739="NOT ON LIST"),"",VLOOKUP(G739,Students!$A:$C,3,FALSE)&amp;"")</f>
        <v/>
      </c>
    </row>
    <row r="740">
      <c r="A740" s="31" t="n">
        <v>46338.32291666666</v>
      </c>
      <c r="B740" s="32" t="inlineStr">
        <is>
          <t>Chloe Williams</t>
        </is>
      </c>
      <c r="C740" s="32" t="inlineStr">
        <is>
          <t>Luna Williams</t>
        </is>
      </c>
      <c r="D740" s="33" t="n">
        <v>25</v>
      </c>
      <c r="E740" s="32" t="inlineStr">
        <is>
          <t>OneCause</t>
        </is>
      </c>
      <c r="F740" s="34">
        <f>IF(A740="","",IFERROR(INT(A740),"check date"))</f>
        <v/>
      </c>
      <c r="G740" s="35">
        <f>IF(B740="","",IFERROR(INDEX(Students!$A:$A,MATCH(TRIM(B740),Students!$A:$A,0)),"NOT ON LIST"))</f>
        <v/>
      </c>
      <c r="H740" s="35">
        <f>IF(OR(G740="",G740="NOT ON LIST"),"",VLOOKUP(G740,Students!$A:$C,2,FALSE))</f>
        <v/>
      </c>
      <c r="I740" s="35">
        <f>IF(OR(G740="",G740="NOT ON LIST"),"",VLOOKUP(G740,Students!$A:$C,3,FALSE)&amp;"")</f>
        <v/>
      </c>
    </row>
    <row r="741">
      <c r="A741" s="31" t="n">
        <v>46330.64583333334</v>
      </c>
      <c r="B741" s="32" t="inlineStr">
        <is>
          <t>Clara Murphy</t>
        </is>
      </c>
      <c r="C741" s="32" t="inlineStr">
        <is>
          <t>Benjamin Murphy</t>
        </is>
      </c>
      <c r="D741" s="33" t="n">
        <v>40</v>
      </c>
      <c r="E741" s="32" t="inlineStr">
        <is>
          <t>OneCause</t>
        </is>
      </c>
      <c r="F741" s="34">
        <f>IF(A741="","",IFERROR(INT(A741),"check date"))</f>
        <v/>
      </c>
      <c r="G741" s="35">
        <f>IF(B741="","",IFERROR(INDEX(Students!$A:$A,MATCH(TRIM(B741),Students!$A:$A,0)),"NOT ON LIST"))</f>
        <v/>
      </c>
      <c r="H741" s="35">
        <f>IF(OR(G741="",G741="NOT ON LIST"),"",VLOOKUP(G741,Students!$A:$C,2,FALSE))</f>
        <v/>
      </c>
      <c r="I741" s="35">
        <f>IF(OR(G741="",G741="NOT ON LIST"),"",VLOOKUP(G741,Students!$A:$C,3,FALSE)&amp;"")</f>
        <v/>
      </c>
    </row>
    <row r="742">
      <c r="A742" s="31" t="n">
        <v>46329.76041666666</v>
      </c>
      <c r="B742" s="32" t="inlineStr">
        <is>
          <t>Evelyn Chavez</t>
        </is>
      </c>
      <c r="C742" s="32" t="inlineStr">
        <is>
          <t>Ella Chavez</t>
        </is>
      </c>
      <c r="D742" s="33" t="n">
        <v>50</v>
      </c>
      <c r="E742" s="32" t="inlineStr">
        <is>
          <t>OneCause</t>
        </is>
      </c>
      <c r="F742" s="34">
        <f>IF(A742="","",IFERROR(INT(A742),"check date"))</f>
        <v/>
      </c>
      <c r="G742" s="35">
        <f>IF(B742="","",IFERROR(INDEX(Students!$A:$A,MATCH(TRIM(B742),Students!$A:$A,0)),"NOT ON LIST"))</f>
        <v/>
      </c>
      <c r="H742" s="35">
        <f>IF(OR(G742="",G742="NOT ON LIST"),"",VLOOKUP(G742,Students!$A:$C,2,FALSE))</f>
        <v/>
      </c>
      <c r="I742" s="35">
        <f>IF(OR(G742="",G742="NOT ON LIST"),"",VLOOKUP(G742,Students!$A:$C,3,FALSE)&amp;"")</f>
        <v/>
      </c>
    </row>
    <row r="743">
      <c r="A743" s="31" t="n">
        <v>46335.34375</v>
      </c>
      <c r="B743" s="32" t="inlineStr">
        <is>
          <t>Amelia Sullivan</t>
        </is>
      </c>
      <c r="C743" s="32" t="inlineStr">
        <is>
          <t>Ella Sullivan</t>
        </is>
      </c>
      <c r="D743" s="33" t="n">
        <v>25</v>
      </c>
      <c r="E743" s="32" t="inlineStr">
        <is>
          <t>OneCause</t>
        </is>
      </c>
      <c r="F743" s="34">
        <f>IF(A743="","",IFERROR(INT(A743),"check date"))</f>
        <v/>
      </c>
      <c r="G743" s="35">
        <f>IF(B743="","",IFERROR(INDEX(Students!$A:$A,MATCH(TRIM(B743),Students!$A:$A,0)),"NOT ON LIST"))</f>
        <v/>
      </c>
      <c r="H743" s="35">
        <f>IF(OR(G743="",G743="NOT ON LIST"),"",VLOOKUP(G743,Students!$A:$C,2,FALSE))</f>
        <v/>
      </c>
      <c r="I743" s="35">
        <f>IF(OR(G743="",G743="NOT ON LIST"),"",VLOOKUP(G743,Students!$A:$C,3,FALSE)&amp;"")</f>
        <v/>
      </c>
    </row>
    <row r="744">
      <c r="A744" s="31" t="n">
        <v>46339.39583333334</v>
      </c>
      <c r="B744" s="32" t="inlineStr">
        <is>
          <t>Adrian Hernandez</t>
        </is>
      </c>
      <c r="C744" s="32" t="inlineStr">
        <is>
          <t>Amelia Hernandez</t>
        </is>
      </c>
      <c r="D744" s="33" t="n">
        <v>100</v>
      </c>
      <c r="E744" s="32" t="inlineStr">
        <is>
          <t>OneCause</t>
        </is>
      </c>
      <c r="F744" s="34">
        <f>IF(A744="","",IFERROR(INT(A744),"check date"))</f>
        <v/>
      </c>
      <c r="G744" s="35">
        <f>IF(B744="","",IFERROR(INDEX(Students!$A:$A,MATCH(TRIM(B744),Students!$A:$A,0)),"NOT ON LIST"))</f>
        <v/>
      </c>
      <c r="H744" s="35">
        <f>IF(OR(G744="",G744="NOT ON LIST"),"",VLOOKUP(G744,Students!$A:$C,2,FALSE))</f>
        <v/>
      </c>
      <c r="I744" s="35">
        <f>IF(OR(G744="",G744="NOT ON LIST"),"",VLOOKUP(G744,Students!$A:$C,3,FALSE)&amp;"")</f>
        <v/>
      </c>
    </row>
    <row r="745">
      <c r="A745" s="31" t="n">
        <v>46327.65625</v>
      </c>
      <c r="B745" s="32" t="inlineStr">
        <is>
          <t>Joseph Perez</t>
        </is>
      </c>
      <c r="C745" s="32" t="inlineStr">
        <is>
          <t>Thomas Perez</t>
        </is>
      </c>
      <c r="D745" s="33" t="n">
        <v>75</v>
      </c>
      <c r="E745" s="32" t="inlineStr">
        <is>
          <t>OneCause</t>
        </is>
      </c>
      <c r="F745" s="34">
        <f>IF(A745="","",IFERROR(INT(A745),"check date"))</f>
        <v/>
      </c>
      <c r="G745" s="35">
        <f>IF(B745="","",IFERROR(INDEX(Students!$A:$A,MATCH(TRIM(B745),Students!$A:$A,0)),"NOT ON LIST"))</f>
        <v/>
      </c>
      <c r="H745" s="35">
        <f>IF(OR(G745="",G745="NOT ON LIST"),"",VLOOKUP(G745,Students!$A:$C,2,FALSE))</f>
        <v/>
      </c>
      <c r="I745" s="35">
        <f>IF(OR(G745="",G745="NOT ON LIST"),"",VLOOKUP(G745,Students!$A:$C,3,FALSE)&amp;"")</f>
        <v/>
      </c>
    </row>
    <row r="746">
      <c r="A746" s="31" t="n">
        <v>46328.41666666666</v>
      </c>
      <c r="B746" s="32" t="inlineStr">
        <is>
          <t>Unknown Kiddo</t>
        </is>
      </c>
      <c r="C746" s="32" t="inlineStr">
        <is>
          <t>Mystery Donor</t>
        </is>
      </c>
      <c r="D746" s="33" t="n">
        <v>40</v>
      </c>
      <c r="E746" s="32" t="inlineStr">
        <is>
          <t>OneCause</t>
        </is>
      </c>
      <c r="F746" s="34">
        <f>IF(A746="","",IFERROR(INT(A746),"check date"))</f>
        <v/>
      </c>
      <c r="G746" s="35">
        <f>IF(B746="","",IFERROR(INDEX(Students!$A:$A,MATCH(TRIM(B746),Students!$A:$A,0)),"NOT ON LIST"))</f>
        <v/>
      </c>
      <c r="H746" s="35">
        <f>IF(OR(G746="",G746="NOT ON LIST"),"",VLOOKUP(G746,Students!$A:$C,2,FALSE))</f>
        <v/>
      </c>
      <c r="I746" s="35">
        <f>IF(OR(G746="",G746="NOT ON LIST"),"",VLOOKUP(G746,Students!$A:$C,3,FALSE)&amp;"")</f>
        <v/>
      </c>
    </row>
    <row r="747">
      <c r="A747" s="31" t="n">
        <v>46333.41666666666</v>
      </c>
      <c r="B747" s="32" t="inlineStr">
        <is>
          <t>Mateo Gutierrez</t>
        </is>
      </c>
      <c r="C747" s="32" t="inlineStr">
        <is>
          <t>Olivia Gutierrez</t>
        </is>
      </c>
      <c r="D747" s="33" t="n">
        <v>20</v>
      </c>
      <c r="E747" s="32" t="inlineStr">
        <is>
          <t>OneCause</t>
        </is>
      </c>
      <c r="F747" s="34">
        <f>IF(A747="","",IFERROR(INT(A747),"check date"))</f>
        <v/>
      </c>
      <c r="G747" s="35">
        <f>IF(B747="","",IFERROR(INDEX(Students!$A:$A,MATCH(TRIM(B747),Students!$A:$A,0)),"NOT ON LIST"))</f>
        <v/>
      </c>
      <c r="H747" s="35">
        <f>IF(OR(G747="",G747="NOT ON LIST"),"",VLOOKUP(G747,Students!$A:$C,2,FALSE))</f>
        <v/>
      </c>
      <c r="I747" s="35">
        <f>IF(OR(G747="",G747="NOT ON LIST"),"",VLOOKUP(G747,Students!$A:$C,3,FALSE)&amp;"")</f>
        <v/>
      </c>
    </row>
    <row r="748">
      <c r="A748" s="31" t="n">
        <v>46330.5625</v>
      </c>
      <c r="B748" s="32" t="inlineStr">
        <is>
          <t>Mateo Diaz</t>
        </is>
      </c>
      <c r="C748" s="32" t="inlineStr">
        <is>
          <t>Thomas Diaz</t>
        </is>
      </c>
      <c r="D748" s="33" t="n">
        <v>10</v>
      </c>
      <c r="E748" s="32" t="inlineStr">
        <is>
          <t>OneCause</t>
        </is>
      </c>
      <c r="F748" s="34">
        <f>IF(A748="","",IFERROR(INT(A748),"check date"))</f>
        <v/>
      </c>
      <c r="G748" s="35">
        <f>IF(B748="","",IFERROR(INDEX(Students!$A:$A,MATCH(TRIM(B748),Students!$A:$A,0)),"NOT ON LIST"))</f>
        <v/>
      </c>
      <c r="H748" s="35">
        <f>IF(OR(G748="",G748="NOT ON LIST"),"",VLOOKUP(G748,Students!$A:$C,2,FALSE))</f>
        <v/>
      </c>
      <c r="I748" s="35">
        <f>IF(OR(G748="",G748="NOT ON LIST"),"",VLOOKUP(G748,Students!$A:$C,3,FALSE)&amp;"")</f>
        <v/>
      </c>
    </row>
    <row r="749">
      <c r="A749" s="31" t="n">
        <v>46335.41666666666</v>
      </c>
      <c r="B749" s="32" t="inlineStr">
        <is>
          <t>Joseph Mendoza</t>
        </is>
      </c>
      <c r="C749" s="32" t="inlineStr">
        <is>
          <t>Evelyn Mendoza</t>
        </is>
      </c>
      <c r="D749" s="33" t="n">
        <v>100</v>
      </c>
      <c r="E749" s="32" t="inlineStr">
        <is>
          <t>OneCause</t>
        </is>
      </c>
      <c r="F749" s="34">
        <f>IF(A749="","",IFERROR(INT(A749),"check date"))</f>
        <v/>
      </c>
      <c r="G749" s="35">
        <f>IF(B749="","",IFERROR(INDEX(Students!$A:$A,MATCH(TRIM(B749),Students!$A:$A,0)),"NOT ON LIST"))</f>
        <v/>
      </c>
      <c r="H749" s="35">
        <f>IF(OR(G749="",G749="NOT ON LIST"),"",VLOOKUP(G749,Students!$A:$C,2,FALSE))</f>
        <v/>
      </c>
      <c r="I749" s="35">
        <f>IF(OR(G749="",G749="NOT ON LIST"),"",VLOOKUP(G749,Students!$A:$C,3,FALSE)&amp;"")</f>
        <v/>
      </c>
    </row>
    <row r="750">
      <c r="A750" s="31" t="n">
        <v>46332.5</v>
      </c>
      <c r="B750" s="32" t="inlineStr">
        <is>
          <t>Zoe Ortiz</t>
        </is>
      </c>
      <c r="C750" s="32" t="inlineStr">
        <is>
          <t>Elena Ortiz</t>
        </is>
      </c>
      <c r="D750" s="33" t="n">
        <v>25</v>
      </c>
      <c r="E750" s="32" t="inlineStr">
        <is>
          <t>OneCause</t>
        </is>
      </c>
      <c r="F750" s="34">
        <f>IF(A750="","",IFERROR(INT(A750),"check date"))</f>
        <v/>
      </c>
      <c r="G750" s="35">
        <f>IF(B750="","",IFERROR(INDEX(Students!$A:$A,MATCH(TRIM(B750),Students!$A:$A,0)),"NOT ON LIST"))</f>
        <v/>
      </c>
      <c r="H750" s="35">
        <f>IF(OR(G750="",G750="NOT ON LIST"),"",VLOOKUP(G750,Students!$A:$C,2,FALSE))</f>
        <v/>
      </c>
      <c r="I750" s="35">
        <f>IF(OR(G750="",G750="NOT ON LIST"),"",VLOOKUP(G750,Students!$A:$C,3,FALSE)&amp;"")</f>
        <v/>
      </c>
    </row>
    <row r="751">
      <c r="A751" s="31" t="n">
        <v>46332.72916666666</v>
      </c>
      <c r="B751" s="32" t="inlineStr">
        <is>
          <t>Mateo Sullivan</t>
        </is>
      </c>
      <c r="C751" s="32" t="inlineStr">
        <is>
          <t>David Sullivan</t>
        </is>
      </c>
      <c r="D751" s="33" t="n">
        <v>25</v>
      </c>
      <c r="E751" s="32" t="inlineStr">
        <is>
          <t>OneCause</t>
        </is>
      </c>
      <c r="F751" s="34">
        <f>IF(A751="","",IFERROR(INT(A751),"check date"))</f>
        <v/>
      </c>
      <c r="G751" s="35">
        <f>IF(B751="","",IFERROR(INDEX(Students!$A:$A,MATCH(TRIM(B751),Students!$A:$A,0)),"NOT ON LIST"))</f>
        <v/>
      </c>
      <c r="H751" s="35">
        <f>IF(OR(G751="",G751="NOT ON LIST"),"",VLOOKUP(G751,Students!$A:$C,2,FALSE))</f>
        <v/>
      </c>
      <c r="I751" s="35">
        <f>IF(OR(G751="",G751="NOT ON LIST"),"",VLOOKUP(G751,Students!$A:$C,3,FALSE)&amp;"")</f>
        <v/>
      </c>
    </row>
    <row r="752">
      <c r="A752" s="31" t="n">
        <v>46325.42708333334</v>
      </c>
      <c r="B752" s="32" t="inlineStr">
        <is>
          <t>Sofia Williams</t>
        </is>
      </c>
      <c r="C752" s="32" t="inlineStr">
        <is>
          <t>Grace Williams</t>
        </is>
      </c>
      <c r="D752" s="33" t="n">
        <v>25</v>
      </c>
      <c r="E752" s="32" t="inlineStr">
        <is>
          <t>OneCause</t>
        </is>
      </c>
      <c r="F752" s="34">
        <f>IF(A752="","",IFERROR(INT(A752),"check date"))</f>
        <v/>
      </c>
      <c r="G752" s="35">
        <f>IF(B752="","",IFERROR(INDEX(Students!$A:$A,MATCH(TRIM(B752),Students!$A:$A,0)),"NOT ON LIST"))</f>
        <v/>
      </c>
      <c r="H752" s="35">
        <f>IF(OR(G752="",G752="NOT ON LIST"),"",VLOOKUP(G752,Students!$A:$C,2,FALSE))</f>
        <v/>
      </c>
      <c r="I752" s="35">
        <f>IF(OR(G752="",G752="NOT ON LIST"),"",VLOOKUP(G752,Students!$A:$C,3,FALSE)&amp;"")</f>
        <v/>
      </c>
    </row>
    <row r="753">
      <c r="A753" s="31" t="n">
        <v>46339.57291666666</v>
      </c>
      <c r="B753" s="32" t="inlineStr">
        <is>
          <t>Ava Brown</t>
        </is>
      </c>
      <c r="C753" s="32" t="inlineStr">
        <is>
          <t>Isabella Brown</t>
        </is>
      </c>
      <c r="D753" s="33" t="n">
        <v>25</v>
      </c>
      <c r="E753" s="32" t="inlineStr">
        <is>
          <t>OneCause</t>
        </is>
      </c>
      <c r="F753" s="34">
        <f>IF(A753="","",IFERROR(INT(A753),"check date"))</f>
        <v/>
      </c>
      <c r="G753" s="35">
        <f>IF(B753="","",IFERROR(INDEX(Students!$A:$A,MATCH(TRIM(B753),Students!$A:$A,0)),"NOT ON LIST"))</f>
        <v/>
      </c>
      <c r="H753" s="35">
        <f>IF(OR(G753="",G753="NOT ON LIST"),"",VLOOKUP(G753,Students!$A:$C,2,FALSE))</f>
        <v/>
      </c>
      <c r="I753" s="35">
        <f>IF(OR(G753="",G753="NOT ON LIST"),"",VLOOKUP(G753,Students!$A:$C,3,FALSE)&amp;"")</f>
        <v/>
      </c>
    </row>
    <row r="754">
      <c r="A754" s="31" t="n">
        <v>46338.85416666666</v>
      </c>
      <c r="B754" s="32" t="inlineStr">
        <is>
          <t>Zoe Rivera</t>
        </is>
      </c>
      <c r="C754" s="32" t="inlineStr">
        <is>
          <t>Diego Rivera</t>
        </is>
      </c>
      <c r="D754" s="33" t="n">
        <v>20</v>
      </c>
      <c r="E754" s="32" t="inlineStr">
        <is>
          <t>OneCause</t>
        </is>
      </c>
      <c r="F754" s="34">
        <f>IF(A754="","",IFERROR(INT(A754),"check date"))</f>
        <v/>
      </c>
      <c r="G754" s="35">
        <f>IF(B754="","",IFERROR(INDEX(Students!$A:$A,MATCH(TRIM(B754),Students!$A:$A,0)),"NOT ON LIST"))</f>
        <v/>
      </c>
      <c r="H754" s="35">
        <f>IF(OR(G754="",G754="NOT ON LIST"),"",VLOOKUP(G754,Students!$A:$C,2,FALSE))</f>
        <v/>
      </c>
      <c r="I754" s="35">
        <f>IF(OR(G754="",G754="NOT ON LIST"),"",VLOOKUP(G754,Students!$A:$C,3,FALSE)&amp;"")</f>
        <v/>
      </c>
    </row>
    <row r="755">
      <c r="A755" s="31" t="n">
        <v>46338.70833333334</v>
      </c>
      <c r="B755" s="32" t="inlineStr">
        <is>
          <t>Thomas Cruz</t>
        </is>
      </c>
      <c r="C755" s="32" t="inlineStr">
        <is>
          <t>Camila Cruz</t>
        </is>
      </c>
      <c r="D755" s="33" t="n">
        <v>40</v>
      </c>
      <c r="E755" s="32" t="inlineStr">
        <is>
          <t>OneCause</t>
        </is>
      </c>
      <c r="F755" s="34">
        <f>IF(A755="","",IFERROR(INT(A755),"check date"))</f>
        <v/>
      </c>
      <c r="G755" s="35">
        <f>IF(B755="","",IFERROR(INDEX(Students!$A:$A,MATCH(TRIM(B755),Students!$A:$A,0)),"NOT ON LIST"))</f>
        <v/>
      </c>
      <c r="H755" s="35">
        <f>IF(OR(G755="",G755="NOT ON LIST"),"",VLOOKUP(G755,Students!$A:$C,2,FALSE))</f>
        <v/>
      </c>
      <c r="I755" s="35">
        <f>IF(OR(G755="",G755="NOT ON LIST"),"",VLOOKUP(G755,Students!$A:$C,3,FALSE)&amp;"")</f>
        <v/>
      </c>
    </row>
    <row r="756">
      <c r="A756" s="31" t="n">
        <v>46329.33333333334</v>
      </c>
      <c r="B756" s="32" t="inlineStr">
        <is>
          <t>Clara Garcia</t>
        </is>
      </c>
      <c r="C756" s="32" t="inlineStr">
        <is>
          <t>Ava Garcia</t>
        </is>
      </c>
      <c r="D756" s="33" t="n">
        <v>75</v>
      </c>
      <c r="E756" s="32" t="inlineStr">
        <is>
          <t>OneCause</t>
        </is>
      </c>
      <c r="F756" s="34">
        <f>IF(A756="","",IFERROR(INT(A756),"check date"))</f>
        <v/>
      </c>
      <c r="G756" s="35">
        <f>IF(B756="","",IFERROR(INDEX(Students!$A:$A,MATCH(TRIM(B756),Students!$A:$A,0)),"NOT ON LIST"))</f>
        <v/>
      </c>
      <c r="H756" s="35">
        <f>IF(OR(G756="",G756="NOT ON LIST"),"",VLOOKUP(G756,Students!$A:$C,2,FALSE))</f>
        <v/>
      </c>
      <c r="I756" s="35">
        <f>IF(OR(G756="",G756="NOT ON LIST"),"",VLOOKUP(G756,Students!$A:$C,3,FALSE)&amp;"")</f>
        <v/>
      </c>
    </row>
    <row r="757">
      <c r="A757" s="31" t="n">
        <v>46327.77083333334</v>
      </c>
      <c r="B757" s="32" t="inlineStr">
        <is>
          <t>Liam Ortiz</t>
        </is>
      </c>
      <c r="C757" s="32" t="inlineStr">
        <is>
          <t>Elijah Ortiz</t>
        </is>
      </c>
      <c r="D757" s="33" t="n">
        <v>100</v>
      </c>
      <c r="E757" s="32" t="inlineStr">
        <is>
          <t>OneCause</t>
        </is>
      </c>
      <c r="F757" s="34">
        <f>IF(A757="","",IFERROR(INT(A757),"check date"))</f>
        <v/>
      </c>
      <c r="G757" s="35">
        <f>IF(B757="","",IFERROR(INDEX(Students!$A:$A,MATCH(TRIM(B757),Students!$A:$A,0)),"NOT ON LIST"))</f>
        <v/>
      </c>
      <c r="H757" s="35">
        <f>IF(OR(G757="",G757="NOT ON LIST"),"",VLOOKUP(G757,Students!$A:$C,2,FALSE))</f>
        <v/>
      </c>
      <c r="I757" s="35">
        <f>IF(OR(G757="",G757="NOT ON LIST"),"",VLOOKUP(G757,Students!$A:$C,3,FALSE)&amp;"")</f>
        <v/>
      </c>
    </row>
    <row r="758">
      <c r="A758" s="31" t="n">
        <v>46327.5625</v>
      </c>
      <c r="B758" s="32" t="inlineStr">
        <is>
          <t>Evelyn Ortiz</t>
        </is>
      </c>
      <c r="C758" s="32" t="inlineStr">
        <is>
          <t>James Ortiz</t>
        </is>
      </c>
      <c r="D758" s="33" t="n">
        <v>20</v>
      </c>
      <c r="E758" s="32" t="inlineStr">
        <is>
          <t>OneCause</t>
        </is>
      </c>
      <c r="F758" s="34">
        <f>IF(A758="","",IFERROR(INT(A758),"check date"))</f>
        <v/>
      </c>
      <c r="G758" s="35">
        <f>IF(B758="","",IFERROR(INDEX(Students!$A:$A,MATCH(TRIM(B758),Students!$A:$A,0)),"NOT ON LIST"))</f>
        <v/>
      </c>
      <c r="H758" s="35">
        <f>IF(OR(G758="",G758="NOT ON LIST"),"",VLOOKUP(G758,Students!$A:$C,2,FALSE))</f>
        <v/>
      </c>
      <c r="I758" s="35">
        <f>IF(OR(G758="",G758="NOT ON LIST"),"",VLOOKUP(G758,Students!$A:$C,3,FALSE)&amp;"")</f>
        <v/>
      </c>
    </row>
    <row r="759">
      <c r="A759" s="31" t="n">
        <v>46338.4375</v>
      </c>
      <c r="B759" s="32" t="inlineStr">
        <is>
          <t>Ella Gutierrez</t>
        </is>
      </c>
      <c r="C759" s="32" t="inlineStr">
        <is>
          <t>Diego Gutierrez</t>
        </is>
      </c>
      <c r="D759" s="33" t="n">
        <v>10</v>
      </c>
      <c r="E759" s="32" t="inlineStr">
        <is>
          <t>OneCause</t>
        </is>
      </c>
      <c r="F759" s="34">
        <f>IF(A759="","",IFERROR(INT(A759),"check date"))</f>
        <v/>
      </c>
      <c r="G759" s="35">
        <f>IF(B759="","",IFERROR(INDEX(Students!$A:$A,MATCH(TRIM(B759),Students!$A:$A,0)),"NOT ON LIST"))</f>
        <v/>
      </c>
      <c r="H759" s="35">
        <f>IF(OR(G759="",G759="NOT ON LIST"),"",VLOOKUP(G759,Students!$A:$C,2,FALSE))</f>
        <v/>
      </c>
      <c r="I759" s="35">
        <f>IF(OR(G759="",G759="NOT ON LIST"),"",VLOOKUP(G759,Students!$A:$C,3,FALSE)&amp;"")</f>
        <v/>
      </c>
    </row>
    <row r="760">
      <c r="A760" s="31" t="n">
        <v>46338.42708333334</v>
      </c>
      <c r="B760" s="32" t="inlineStr">
        <is>
          <t>Lucas Ruiz</t>
        </is>
      </c>
      <c r="C760" s="32" t="inlineStr">
        <is>
          <t>David Ruiz</t>
        </is>
      </c>
      <c r="D760" s="33" t="n">
        <v>100</v>
      </c>
      <c r="E760" s="32" t="inlineStr">
        <is>
          <t>OneCause</t>
        </is>
      </c>
      <c r="F760" s="34">
        <f>IF(A760="","",IFERROR(INT(A760),"check date"))</f>
        <v/>
      </c>
      <c r="G760" s="35">
        <f>IF(B760="","",IFERROR(INDEX(Students!$A:$A,MATCH(TRIM(B760),Students!$A:$A,0)),"NOT ON LIST"))</f>
        <v/>
      </c>
      <c r="H760" s="35">
        <f>IF(OR(G760="",G760="NOT ON LIST"),"",VLOOKUP(G760,Students!$A:$C,2,FALSE))</f>
        <v/>
      </c>
      <c r="I760" s="35">
        <f>IF(OR(G760="",G760="NOT ON LIST"),"",VLOOKUP(G760,Students!$A:$C,3,FALSE)&amp;"")</f>
        <v/>
      </c>
    </row>
    <row r="761">
      <c r="A761" s="31" t="n">
        <v>46330</v>
      </c>
      <c r="B761" s="32" t="inlineStr">
        <is>
          <t>Julian Lopez</t>
        </is>
      </c>
      <c r="C761" s="32" t="inlineStr">
        <is>
          <t>Henry Lopez</t>
        </is>
      </c>
      <c r="D761" s="33" t="n">
        <v>100</v>
      </c>
      <c r="E761" s="32" t="inlineStr">
        <is>
          <t>Check</t>
        </is>
      </c>
      <c r="F761" s="34">
        <f>IF(A761="","",IFERROR(INT(A761),"check date"))</f>
        <v/>
      </c>
      <c r="G761" s="35">
        <f>IF(B761="","",IFERROR(INDEX(Students!$A:$A,MATCH(TRIM(B761),Students!$A:$A,0)),"NOT ON LIST"))</f>
        <v/>
      </c>
      <c r="H761" s="35">
        <f>IF(OR(G761="",G761="NOT ON LIST"),"",VLOOKUP(G761,Students!$A:$C,2,FALSE))</f>
        <v/>
      </c>
      <c r="I761" s="35">
        <f>IF(OR(G761="",G761="NOT ON LIST"),"",VLOOKUP(G761,Students!$A:$C,3,FALSE)&amp;"")</f>
        <v/>
      </c>
    </row>
    <row r="762">
      <c r="A762" s="31" t="n">
        <v>46330.29166666666</v>
      </c>
      <c r="B762" s="32" t="inlineStr">
        <is>
          <t>Mateo Diaz</t>
        </is>
      </c>
      <c r="C762" s="32" t="inlineStr">
        <is>
          <t>Lucas Diaz</t>
        </is>
      </c>
      <c r="D762" s="33" t="n">
        <v>50</v>
      </c>
      <c r="E762" s="32" t="inlineStr">
        <is>
          <t>OneCause</t>
        </is>
      </c>
      <c r="F762" s="34">
        <f>IF(A762="","",IFERROR(INT(A762),"check date"))</f>
        <v/>
      </c>
      <c r="G762" s="35">
        <f>IF(B762="","",IFERROR(INDEX(Students!$A:$A,MATCH(TRIM(B762),Students!$A:$A,0)),"NOT ON LIST"))</f>
        <v/>
      </c>
      <c r="H762" s="35">
        <f>IF(OR(G762="",G762="NOT ON LIST"),"",VLOOKUP(G762,Students!$A:$C,2,FALSE))</f>
        <v/>
      </c>
      <c r="I762" s="35">
        <f>IF(OR(G762="",G762="NOT ON LIST"),"",VLOOKUP(G762,Students!$A:$C,3,FALSE)&amp;"")</f>
        <v/>
      </c>
    </row>
    <row r="763">
      <c r="A763" s="31" t="n">
        <v>46337.40625</v>
      </c>
      <c r="B763" s="32" t="inlineStr">
        <is>
          <t>Nicolas Brown</t>
        </is>
      </c>
      <c r="C763" s="32" t="inlineStr">
        <is>
          <t>Nicolas Brown</t>
        </is>
      </c>
      <c r="D763" s="33" t="n">
        <v>20</v>
      </c>
      <c r="E763" s="32" t="inlineStr">
        <is>
          <t>OneCause</t>
        </is>
      </c>
      <c r="F763" s="34">
        <f>IF(A763="","",IFERROR(INT(A763),"check date"))</f>
        <v/>
      </c>
      <c r="G763" s="35">
        <f>IF(B763="","",IFERROR(INDEX(Students!$A:$A,MATCH(TRIM(B763),Students!$A:$A,0)),"NOT ON LIST"))</f>
        <v/>
      </c>
      <c r="H763" s="35">
        <f>IF(OR(G763="",G763="NOT ON LIST"),"",VLOOKUP(G763,Students!$A:$C,2,FALSE))</f>
        <v/>
      </c>
      <c r="I763" s="35">
        <f>IF(OR(G763="",G763="NOT ON LIST"),"",VLOOKUP(G763,Students!$A:$C,3,FALSE)&amp;"")</f>
        <v/>
      </c>
    </row>
    <row r="764">
      <c r="A764" s="31" t="n">
        <v>46326.86458333334</v>
      </c>
      <c r="B764" s="32" t="inlineStr">
        <is>
          <t>Gabriel Chavez</t>
        </is>
      </c>
      <c r="C764" s="32" t="inlineStr">
        <is>
          <t>Ella Chavez</t>
        </is>
      </c>
      <c r="D764" s="33" t="n">
        <v>25</v>
      </c>
      <c r="E764" s="32" t="inlineStr">
        <is>
          <t>OneCause</t>
        </is>
      </c>
      <c r="F764" s="34">
        <f>IF(A764="","",IFERROR(INT(A764),"check date"))</f>
        <v/>
      </c>
      <c r="G764" s="35">
        <f>IF(B764="","",IFERROR(INDEX(Students!$A:$A,MATCH(TRIM(B764),Students!$A:$A,0)),"NOT ON LIST"))</f>
        <v/>
      </c>
      <c r="H764" s="35">
        <f>IF(OR(G764="",G764="NOT ON LIST"),"",VLOOKUP(G764,Students!$A:$C,2,FALSE))</f>
        <v/>
      </c>
      <c r="I764" s="35">
        <f>IF(OR(G764="",G764="NOT ON LIST"),"",VLOOKUP(G764,Students!$A:$C,3,FALSE)&amp;"")</f>
        <v/>
      </c>
    </row>
    <row r="765">
      <c r="A765" s="31" t="n">
        <v>46330.85416666666</v>
      </c>
      <c r="B765" s="32" t="inlineStr">
        <is>
          <t>Adrian Nguyen</t>
        </is>
      </c>
      <c r="C765" s="32" t="inlineStr">
        <is>
          <t>Ella Nguyen</t>
        </is>
      </c>
      <c r="D765" s="33" t="n">
        <v>10</v>
      </c>
      <c r="E765" s="32" t="inlineStr">
        <is>
          <t>OneCause</t>
        </is>
      </c>
      <c r="F765" s="34">
        <f>IF(A765="","",IFERROR(INT(A765),"check date"))</f>
        <v/>
      </c>
      <c r="G765" s="35">
        <f>IF(B765="","",IFERROR(INDEX(Students!$A:$A,MATCH(TRIM(B765),Students!$A:$A,0)),"NOT ON LIST"))</f>
        <v/>
      </c>
      <c r="H765" s="35">
        <f>IF(OR(G765="",G765="NOT ON LIST"),"",VLOOKUP(G765,Students!$A:$C,2,FALSE))</f>
        <v/>
      </c>
      <c r="I765" s="35">
        <f>IF(OR(G765="",G765="NOT ON LIST"),"",VLOOKUP(G765,Students!$A:$C,3,FALSE)&amp;"")</f>
        <v/>
      </c>
    </row>
    <row r="766">
      <c r="A766" s="31" t="n">
        <v>46336.46875</v>
      </c>
      <c r="B766" s="32" t="inlineStr">
        <is>
          <t>Thomas Ortiz</t>
        </is>
      </c>
      <c r="C766" s="32" t="inlineStr">
        <is>
          <t>Nicolas Ortiz</t>
        </is>
      </c>
      <c r="D766" s="33" t="n">
        <v>75</v>
      </c>
      <c r="E766" s="32" t="inlineStr">
        <is>
          <t>OneCause</t>
        </is>
      </c>
      <c r="F766" s="34">
        <f>IF(A766="","",IFERROR(INT(A766),"check date"))</f>
        <v/>
      </c>
      <c r="G766" s="35">
        <f>IF(B766="","",IFERROR(INDEX(Students!$A:$A,MATCH(TRIM(B766),Students!$A:$A,0)),"NOT ON LIST"))</f>
        <v/>
      </c>
      <c r="H766" s="35">
        <f>IF(OR(G766="",G766="NOT ON LIST"),"",VLOOKUP(G766,Students!$A:$C,2,FALSE))</f>
        <v/>
      </c>
      <c r="I766" s="35">
        <f>IF(OR(G766="",G766="NOT ON LIST"),"",VLOOKUP(G766,Students!$A:$C,3,FALSE)&amp;"")</f>
        <v/>
      </c>
    </row>
    <row r="767">
      <c r="A767" s="31" t="n">
        <v>46328.46875</v>
      </c>
      <c r="B767" s="32" t="inlineStr">
        <is>
          <t>Zoe Hernandez</t>
        </is>
      </c>
      <c r="C767" s="32" t="inlineStr">
        <is>
          <t>Samuel Hernandez</t>
        </is>
      </c>
      <c r="D767" s="33" t="n">
        <v>20</v>
      </c>
      <c r="E767" s="32" t="inlineStr">
        <is>
          <t>OneCause</t>
        </is>
      </c>
      <c r="F767" s="34">
        <f>IF(A767="","",IFERROR(INT(A767),"check date"))</f>
        <v/>
      </c>
      <c r="G767" s="35">
        <f>IF(B767="","",IFERROR(INDEX(Students!$A:$A,MATCH(TRIM(B767),Students!$A:$A,0)),"NOT ON LIST"))</f>
        <v/>
      </c>
      <c r="H767" s="35">
        <f>IF(OR(G767="",G767="NOT ON LIST"),"",VLOOKUP(G767,Students!$A:$C,2,FALSE))</f>
        <v/>
      </c>
      <c r="I767" s="35">
        <f>IF(OR(G767="",G767="NOT ON LIST"),"",VLOOKUP(G767,Students!$A:$C,3,FALSE)&amp;"")</f>
        <v/>
      </c>
    </row>
    <row r="768">
      <c r="A768" s="31" t="n">
        <v>46328.45833333334</v>
      </c>
      <c r="B768" s="32" t="inlineStr">
        <is>
          <t>Chloe Diaz</t>
        </is>
      </c>
      <c r="C768" s="32" t="inlineStr">
        <is>
          <t>Lily Diaz</t>
        </is>
      </c>
      <c r="D768" s="33" t="n">
        <v>150</v>
      </c>
      <c r="E768" s="32" t="inlineStr">
        <is>
          <t>OneCause</t>
        </is>
      </c>
      <c r="F768" s="34">
        <f>IF(A768="","",IFERROR(INT(A768),"check date"))</f>
        <v/>
      </c>
      <c r="G768" s="35">
        <f>IF(B768="","",IFERROR(INDEX(Students!$A:$A,MATCH(TRIM(B768),Students!$A:$A,0)),"NOT ON LIST"))</f>
        <v/>
      </c>
      <c r="H768" s="35">
        <f>IF(OR(G768="",G768="NOT ON LIST"),"",VLOOKUP(G768,Students!$A:$C,2,FALSE))</f>
        <v/>
      </c>
      <c r="I768" s="35">
        <f>IF(OR(G768="",G768="NOT ON LIST"),"",VLOOKUP(G768,Students!$A:$C,3,FALSE)&amp;"")</f>
        <v/>
      </c>
    </row>
    <row r="769">
      <c r="A769" s="31" t="n">
        <v>46332.3125</v>
      </c>
      <c r="B769" s="32" t="inlineStr">
        <is>
          <t>Julian Sullivan</t>
        </is>
      </c>
      <c r="C769" s="32" t="inlineStr">
        <is>
          <t>Samuel Sullivan</t>
        </is>
      </c>
      <c r="D769" s="33" t="n">
        <v>100</v>
      </c>
      <c r="E769" s="32" t="inlineStr">
        <is>
          <t>OneCause</t>
        </is>
      </c>
      <c r="F769" s="34">
        <f>IF(A769="","",IFERROR(INT(A769),"check date"))</f>
        <v/>
      </c>
      <c r="G769" s="35">
        <f>IF(B769="","",IFERROR(INDEX(Students!$A:$A,MATCH(TRIM(B769),Students!$A:$A,0)),"NOT ON LIST"))</f>
        <v/>
      </c>
      <c r="H769" s="35">
        <f>IF(OR(G769="",G769="NOT ON LIST"),"",VLOOKUP(G769,Students!$A:$C,2,FALSE))</f>
        <v/>
      </c>
      <c r="I769" s="35">
        <f>IF(OR(G769="",G769="NOT ON LIST"),"",VLOOKUP(G769,Students!$A:$C,3,FALSE)&amp;"")</f>
        <v/>
      </c>
    </row>
    <row r="770">
      <c r="A770" s="31" t="n">
        <v>46330.38541666666</v>
      </c>
      <c r="B770" s="32" t="inlineStr">
        <is>
          <t>Harper Kelly</t>
        </is>
      </c>
      <c r="C770" s="32" t="inlineStr">
        <is>
          <t>Liam Kelly</t>
        </is>
      </c>
      <c r="D770" s="33" t="n">
        <v>25</v>
      </c>
      <c r="E770" s="32" t="inlineStr">
        <is>
          <t>OneCause</t>
        </is>
      </c>
      <c r="F770" s="34">
        <f>IF(A770="","",IFERROR(INT(A770),"check date"))</f>
        <v/>
      </c>
      <c r="G770" s="35">
        <f>IF(B770="","",IFERROR(INDEX(Students!$A:$A,MATCH(TRIM(B770),Students!$A:$A,0)),"NOT ON LIST"))</f>
        <v/>
      </c>
      <c r="H770" s="35">
        <f>IF(OR(G770="",G770="NOT ON LIST"),"",VLOOKUP(G770,Students!$A:$C,2,FALSE))</f>
        <v/>
      </c>
      <c r="I770" s="35">
        <f>IF(OR(G770="",G770="NOT ON LIST"),"",VLOOKUP(G770,Students!$A:$C,3,FALSE)&amp;"")</f>
        <v/>
      </c>
    </row>
    <row r="771">
      <c r="A771" s="31" t="n">
        <v>46339.53125</v>
      </c>
      <c r="B771" s="32" t="inlineStr">
        <is>
          <t>Zoe O'Brien</t>
        </is>
      </c>
      <c r="C771" s="32" t="inlineStr">
        <is>
          <t>Nora O'Brien</t>
        </is>
      </c>
      <c r="D771" s="33" t="n">
        <v>100</v>
      </c>
      <c r="E771" s="32" t="inlineStr">
        <is>
          <t>OneCause</t>
        </is>
      </c>
      <c r="F771" s="34">
        <f>IF(A771="","",IFERROR(INT(A771),"check date"))</f>
        <v/>
      </c>
      <c r="G771" s="35">
        <f>IF(B771="","",IFERROR(INDEX(Students!$A:$A,MATCH(TRIM(B771),Students!$A:$A,0)),"NOT ON LIST"))</f>
        <v/>
      </c>
      <c r="H771" s="35">
        <f>IF(OR(G771="",G771="NOT ON LIST"),"",VLOOKUP(G771,Students!$A:$C,2,FALSE))</f>
        <v/>
      </c>
      <c r="I771" s="35">
        <f>IF(OR(G771="",G771="NOT ON LIST"),"",VLOOKUP(G771,Students!$A:$C,3,FALSE)&amp;"")</f>
        <v/>
      </c>
    </row>
    <row r="772">
      <c r="A772" s="31" t="n">
        <v>46327.59375</v>
      </c>
      <c r="B772" s="32" t="inlineStr">
        <is>
          <t>Chloe Smith</t>
        </is>
      </c>
      <c r="C772" s="32" t="inlineStr">
        <is>
          <t>Sofia Smith</t>
        </is>
      </c>
      <c r="D772" s="33" t="n">
        <v>20</v>
      </c>
      <c r="E772" s="32" t="inlineStr">
        <is>
          <t>OneCause</t>
        </is>
      </c>
      <c r="F772" s="34">
        <f>IF(A772="","",IFERROR(INT(A772),"check date"))</f>
        <v/>
      </c>
      <c r="G772" s="35">
        <f>IF(B772="","",IFERROR(INDEX(Students!$A:$A,MATCH(TRIM(B772),Students!$A:$A,0)),"NOT ON LIST"))</f>
        <v/>
      </c>
      <c r="H772" s="35">
        <f>IF(OR(G772="",G772="NOT ON LIST"),"",VLOOKUP(G772,Students!$A:$C,2,FALSE))</f>
        <v/>
      </c>
      <c r="I772" s="35">
        <f>IF(OR(G772="",G772="NOT ON LIST"),"",VLOOKUP(G772,Students!$A:$C,3,FALSE)&amp;"")</f>
        <v/>
      </c>
    </row>
    <row r="773">
      <c r="A773" s="31" t="n">
        <v>46331.59375</v>
      </c>
      <c r="B773" s="32" t="inlineStr">
        <is>
          <t>Evelyn Gonzalez</t>
        </is>
      </c>
      <c r="C773" s="32" t="inlineStr">
        <is>
          <t>Olivia Gonzalez</t>
        </is>
      </c>
      <c r="D773" s="33" t="n">
        <v>20</v>
      </c>
      <c r="E773" s="32" t="inlineStr">
        <is>
          <t>OneCause</t>
        </is>
      </c>
      <c r="F773" s="34">
        <f>IF(A773="","",IFERROR(INT(A773),"check date"))</f>
        <v/>
      </c>
      <c r="G773" s="35">
        <f>IF(B773="","",IFERROR(INDEX(Students!$A:$A,MATCH(TRIM(B773),Students!$A:$A,0)),"NOT ON LIST"))</f>
        <v/>
      </c>
      <c r="H773" s="35">
        <f>IF(OR(G773="",G773="NOT ON LIST"),"",VLOOKUP(G773,Students!$A:$C,2,FALSE))</f>
        <v/>
      </c>
      <c r="I773" s="35">
        <f>IF(OR(G773="",G773="NOT ON LIST"),"",VLOOKUP(G773,Students!$A:$C,3,FALSE)&amp;"")</f>
        <v/>
      </c>
    </row>
    <row r="774">
      <c r="A774" s="31" t="n">
        <v>46336.51041666666</v>
      </c>
      <c r="B774" s="32" t="inlineStr">
        <is>
          <t>Nicolas Chavez</t>
        </is>
      </c>
      <c r="C774" s="32" t="inlineStr">
        <is>
          <t>Daniel Chavez</t>
        </is>
      </c>
      <c r="D774" s="33" t="n">
        <v>100</v>
      </c>
      <c r="E774" s="32" t="inlineStr">
        <is>
          <t>OneCause</t>
        </is>
      </c>
      <c r="F774" s="34">
        <f>IF(A774="","",IFERROR(INT(A774),"check date"))</f>
        <v/>
      </c>
      <c r="G774" s="35">
        <f>IF(B774="","",IFERROR(INDEX(Students!$A:$A,MATCH(TRIM(B774),Students!$A:$A,0)),"NOT ON LIST"))</f>
        <v/>
      </c>
      <c r="H774" s="35">
        <f>IF(OR(G774="",G774="NOT ON LIST"),"",VLOOKUP(G774,Students!$A:$C,2,FALSE))</f>
        <v/>
      </c>
      <c r="I774" s="35">
        <f>IF(OR(G774="",G774="NOT ON LIST"),"",VLOOKUP(G774,Students!$A:$C,3,FALSE)&amp;"")</f>
        <v/>
      </c>
    </row>
    <row r="775">
      <c r="A775" s="31" t="n">
        <v>46328.39583333334</v>
      </c>
      <c r="B775" s="32" t="inlineStr">
        <is>
          <t>Harper Gutierrez</t>
        </is>
      </c>
      <c r="C775" s="32" t="inlineStr">
        <is>
          <t>Gabriel Gutierrez</t>
        </is>
      </c>
      <c r="D775" s="33" t="n">
        <v>20</v>
      </c>
      <c r="E775" s="32" t="inlineStr">
        <is>
          <t>OneCause</t>
        </is>
      </c>
      <c r="F775" s="34">
        <f>IF(A775="","",IFERROR(INT(A775),"check date"))</f>
        <v/>
      </c>
      <c r="G775" s="35">
        <f>IF(B775="","",IFERROR(INDEX(Students!$A:$A,MATCH(TRIM(B775),Students!$A:$A,0)),"NOT ON LIST"))</f>
        <v/>
      </c>
      <c r="H775" s="35">
        <f>IF(OR(G775="",G775="NOT ON LIST"),"",VLOOKUP(G775,Students!$A:$C,2,FALSE))</f>
        <v/>
      </c>
      <c r="I775" s="35">
        <f>IF(OR(G775="",G775="NOT ON LIST"),"",VLOOKUP(G775,Students!$A:$C,3,FALSE)&amp;"")</f>
        <v/>
      </c>
    </row>
    <row r="776">
      <c r="A776" s="31" t="n">
        <v>46337.45833333334</v>
      </c>
      <c r="B776" s="32" t="inlineStr">
        <is>
          <t>Adrian Murphy</t>
        </is>
      </c>
      <c r="C776" s="32" t="inlineStr">
        <is>
          <t>Gabriel Murphy</t>
        </is>
      </c>
      <c r="D776" s="33" t="n">
        <v>10</v>
      </c>
      <c r="E776" s="32" t="inlineStr">
        <is>
          <t>OneCause</t>
        </is>
      </c>
      <c r="F776" s="34">
        <f>IF(A776="","",IFERROR(INT(A776),"check date"))</f>
        <v/>
      </c>
      <c r="G776" s="35">
        <f>IF(B776="","",IFERROR(INDEX(Students!$A:$A,MATCH(TRIM(B776),Students!$A:$A,0)),"NOT ON LIST"))</f>
        <v/>
      </c>
      <c r="H776" s="35">
        <f>IF(OR(G776="",G776="NOT ON LIST"),"",VLOOKUP(G776,Students!$A:$C,2,FALSE))</f>
        <v/>
      </c>
      <c r="I776" s="35">
        <f>IF(OR(G776="",G776="NOT ON LIST"),"",VLOOKUP(G776,Students!$A:$C,3,FALSE)&amp;"")</f>
        <v/>
      </c>
    </row>
    <row r="777">
      <c r="A777" s="31" t="n">
        <v>46339.51041666666</v>
      </c>
      <c r="B777" s="32" t="inlineStr">
        <is>
          <t>Grace Walsh</t>
        </is>
      </c>
      <c r="C777" s="32" t="inlineStr">
        <is>
          <t>Nicolas Walsh</t>
        </is>
      </c>
      <c r="D777" s="33" t="n">
        <v>40</v>
      </c>
      <c r="E777" s="32" t="inlineStr">
        <is>
          <t>OneCause</t>
        </is>
      </c>
      <c r="F777" s="34">
        <f>IF(A777="","",IFERROR(INT(A777),"check date"))</f>
        <v/>
      </c>
      <c r="G777" s="35">
        <f>IF(B777="","",IFERROR(INDEX(Students!$A:$A,MATCH(TRIM(B777),Students!$A:$A,0)),"NOT ON LIST"))</f>
        <v/>
      </c>
      <c r="H777" s="35">
        <f>IF(OR(G777="",G777="NOT ON LIST"),"",VLOOKUP(G777,Students!$A:$C,2,FALSE))</f>
        <v/>
      </c>
      <c r="I777" s="35">
        <f>IF(OR(G777="",G777="NOT ON LIST"),"",VLOOKUP(G777,Students!$A:$C,3,FALSE)&amp;"")</f>
        <v/>
      </c>
    </row>
    <row r="778">
      <c r="A778" s="31" t="n">
        <v>46332.625</v>
      </c>
      <c r="B778" s="32" t="inlineStr">
        <is>
          <t>Noah Mendoza</t>
        </is>
      </c>
      <c r="C778" s="32" t="inlineStr">
        <is>
          <t>Grace Mendoza</t>
        </is>
      </c>
      <c r="D778" s="33" t="n">
        <v>25</v>
      </c>
      <c r="E778" s="32" t="inlineStr">
        <is>
          <t>OneCause</t>
        </is>
      </c>
      <c r="F778" s="34">
        <f>IF(A778="","",IFERROR(INT(A778),"check date"))</f>
        <v/>
      </c>
      <c r="G778" s="35">
        <f>IF(B778="","",IFERROR(INDEX(Students!$A:$A,MATCH(TRIM(B778),Students!$A:$A,0)),"NOT ON LIST"))</f>
        <v/>
      </c>
      <c r="H778" s="35">
        <f>IF(OR(G778="",G778="NOT ON LIST"),"",VLOOKUP(G778,Students!$A:$C,2,FALSE))</f>
        <v/>
      </c>
      <c r="I778" s="35">
        <f>IF(OR(G778="",G778="NOT ON LIST"),"",VLOOKUP(G778,Students!$A:$C,3,FALSE)&amp;"")</f>
        <v/>
      </c>
    </row>
    <row r="779">
      <c r="A779" s="31" t="n">
        <v>46334.90625</v>
      </c>
      <c r="B779" s="32" t="inlineStr">
        <is>
          <t>Nora Torres</t>
        </is>
      </c>
      <c r="C779" s="32" t="inlineStr">
        <is>
          <t>Thomas Torres</t>
        </is>
      </c>
      <c r="D779" s="33" t="n">
        <v>10</v>
      </c>
      <c r="E779" s="32" t="inlineStr">
        <is>
          <t>OneCause</t>
        </is>
      </c>
      <c r="F779" s="34">
        <f>IF(A779="","",IFERROR(INT(A779),"check date"))</f>
        <v/>
      </c>
      <c r="G779" s="35">
        <f>IF(B779="","",IFERROR(INDEX(Students!$A:$A,MATCH(TRIM(B779),Students!$A:$A,0)),"NOT ON LIST"))</f>
        <v/>
      </c>
      <c r="H779" s="35">
        <f>IF(OR(G779="",G779="NOT ON LIST"),"",VLOOKUP(G779,Students!$A:$C,2,FALSE))</f>
        <v/>
      </c>
      <c r="I779" s="35">
        <f>IF(OR(G779="",G779="NOT ON LIST"),"",VLOOKUP(G779,Students!$A:$C,3,FALSE)&amp;"")</f>
        <v/>
      </c>
    </row>
    <row r="780">
      <c r="A780" s="31" t="n">
        <v>46339.4375</v>
      </c>
      <c r="B780" s="32" t="inlineStr">
        <is>
          <t>Nora Kim</t>
        </is>
      </c>
      <c r="C780" s="32" t="inlineStr">
        <is>
          <t>Joseph Kim</t>
        </is>
      </c>
      <c r="D780" s="33" t="n">
        <v>50</v>
      </c>
      <c r="E780" s="32" t="inlineStr">
        <is>
          <t>OneCause</t>
        </is>
      </c>
      <c r="F780" s="34">
        <f>IF(A780="","",IFERROR(INT(A780),"check date"))</f>
        <v/>
      </c>
      <c r="G780" s="35">
        <f>IF(B780="","",IFERROR(INDEX(Students!$A:$A,MATCH(TRIM(B780),Students!$A:$A,0)),"NOT ON LIST"))</f>
        <v/>
      </c>
      <c r="H780" s="35">
        <f>IF(OR(G780="",G780="NOT ON LIST"),"",VLOOKUP(G780,Students!$A:$C,2,FALSE))</f>
        <v/>
      </c>
      <c r="I780" s="35">
        <f>IF(OR(G780="",G780="NOT ON LIST"),"",VLOOKUP(G780,Students!$A:$C,3,FALSE)&amp;"")</f>
        <v/>
      </c>
    </row>
    <row r="781">
      <c r="A781" s="31" t="n">
        <v>46330.75</v>
      </c>
      <c r="B781" s="32" t="inlineStr">
        <is>
          <t>Mateo Nguyen</t>
        </is>
      </c>
      <c r="C781" s="32" t="inlineStr">
        <is>
          <t>Lily Nguyen</t>
        </is>
      </c>
      <c r="D781" s="33" t="n">
        <v>25</v>
      </c>
      <c r="E781" s="32" t="inlineStr">
        <is>
          <t>OneCause</t>
        </is>
      </c>
      <c r="F781" s="34">
        <f>IF(A781="","",IFERROR(INT(A781),"check date"))</f>
        <v/>
      </c>
      <c r="G781" s="35">
        <f>IF(B781="","",IFERROR(INDEX(Students!$A:$A,MATCH(TRIM(B781),Students!$A:$A,0)),"NOT ON LIST"))</f>
        <v/>
      </c>
      <c r="H781" s="35">
        <f>IF(OR(G781="",G781="NOT ON LIST"),"",VLOOKUP(G781,Students!$A:$C,2,FALSE))</f>
        <v/>
      </c>
      <c r="I781" s="35">
        <f>IF(OR(G781="",G781="NOT ON LIST"),"",VLOOKUP(G781,Students!$A:$C,3,FALSE)&amp;"")</f>
        <v/>
      </c>
    </row>
    <row r="782">
      <c r="A782" s="31" t="n">
        <v>46335.5</v>
      </c>
      <c r="B782" s="32" t="inlineStr">
        <is>
          <t>Nicolas Perez</t>
        </is>
      </c>
      <c r="C782" s="32" t="inlineStr">
        <is>
          <t>Clara Perez</t>
        </is>
      </c>
      <c r="D782" s="33" t="n">
        <v>25</v>
      </c>
      <c r="E782" s="32" t="inlineStr">
        <is>
          <t>OneCause</t>
        </is>
      </c>
      <c r="F782" s="34">
        <f>IF(A782="","",IFERROR(INT(A782),"check date"))</f>
        <v/>
      </c>
      <c r="G782" s="35">
        <f>IF(B782="","",IFERROR(INDEX(Students!$A:$A,MATCH(TRIM(B782),Students!$A:$A,0)),"NOT ON LIST"))</f>
        <v/>
      </c>
      <c r="H782" s="35">
        <f>IF(OR(G782="",G782="NOT ON LIST"),"",VLOOKUP(G782,Students!$A:$C,2,FALSE))</f>
        <v/>
      </c>
      <c r="I782" s="35">
        <f>IF(OR(G782="",G782="NOT ON LIST"),"",VLOOKUP(G782,Students!$A:$C,3,FALSE)&amp;"")</f>
        <v/>
      </c>
    </row>
    <row r="783">
      <c r="A783" s="31" t="n">
        <v>46333.88541666666</v>
      </c>
      <c r="B783" s="32" t="inlineStr">
        <is>
          <t>Olivia Reyes</t>
        </is>
      </c>
      <c r="C783" s="32" t="inlineStr">
        <is>
          <t>Henry Reyes</t>
        </is>
      </c>
      <c r="D783" s="33" t="n">
        <v>20</v>
      </c>
      <c r="E783" s="32" t="inlineStr">
        <is>
          <t>OneCause</t>
        </is>
      </c>
      <c r="F783" s="34">
        <f>IF(A783="","",IFERROR(INT(A783),"check date"))</f>
        <v/>
      </c>
      <c r="G783" s="35">
        <f>IF(B783="","",IFERROR(INDEX(Students!$A:$A,MATCH(TRIM(B783),Students!$A:$A,0)),"NOT ON LIST"))</f>
        <v/>
      </c>
      <c r="H783" s="35">
        <f>IF(OR(G783="",G783="NOT ON LIST"),"",VLOOKUP(G783,Students!$A:$C,2,FALSE))</f>
        <v/>
      </c>
      <c r="I783" s="35">
        <f>IF(OR(G783="",G783="NOT ON LIST"),"",VLOOKUP(G783,Students!$A:$C,3,FALSE)&amp;"")</f>
        <v/>
      </c>
    </row>
    <row r="784">
      <c r="A784" s="31" t="n">
        <v>46331.5625</v>
      </c>
      <c r="B784" s="32" t="inlineStr">
        <is>
          <t>Liam Ortiz</t>
        </is>
      </c>
      <c r="C784" s="32" t="inlineStr">
        <is>
          <t>Thomas Ortiz</t>
        </is>
      </c>
      <c r="D784" s="33" t="n">
        <v>150</v>
      </c>
      <c r="E784" s="32" t="inlineStr">
        <is>
          <t>OneCause</t>
        </is>
      </c>
      <c r="F784" s="34">
        <f>IF(A784="","",IFERROR(INT(A784),"check date"))</f>
        <v/>
      </c>
      <c r="G784" s="35">
        <f>IF(B784="","",IFERROR(INDEX(Students!$A:$A,MATCH(TRIM(B784),Students!$A:$A,0)),"NOT ON LIST"))</f>
        <v/>
      </c>
      <c r="H784" s="35">
        <f>IF(OR(G784="",G784="NOT ON LIST"),"",VLOOKUP(G784,Students!$A:$C,2,FALSE))</f>
        <v/>
      </c>
      <c r="I784" s="35">
        <f>IF(OR(G784="",G784="NOT ON LIST"),"",VLOOKUP(G784,Students!$A:$C,3,FALSE)&amp;"")</f>
        <v/>
      </c>
    </row>
    <row r="785">
      <c r="A785" s="31" t="n">
        <v>46325.46875</v>
      </c>
      <c r="B785" s="32" t="inlineStr">
        <is>
          <t>Julian Kim</t>
        </is>
      </c>
      <c r="C785" s="32" t="inlineStr">
        <is>
          <t>Isaac Kim</t>
        </is>
      </c>
      <c r="D785" s="33" t="n">
        <v>20</v>
      </c>
      <c r="E785" s="32" t="inlineStr">
        <is>
          <t>OneCause</t>
        </is>
      </c>
      <c r="F785" s="34">
        <f>IF(A785="","",IFERROR(INT(A785),"check date"))</f>
        <v/>
      </c>
      <c r="G785" s="35">
        <f>IF(B785="","",IFERROR(INDEX(Students!$A:$A,MATCH(TRIM(B785),Students!$A:$A,0)),"NOT ON LIST"))</f>
        <v/>
      </c>
      <c r="H785" s="35">
        <f>IF(OR(G785="",G785="NOT ON LIST"),"",VLOOKUP(G785,Students!$A:$C,2,FALSE))</f>
        <v/>
      </c>
      <c r="I785" s="35">
        <f>IF(OR(G785="",G785="NOT ON LIST"),"",VLOOKUP(G785,Students!$A:$C,3,FALSE)&amp;"")</f>
        <v/>
      </c>
    </row>
    <row r="786">
      <c r="A786" s="31" t="n">
        <v>46329.63541666666</v>
      </c>
      <c r="B786" s="32" t="inlineStr">
        <is>
          <t>Benjamin Murphy</t>
        </is>
      </c>
      <c r="C786" s="32" t="inlineStr">
        <is>
          <t>James Murphy</t>
        </is>
      </c>
      <c r="D786" s="33" t="n">
        <v>25</v>
      </c>
      <c r="E786" s="32" t="inlineStr">
        <is>
          <t>OneCause</t>
        </is>
      </c>
      <c r="F786" s="34">
        <f>IF(A786="","",IFERROR(INT(A786),"check date"))</f>
        <v/>
      </c>
      <c r="G786" s="35">
        <f>IF(B786="","",IFERROR(INDEX(Students!$A:$A,MATCH(TRIM(B786),Students!$A:$A,0)),"NOT ON LIST"))</f>
        <v/>
      </c>
      <c r="H786" s="35">
        <f>IF(OR(G786="",G786="NOT ON LIST"),"",VLOOKUP(G786,Students!$A:$C,2,FALSE))</f>
        <v/>
      </c>
      <c r="I786" s="35">
        <f>IF(OR(G786="",G786="NOT ON LIST"),"",VLOOKUP(G786,Students!$A:$C,3,FALSE)&amp;"")</f>
        <v/>
      </c>
    </row>
    <row r="787">
      <c r="A787" s="31" t="n">
        <v>46325.71875</v>
      </c>
      <c r="B787" s="32" t="inlineStr">
        <is>
          <t>Thomas Ortiz</t>
        </is>
      </c>
      <c r="C787" s="32" t="inlineStr">
        <is>
          <t>Zoe Ortiz</t>
        </is>
      </c>
      <c r="D787" s="33" t="n">
        <v>20</v>
      </c>
      <c r="E787" s="32" t="inlineStr">
        <is>
          <t>OneCause</t>
        </is>
      </c>
      <c r="F787" s="34">
        <f>IF(A787="","",IFERROR(INT(A787),"check date"))</f>
        <v/>
      </c>
      <c r="G787" s="35">
        <f>IF(B787="","",IFERROR(INDEX(Students!$A:$A,MATCH(TRIM(B787),Students!$A:$A,0)),"NOT ON LIST"))</f>
        <v/>
      </c>
      <c r="H787" s="35">
        <f>IF(OR(G787="",G787="NOT ON LIST"),"",VLOOKUP(G787,Students!$A:$C,2,FALSE))</f>
        <v/>
      </c>
      <c r="I787" s="35">
        <f>IF(OR(G787="",G787="NOT ON LIST"),"",VLOOKUP(G787,Students!$A:$C,3,FALSE)&amp;"")</f>
        <v/>
      </c>
    </row>
    <row r="788">
      <c r="A788" s="31" t="n">
        <v>46325.30208333334</v>
      </c>
      <c r="B788" s="32" t="inlineStr">
        <is>
          <t>Luna Ryan</t>
        </is>
      </c>
      <c r="C788" s="32" t="inlineStr">
        <is>
          <t>Aria Ryan</t>
        </is>
      </c>
      <c r="D788" s="33" t="n">
        <v>50</v>
      </c>
      <c r="E788" s="32" t="inlineStr">
        <is>
          <t>OneCause</t>
        </is>
      </c>
      <c r="F788" s="34">
        <f>IF(A788="","",IFERROR(INT(A788),"check date"))</f>
        <v/>
      </c>
      <c r="G788" s="35">
        <f>IF(B788="","",IFERROR(INDEX(Students!$A:$A,MATCH(TRIM(B788),Students!$A:$A,0)),"NOT ON LIST"))</f>
        <v/>
      </c>
      <c r="H788" s="35">
        <f>IF(OR(G788="",G788="NOT ON LIST"),"",VLOOKUP(G788,Students!$A:$C,2,FALSE))</f>
        <v/>
      </c>
      <c r="I788" s="35">
        <f>IF(OR(G788="",G788="NOT ON LIST"),"",VLOOKUP(G788,Students!$A:$C,3,FALSE)&amp;"")</f>
        <v/>
      </c>
    </row>
    <row r="789">
      <c r="A789" s="31" t="n">
        <v>46339.84375</v>
      </c>
      <c r="B789" s="32" t="inlineStr">
        <is>
          <t>Amelia Lopez</t>
        </is>
      </c>
      <c r="C789" s="32" t="inlineStr">
        <is>
          <t>Diego Lopez</t>
        </is>
      </c>
      <c r="D789" s="33" t="n">
        <v>20</v>
      </c>
      <c r="E789" s="32" t="inlineStr">
        <is>
          <t>OneCause</t>
        </is>
      </c>
      <c r="F789" s="34">
        <f>IF(A789="","",IFERROR(INT(A789),"check date"))</f>
        <v/>
      </c>
      <c r="G789" s="35">
        <f>IF(B789="","",IFERROR(INDEX(Students!$A:$A,MATCH(TRIM(B789),Students!$A:$A,0)),"NOT ON LIST"))</f>
        <v/>
      </c>
      <c r="H789" s="35">
        <f>IF(OR(G789="",G789="NOT ON LIST"),"",VLOOKUP(G789,Students!$A:$C,2,FALSE))</f>
        <v/>
      </c>
      <c r="I789" s="35">
        <f>IF(OR(G789="",G789="NOT ON LIST"),"",VLOOKUP(G789,Students!$A:$C,3,FALSE)&amp;"")</f>
        <v/>
      </c>
    </row>
    <row r="790">
      <c r="A790" s="31" t="n">
        <v>46329.72916666666</v>
      </c>
      <c r="B790" s="32" t="inlineStr">
        <is>
          <t>James Garcia</t>
        </is>
      </c>
      <c r="C790" s="32" t="inlineStr">
        <is>
          <t>Ava Garcia</t>
        </is>
      </c>
      <c r="D790" s="33" t="n">
        <v>25</v>
      </c>
      <c r="E790" s="32" t="inlineStr">
        <is>
          <t>OneCause</t>
        </is>
      </c>
      <c r="F790" s="34">
        <f>IF(A790="","",IFERROR(INT(A790),"check date"))</f>
        <v/>
      </c>
      <c r="G790" s="35">
        <f>IF(B790="","",IFERROR(INDEX(Students!$A:$A,MATCH(TRIM(B790),Students!$A:$A,0)),"NOT ON LIST"))</f>
        <v/>
      </c>
      <c r="H790" s="35">
        <f>IF(OR(G790="",G790="NOT ON LIST"),"",VLOOKUP(G790,Students!$A:$C,2,FALSE))</f>
        <v/>
      </c>
      <c r="I790" s="35">
        <f>IF(OR(G790="",G790="NOT ON LIST"),"",VLOOKUP(G790,Students!$A:$C,3,FALSE)&amp;"")</f>
        <v/>
      </c>
    </row>
    <row r="791">
      <c r="A791" s="31" t="n">
        <v>46339.44791666666</v>
      </c>
      <c r="B791" s="32" t="inlineStr">
        <is>
          <t>Ava Garcia</t>
        </is>
      </c>
      <c r="C791" s="32" t="inlineStr">
        <is>
          <t>Emma Garcia</t>
        </is>
      </c>
      <c r="D791" s="33" t="n">
        <v>10</v>
      </c>
      <c r="E791" s="32" t="inlineStr">
        <is>
          <t>OneCause</t>
        </is>
      </c>
      <c r="F791" s="34">
        <f>IF(A791="","",IFERROR(INT(A791),"check date"))</f>
        <v/>
      </c>
      <c r="G791" s="35">
        <f>IF(B791="","",IFERROR(INDEX(Students!$A:$A,MATCH(TRIM(B791),Students!$A:$A,0)),"NOT ON LIST"))</f>
        <v/>
      </c>
      <c r="H791" s="35">
        <f>IF(OR(G791="",G791="NOT ON LIST"),"",VLOOKUP(G791,Students!$A:$C,2,FALSE))</f>
        <v/>
      </c>
      <c r="I791" s="35">
        <f>IF(OR(G791="",G791="NOT ON LIST"),"",VLOOKUP(G791,Students!$A:$C,3,FALSE)&amp;"")</f>
        <v/>
      </c>
    </row>
    <row r="792">
      <c r="A792" s="31" t="n">
        <v>46329.53125</v>
      </c>
      <c r="B792" s="32" t="inlineStr">
        <is>
          <t>Daniel O'Brien</t>
        </is>
      </c>
      <c r="C792" s="32" t="inlineStr">
        <is>
          <t>Mateo O'Brien</t>
        </is>
      </c>
      <c r="D792" s="33" t="n">
        <v>40</v>
      </c>
      <c r="E792" s="32" t="inlineStr">
        <is>
          <t>OneCause</t>
        </is>
      </c>
      <c r="F792" s="34">
        <f>IF(A792="","",IFERROR(INT(A792),"check date"))</f>
        <v/>
      </c>
      <c r="G792" s="35">
        <f>IF(B792="","",IFERROR(INDEX(Students!$A:$A,MATCH(TRIM(B792),Students!$A:$A,0)),"NOT ON LIST"))</f>
        <v/>
      </c>
      <c r="H792" s="35">
        <f>IF(OR(G792="",G792="NOT ON LIST"),"",VLOOKUP(G792,Students!$A:$C,2,FALSE))</f>
        <v/>
      </c>
      <c r="I792" s="35">
        <f>IF(OR(G792="",G792="NOT ON LIST"),"",VLOOKUP(G792,Students!$A:$C,3,FALSE)&amp;"")</f>
        <v/>
      </c>
    </row>
    <row r="793">
      <c r="A793" s="31" t="n">
        <v>46331.58333333334</v>
      </c>
      <c r="B793" s="32" t="inlineStr">
        <is>
          <t>Noah Gomez</t>
        </is>
      </c>
      <c r="C793" s="32" t="inlineStr">
        <is>
          <t>Valentina Gomez</t>
        </is>
      </c>
      <c r="D793" s="33" t="n">
        <v>75</v>
      </c>
      <c r="E793" s="32" t="inlineStr">
        <is>
          <t>OneCause</t>
        </is>
      </c>
      <c r="F793" s="34">
        <f>IF(A793="","",IFERROR(INT(A793),"check date"))</f>
        <v/>
      </c>
      <c r="G793" s="35">
        <f>IF(B793="","",IFERROR(INDEX(Students!$A:$A,MATCH(TRIM(B793),Students!$A:$A,0)),"NOT ON LIST"))</f>
        <v/>
      </c>
      <c r="H793" s="35">
        <f>IF(OR(G793="",G793="NOT ON LIST"),"",VLOOKUP(G793,Students!$A:$C,2,FALSE))</f>
        <v/>
      </c>
      <c r="I793" s="35">
        <f>IF(OR(G793="",G793="NOT ON LIST"),"",VLOOKUP(G793,Students!$A:$C,3,FALSE)&amp;"")</f>
        <v/>
      </c>
    </row>
    <row r="794">
      <c r="A794" s="31" t="n">
        <v>46335.90625</v>
      </c>
      <c r="B794" s="32" t="inlineStr">
        <is>
          <t>Emma Williams</t>
        </is>
      </c>
      <c r="C794" s="32" t="inlineStr">
        <is>
          <t>Noah Williams</t>
        </is>
      </c>
      <c r="D794" s="33" t="n">
        <v>50</v>
      </c>
      <c r="E794" s="32" t="inlineStr">
        <is>
          <t>OneCause</t>
        </is>
      </c>
      <c r="F794" s="34">
        <f>IF(A794="","",IFERROR(INT(A794),"check date"))</f>
        <v/>
      </c>
      <c r="G794" s="35">
        <f>IF(B794="","",IFERROR(INDEX(Students!$A:$A,MATCH(TRIM(B794),Students!$A:$A,0)),"NOT ON LIST"))</f>
        <v/>
      </c>
      <c r="H794" s="35">
        <f>IF(OR(G794="",G794="NOT ON LIST"),"",VLOOKUP(G794,Students!$A:$C,2,FALSE))</f>
        <v/>
      </c>
      <c r="I794" s="35">
        <f>IF(OR(G794="",G794="NOT ON LIST"),"",VLOOKUP(G794,Students!$A:$C,3,FALSE)&amp;"")</f>
        <v/>
      </c>
    </row>
    <row r="795">
      <c r="A795" s="31" t="n">
        <v>46330.46875</v>
      </c>
      <c r="B795" s="32" t="inlineStr">
        <is>
          <t>Henry Martinez</t>
        </is>
      </c>
      <c r="C795" s="32" t="inlineStr">
        <is>
          <t>Harper Martinez</t>
        </is>
      </c>
      <c r="D795" s="33" t="n">
        <v>100</v>
      </c>
      <c r="E795" s="32" t="inlineStr">
        <is>
          <t>OneCause</t>
        </is>
      </c>
      <c r="F795" s="34">
        <f>IF(A795="","",IFERROR(INT(A795),"check date"))</f>
        <v/>
      </c>
      <c r="G795" s="35">
        <f>IF(B795="","",IFERROR(INDEX(Students!$A:$A,MATCH(TRIM(B795),Students!$A:$A,0)),"NOT ON LIST"))</f>
        <v/>
      </c>
      <c r="H795" s="35">
        <f>IF(OR(G795="",G795="NOT ON LIST"),"",VLOOKUP(G795,Students!$A:$C,2,FALSE))</f>
        <v/>
      </c>
      <c r="I795" s="35">
        <f>IF(OR(G795="",G795="NOT ON LIST"),"",VLOOKUP(G795,Students!$A:$C,3,FALSE)&amp;"")</f>
        <v/>
      </c>
    </row>
    <row r="796">
      <c r="A796" s="31" t="n">
        <v>46336.4375</v>
      </c>
      <c r="B796" s="32" t="inlineStr">
        <is>
          <t>Lucas Gonzalez</t>
        </is>
      </c>
      <c r="C796" s="32" t="inlineStr">
        <is>
          <t>Emma Gonzalez</t>
        </is>
      </c>
      <c r="D796" s="33" t="n">
        <v>25</v>
      </c>
      <c r="E796" s="32" t="inlineStr">
        <is>
          <t>OneCause</t>
        </is>
      </c>
      <c r="F796" s="34">
        <f>IF(A796="","",IFERROR(INT(A796),"check date"))</f>
        <v/>
      </c>
      <c r="G796" s="35">
        <f>IF(B796="","",IFERROR(INDEX(Students!$A:$A,MATCH(TRIM(B796),Students!$A:$A,0)),"NOT ON LIST"))</f>
        <v/>
      </c>
      <c r="H796" s="35">
        <f>IF(OR(G796="",G796="NOT ON LIST"),"",VLOOKUP(G796,Students!$A:$C,2,FALSE))</f>
        <v/>
      </c>
      <c r="I796" s="35">
        <f>IF(OR(G796="",G796="NOT ON LIST"),"",VLOOKUP(G796,Students!$A:$C,3,FALSE)&amp;"")</f>
        <v/>
      </c>
    </row>
    <row r="797">
      <c r="A797" s="31" t="n">
        <v>46325.55208333334</v>
      </c>
      <c r="B797" s="32" t="inlineStr">
        <is>
          <t>Diego Chavez</t>
        </is>
      </c>
      <c r="C797" s="32" t="inlineStr">
        <is>
          <t>Sofia Chavez</t>
        </is>
      </c>
      <c r="D797" s="33" t="n">
        <v>20</v>
      </c>
      <c r="E797" s="32" t="inlineStr">
        <is>
          <t>OneCause</t>
        </is>
      </c>
      <c r="F797" s="34">
        <f>IF(A797="","",IFERROR(INT(A797),"check date"))</f>
        <v/>
      </c>
      <c r="G797" s="35">
        <f>IF(B797="","",IFERROR(INDEX(Students!$A:$A,MATCH(TRIM(B797),Students!$A:$A,0)),"NOT ON LIST"))</f>
        <v/>
      </c>
      <c r="H797" s="35">
        <f>IF(OR(G797="",G797="NOT ON LIST"),"",VLOOKUP(G797,Students!$A:$C,2,FALSE))</f>
        <v/>
      </c>
      <c r="I797" s="35">
        <f>IF(OR(G797="",G797="NOT ON LIST"),"",VLOOKUP(G797,Students!$A:$C,3,FALSE)&amp;"")</f>
        <v/>
      </c>
    </row>
    <row r="798">
      <c r="A798" s="31" t="n">
        <v>46325.875</v>
      </c>
      <c r="B798" s="32" t="inlineStr">
        <is>
          <t>Isaac Diaz</t>
        </is>
      </c>
      <c r="C798" s="32" t="inlineStr">
        <is>
          <t>Julian Diaz</t>
        </is>
      </c>
      <c r="D798" s="33" t="n">
        <v>25</v>
      </c>
      <c r="E798" s="32" t="inlineStr">
        <is>
          <t>OneCause</t>
        </is>
      </c>
      <c r="F798" s="34">
        <f>IF(A798="","",IFERROR(INT(A798),"check date"))</f>
        <v/>
      </c>
      <c r="G798" s="35">
        <f>IF(B798="","",IFERROR(INDEX(Students!$A:$A,MATCH(TRIM(B798),Students!$A:$A,0)),"NOT ON LIST"))</f>
        <v/>
      </c>
      <c r="H798" s="35">
        <f>IF(OR(G798="",G798="NOT ON LIST"),"",VLOOKUP(G798,Students!$A:$C,2,FALSE))</f>
        <v/>
      </c>
      <c r="I798" s="35">
        <f>IF(OR(G798="",G798="NOT ON LIST"),"",VLOOKUP(G798,Students!$A:$C,3,FALSE)&amp;"")</f>
        <v/>
      </c>
    </row>
    <row r="799">
      <c r="A799" s="31" t="n">
        <v>46338</v>
      </c>
      <c r="B799" s="32" t="inlineStr">
        <is>
          <t>Mia Garcia</t>
        </is>
      </c>
      <c r="C799" s="32" t="inlineStr">
        <is>
          <t>Clara Garcia</t>
        </is>
      </c>
      <c r="D799" s="33" t="n">
        <v>75</v>
      </c>
      <c r="E799" s="32" t="inlineStr">
        <is>
          <t>Check</t>
        </is>
      </c>
      <c r="F799" s="34">
        <f>IF(A799="","",IFERROR(INT(A799),"check date"))</f>
        <v/>
      </c>
      <c r="G799" s="35">
        <f>IF(B799="","",IFERROR(INDEX(Students!$A:$A,MATCH(TRIM(B799),Students!$A:$A,0)),"NOT ON LIST"))</f>
        <v/>
      </c>
      <c r="H799" s="35">
        <f>IF(OR(G799="",G799="NOT ON LIST"),"",VLOOKUP(G799,Students!$A:$C,2,FALSE))</f>
        <v/>
      </c>
      <c r="I799" s="35">
        <f>IF(OR(G799="",G799="NOT ON LIST"),"",VLOOKUP(G799,Students!$A:$C,3,FALSE)&amp;"")</f>
        <v/>
      </c>
    </row>
    <row r="800">
      <c r="A800" s="31" t="n">
        <v>46330.80208333334</v>
      </c>
      <c r="B800" s="32" t="inlineStr">
        <is>
          <t>Joseph Kelly</t>
        </is>
      </c>
      <c r="C800" s="32" t="inlineStr">
        <is>
          <t>Nora Kelly</t>
        </is>
      </c>
      <c r="D800" s="33" t="n">
        <v>20</v>
      </c>
      <c r="E800" s="32" t="inlineStr">
        <is>
          <t>OneCause</t>
        </is>
      </c>
      <c r="F800" s="34">
        <f>IF(A800="","",IFERROR(INT(A800),"check date"))</f>
        <v/>
      </c>
      <c r="G800" s="35">
        <f>IF(B800="","",IFERROR(INDEX(Students!$A:$A,MATCH(TRIM(B800),Students!$A:$A,0)),"NOT ON LIST"))</f>
        <v/>
      </c>
      <c r="H800" s="35">
        <f>IF(OR(G800="",G800="NOT ON LIST"),"",VLOOKUP(G800,Students!$A:$C,2,FALSE))</f>
        <v/>
      </c>
      <c r="I800" s="35">
        <f>IF(OR(G800="",G800="NOT ON LIST"),"",VLOOKUP(G800,Students!$A:$C,3,FALSE)&amp;"")</f>
        <v/>
      </c>
    </row>
    <row r="801">
      <c r="A801" s="31" t="n">
        <v>46338</v>
      </c>
      <c r="B801" s="32" t="inlineStr">
        <is>
          <t>Chloe Smith</t>
        </is>
      </c>
      <c r="C801" s="32" t="inlineStr">
        <is>
          <t>Samuel Smith</t>
        </is>
      </c>
      <c r="D801" s="33" t="n">
        <v>10</v>
      </c>
      <c r="E801" s="32" t="inlineStr">
        <is>
          <t>Check</t>
        </is>
      </c>
      <c r="F801" s="34">
        <f>IF(A801="","",IFERROR(INT(A801),"check date"))</f>
        <v/>
      </c>
      <c r="G801" s="35">
        <f>IF(B801="","",IFERROR(INDEX(Students!$A:$A,MATCH(TRIM(B801),Students!$A:$A,0)),"NOT ON LIST"))</f>
        <v/>
      </c>
      <c r="H801" s="35">
        <f>IF(OR(G801="",G801="NOT ON LIST"),"",VLOOKUP(G801,Students!$A:$C,2,FALSE))</f>
        <v/>
      </c>
      <c r="I801" s="35">
        <f>IF(OR(G801="",G801="NOT ON LIST"),"",VLOOKUP(G801,Students!$A:$C,3,FALSE)&amp;"")</f>
        <v/>
      </c>
    </row>
    <row r="802">
      <c r="A802" s="31" t="n">
        <v>46326.36458333334</v>
      </c>
      <c r="B802" s="32" t="inlineStr">
        <is>
          <t>Evelyn Gomez</t>
        </is>
      </c>
      <c r="C802" s="32" t="inlineStr">
        <is>
          <t>Camila Gomez</t>
        </is>
      </c>
      <c r="D802" s="33" t="n">
        <v>10</v>
      </c>
      <c r="E802" s="32" t="inlineStr">
        <is>
          <t>OneCause</t>
        </is>
      </c>
      <c r="F802" s="34">
        <f>IF(A802="","",IFERROR(INT(A802),"check date"))</f>
        <v/>
      </c>
      <c r="G802" s="35">
        <f>IF(B802="","",IFERROR(INDEX(Students!$A:$A,MATCH(TRIM(B802),Students!$A:$A,0)),"NOT ON LIST"))</f>
        <v/>
      </c>
      <c r="H802" s="35">
        <f>IF(OR(G802="",G802="NOT ON LIST"),"",VLOOKUP(G802,Students!$A:$C,2,FALSE))</f>
        <v/>
      </c>
      <c r="I802" s="35">
        <f>IF(OR(G802="",G802="NOT ON LIST"),"",VLOOKUP(G802,Students!$A:$C,3,FALSE)&amp;"")</f>
        <v/>
      </c>
    </row>
    <row r="803">
      <c r="A803" s="31" t="n">
        <v>46326.45833333334</v>
      </c>
      <c r="B803" s="32" t="inlineStr">
        <is>
          <t>Olivia Brown</t>
        </is>
      </c>
      <c r="C803" s="32" t="inlineStr">
        <is>
          <t>Gabriel Brown</t>
        </is>
      </c>
      <c r="D803" s="33" t="n">
        <v>100</v>
      </c>
      <c r="E803" s="32" t="inlineStr">
        <is>
          <t>OneCause</t>
        </is>
      </c>
      <c r="F803" s="34">
        <f>IF(A803="","",IFERROR(INT(A803),"check date"))</f>
        <v/>
      </c>
      <c r="G803" s="35">
        <f>IF(B803="","",IFERROR(INDEX(Students!$A:$A,MATCH(TRIM(B803),Students!$A:$A,0)),"NOT ON LIST"))</f>
        <v/>
      </c>
      <c r="H803" s="35">
        <f>IF(OR(G803="",G803="NOT ON LIST"),"",VLOOKUP(G803,Students!$A:$C,2,FALSE))</f>
        <v/>
      </c>
      <c r="I803" s="35">
        <f>IF(OR(G803="",G803="NOT ON LIST"),"",VLOOKUP(G803,Students!$A:$C,3,FALSE)&amp;"")</f>
        <v/>
      </c>
    </row>
    <row r="804">
      <c r="A804" s="31" t="n">
        <v>46338</v>
      </c>
      <c r="B804" s="32" t="inlineStr">
        <is>
          <t>Liam Cruz</t>
        </is>
      </c>
      <c r="C804" s="32" t="inlineStr">
        <is>
          <t>Adrian Cruz</t>
        </is>
      </c>
      <c r="D804" s="33" t="n">
        <v>50</v>
      </c>
      <c r="E804" s="32" t="inlineStr">
        <is>
          <t>Cash</t>
        </is>
      </c>
      <c r="F804" s="34">
        <f>IF(A804="","",IFERROR(INT(A804),"check date"))</f>
        <v/>
      </c>
      <c r="G804" s="35">
        <f>IF(B804="","",IFERROR(INDEX(Students!$A:$A,MATCH(TRIM(B804),Students!$A:$A,0)),"NOT ON LIST"))</f>
        <v/>
      </c>
      <c r="H804" s="35">
        <f>IF(OR(G804="",G804="NOT ON LIST"),"",VLOOKUP(G804,Students!$A:$C,2,FALSE))</f>
        <v/>
      </c>
      <c r="I804" s="35">
        <f>IF(OR(G804="",G804="NOT ON LIST"),"",VLOOKUP(G804,Students!$A:$C,3,FALSE)&amp;"")</f>
        <v/>
      </c>
    </row>
    <row r="805">
      <c r="A805" s="31" t="n">
        <v>46333.80208333334</v>
      </c>
      <c r="B805" s="32" t="inlineStr">
        <is>
          <t>Mia Gutierrez</t>
        </is>
      </c>
      <c r="C805" s="32" t="inlineStr">
        <is>
          <t>Noah Gutierrez</t>
        </is>
      </c>
      <c r="D805" s="33" t="n">
        <v>10</v>
      </c>
      <c r="E805" s="32" t="inlineStr">
        <is>
          <t>OneCause</t>
        </is>
      </c>
      <c r="F805" s="34">
        <f>IF(A805="","",IFERROR(INT(A805),"check date"))</f>
        <v/>
      </c>
      <c r="G805" s="35">
        <f>IF(B805="","",IFERROR(INDEX(Students!$A:$A,MATCH(TRIM(B805),Students!$A:$A,0)),"NOT ON LIST"))</f>
        <v/>
      </c>
      <c r="H805" s="35">
        <f>IF(OR(G805="",G805="NOT ON LIST"),"",VLOOKUP(G805,Students!$A:$C,2,FALSE))</f>
        <v/>
      </c>
      <c r="I805" s="35">
        <f>IF(OR(G805="",G805="NOT ON LIST"),"",VLOOKUP(G805,Students!$A:$C,3,FALSE)&amp;"")</f>
        <v/>
      </c>
    </row>
    <row r="806">
      <c r="A806" s="31" t="n">
        <v>46326</v>
      </c>
      <c r="B806" s="32" t="inlineStr">
        <is>
          <t>Samuel Gutierrez</t>
        </is>
      </c>
      <c r="C806" s="32" t="inlineStr">
        <is>
          <t>Elijah Gutierrez</t>
        </is>
      </c>
      <c r="D806" s="33" t="n">
        <v>100</v>
      </c>
      <c r="E806" s="32" t="inlineStr">
        <is>
          <t>Cash</t>
        </is>
      </c>
      <c r="F806" s="34">
        <f>IF(A806="","",IFERROR(INT(A806),"check date"))</f>
        <v/>
      </c>
      <c r="G806" s="35">
        <f>IF(B806="","",IFERROR(INDEX(Students!$A:$A,MATCH(TRIM(B806),Students!$A:$A,0)),"NOT ON LIST"))</f>
        <v/>
      </c>
      <c r="H806" s="35">
        <f>IF(OR(G806="",G806="NOT ON LIST"),"",VLOOKUP(G806,Students!$A:$C,2,FALSE))</f>
        <v/>
      </c>
      <c r="I806" s="35">
        <f>IF(OR(G806="",G806="NOT ON LIST"),"",VLOOKUP(G806,Students!$A:$C,3,FALSE)&amp;"")</f>
        <v/>
      </c>
    </row>
    <row r="807">
      <c r="A807" s="31" t="n">
        <v>46328</v>
      </c>
      <c r="B807" s="32" t="inlineStr">
        <is>
          <t>Harper Ortiz</t>
        </is>
      </c>
      <c r="C807" s="32" t="inlineStr">
        <is>
          <t>Lily Ortiz</t>
        </is>
      </c>
      <c r="D807" s="33" t="n">
        <v>20</v>
      </c>
      <c r="E807" s="32" t="inlineStr">
        <is>
          <t>Cash</t>
        </is>
      </c>
      <c r="F807" s="34">
        <f>IF(A807="","",IFERROR(INT(A807),"check date"))</f>
        <v/>
      </c>
      <c r="G807" s="35">
        <f>IF(B807="","",IFERROR(INDEX(Students!$A:$A,MATCH(TRIM(B807),Students!$A:$A,0)),"NOT ON LIST"))</f>
        <v/>
      </c>
      <c r="H807" s="35">
        <f>IF(OR(G807="",G807="NOT ON LIST"),"",VLOOKUP(G807,Students!$A:$C,2,FALSE))</f>
        <v/>
      </c>
      <c r="I807" s="35">
        <f>IF(OR(G807="",G807="NOT ON LIST"),"",VLOOKUP(G807,Students!$A:$C,3,FALSE)&amp;"")</f>
        <v/>
      </c>
    </row>
    <row r="808">
      <c r="A808" s="31" t="n">
        <v>46328.88541666666</v>
      </c>
      <c r="B808" s="32" t="inlineStr">
        <is>
          <t>Maya Torres</t>
        </is>
      </c>
      <c r="C808" s="32" t="inlineStr">
        <is>
          <t>Elijah Torres</t>
        </is>
      </c>
      <c r="D808" s="33" t="n">
        <v>50</v>
      </c>
      <c r="E808" s="32" t="inlineStr">
        <is>
          <t>OneCause</t>
        </is>
      </c>
      <c r="F808" s="34">
        <f>IF(A808="","",IFERROR(INT(A808),"check date"))</f>
        <v/>
      </c>
      <c r="G808" s="35">
        <f>IF(B808="","",IFERROR(INDEX(Students!$A:$A,MATCH(TRIM(B808),Students!$A:$A,0)),"NOT ON LIST"))</f>
        <v/>
      </c>
      <c r="H808" s="35">
        <f>IF(OR(G808="",G808="NOT ON LIST"),"",VLOOKUP(G808,Students!$A:$C,2,FALSE))</f>
        <v/>
      </c>
      <c r="I808" s="35">
        <f>IF(OR(G808="",G808="NOT ON LIST"),"",VLOOKUP(G808,Students!$A:$C,3,FALSE)&amp;"")</f>
        <v/>
      </c>
    </row>
    <row r="809">
      <c r="A809" s="31" t="n">
        <v>46338.32291666666</v>
      </c>
      <c r="B809" s="32" t="inlineStr">
        <is>
          <t>Sofia Lopez</t>
        </is>
      </c>
      <c r="C809" s="32" t="inlineStr">
        <is>
          <t>Nicolas Lopez</t>
        </is>
      </c>
      <c r="D809" s="33" t="n">
        <v>25</v>
      </c>
      <c r="E809" s="32" t="inlineStr">
        <is>
          <t>OneCause</t>
        </is>
      </c>
      <c r="F809" s="34">
        <f>IF(A809="","",IFERROR(INT(A809),"check date"))</f>
        <v/>
      </c>
      <c r="G809" s="35">
        <f>IF(B809="","",IFERROR(INDEX(Students!$A:$A,MATCH(TRIM(B809),Students!$A:$A,0)),"NOT ON LIST"))</f>
        <v/>
      </c>
      <c r="H809" s="35">
        <f>IF(OR(G809="",G809="NOT ON LIST"),"",VLOOKUP(G809,Students!$A:$C,2,FALSE))</f>
        <v/>
      </c>
      <c r="I809" s="35">
        <f>IF(OR(G809="",G809="NOT ON LIST"),"",VLOOKUP(G809,Students!$A:$C,3,FALSE)&amp;"")</f>
        <v/>
      </c>
    </row>
    <row r="810">
      <c r="A810" s="31" t="n">
        <v>46329.29166666666</v>
      </c>
      <c r="B810" s="32" t="inlineStr">
        <is>
          <t>Elena Rivera</t>
        </is>
      </c>
      <c r="C810" s="32" t="inlineStr">
        <is>
          <t>Henry Rivera</t>
        </is>
      </c>
      <c r="D810" s="33" t="n">
        <v>20</v>
      </c>
      <c r="E810" s="32" t="inlineStr">
        <is>
          <t>OneCause</t>
        </is>
      </c>
      <c r="F810" s="34">
        <f>IF(A810="","",IFERROR(INT(A810),"check date"))</f>
        <v/>
      </c>
      <c r="G810" s="35">
        <f>IF(B810="","",IFERROR(INDEX(Students!$A:$A,MATCH(TRIM(B810),Students!$A:$A,0)),"NOT ON LIST"))</f>
        <v/>
      </c>
      <c r="H810" s="35">
        <f>IF(OR(G810="",G810="NOT ON LIST"),"",VLOOKUP(G810,Students!$A:$C,2,FALSE))</f>
        <v/>
      </c>
      <c r="I810" s="35">
        <f>IF(OR(G810="",G810="NOT ON LIST"),"",VLOOKUP(G810,Students!$A:$C,3,FALSE)&amp;"")</f>
        <v/>
      </c>
    </row>
    <row r="811">
      <c r="A811" s="31" t="n">
        <v>46336</v>
      </c>
      <c r="B811" s="32" t="inlineStr">
        <is>
          <t>James Gutierrez</t>
        </is>
      </c>
      <c r="C811" s="32" t="inlineStr">
        <is>
          <t>Olivia Gutierrez</t>
        </is>
      </c>
      <c r="D811" s="33" t="n">
        <v>25</v>
      </c>
      <c r="E811" s="32" t="inlineStr">
        <is>
          <t>Cash</t>
        </is>
      </c>
      <c r="F811" s="34">
        <f>IF(A811="","",IFERROR(INT(A811),"check date"))</f>
        <v/>
      </c>
      <c r="G811" s="35">
        <f>IF(B811="","",IFERROR(INDEX(Students!$A:$A,MATCH(TRIM(B811),Students!$A:$A,0)),"NOT ON LIST"))</f>
        <v/>
      </c>
      <c r="H811" s="35">
        <f>IF(OR(G811="",G811="NOT ON LIST"),"",VLOOKUP(G811,Students!$A:$C,2,FALSE))</f>
        <v/>
      </c>
      <c r="I811" s="35">
        <f>IF(OR(G811="",G811="NOT ON LIST"),"",VLOOKUP(G811,Students!$A:$C,3,FALSE)&amp;"")</f>
        <v/>
      </c>
    </row>
    <row r="812">
      <c r="A812" s="31" t="n">
        <v>46326.63541666666</v>
      </c>
      <c r="B812" s="32" t="inlineStr">
        <is>
          <t>Amelia Williams</t>
        </is>
      </c>
      <c r="C812" s="32" t="inlineStr">
        <is>
          <t>Elijah Williams</t>
        </is>
      </c>
      <c r="D812" s="33" t="n">
        <v>50</v>
      </c>
      <c r="E812" s="32" t="inlineStr">
        <is>
          <t>OneCause</t>
        </is>
      </c>
      <c r="F812" s="34">
        <f>IF(A812="","",IFERROR(INT(A812),"check date"))</f>
        <v/>
      </c>
      <c r="G812" s="35">
        <f>IF(B812="","",IFERROR(INDEX(Students!$A:$A,MATCH(TRIM(B812),Students!$A:$A,0)),"NOT ON LIST"))</f>
        <v/>
      </c>
      <c r="H812" s="35">
        <f>IF(OR(G812="",G812="NOT ON LIST"),"",VLOOKUP(G812,Students!$A:$C,2,FALSE))</f>
        <v/>
      </c>
      <c r="I812" s="35">
        <f>IF(OR(G812="",G812="NOT ON LIST"),"",VLOOKUP(G812,Students!$A:$C,3,FALSE)&amp;"")</f>
        <v/>
      </c>
    </row>
    <row r="813">
      <c r="A813" s="31" t="n">
        <v>46325.64583333334</v>
      </c>
      <c r="B813" s="32" t="inlineStr">
        <is>
          <t>Noah Hernandez</t>
        </is>
      </c>
      <c r="C813" s="32" t="inlineStr">
        <is>
          <t>Henry Hernandez</t>
        </is>
      </c>
      <c r="D813" s="33" t="n">
        <v>25</v>
      </c>
      <c r="E813" s="32" t="inlineStr">
        <is>
          <t>OneCause</t>
        </is>
      </c>
      <c r="F813" s="34">
        <f>IF(A813="","",IFERROR(INT(A813),"check date"))</f>
        <v/>
      </c>
      <c r="G813" s="35">
        <f>IF(B813="","",IFERROR(INDEX(Students!$A:$A,MATCH(TRIM(B813),Students!$A:$A,0)),"NOT ON LIST"))</f>
        <v/>
      </c>
      <c r="H813" s="35">
        <f>IF(OR(G813="",G813="NOT ON LIST"),"",VLOOKUP(G813,Students!$A:$C,2,FALSE))</f>
        <v/>
      </c>
      <c r="I813" s="35">
        <f>IF(OR(G813="",G813="NOT ON LIST"),"",VLOOKUP(G813,Students!$A:$C,3,FALSE)&amp;"")</f>
        <v/>
      </c>
    </row>
    <row r="814">
      <c r="A814" s="31" t="n">
        <v>46334.69791666666</v>
      </c>
      <c r="B814" s="32" t="inlineStr">
        <is>
          <t>Aria Torres</t>
        </is>
      </c>
      <c r="C814" s="32" t="inlineStr">
        <is>
          <t>Leo Torres</t>
        </is>
      </c>
      <c r="D814" s="33" t="n">
        <v>10</v>
      </c>
      <c r="E814" s="32" t="inlineStr">
        <is>
          <t>OneCause</t>
        </is>
      </c>
      <c r="F814" s="34">
        <f>IF(A814="","",IFERROR(INT(A814),"check date"))</f>
        <v/>
      </c>
      <c r="G814" s="35">
        <f>IF(B814="","",IFERROR(INDEX(Students!$A:$A,MATCH(TRIM(B814),Students!$A:$A,0)),"NOT ON LIST"))</f>
        <v/>
      </c>
      <c r="H814" s="35">
        <f>IF(OR(G814="",G814="NOT ON LIST"),"",VLOOKUP(G814,Students!$A:$C,2,FALSE))</f>
        <v/>
      </c>
      <c r="I814" s="35">
        <f>IF(OR(G814="",G814="NOT ON LIST"),"",VLOOKUP(G814,Students!$A:$C,3,FALSE)&amp;"")</f>
        <v/>
      </c>
    </row>
    <row r="815">
      <c r="A815" s="31" t="n">
        <v>46332.77083333334</v>
      </c>
      <c r="B815" s="32" t="inlineStr">
        <is>
          <t>Ava Ramos</t>
        </is>
      </c>
      <c r="C815" s="32" t="inlineStr">
        <is>
          <t>Liam Ramos</t>
        </is>
      </c>
      <c r="D815" s="33" t="n">
        <v>50</v>
      </c>
      <c r="E815" s="32" t="inlineStr">
        <is>
          <t>OneCause</t>
        </is>
      </c>
      <c r="F815" s="34">
        <f>IF(A815="","",IFERROR(INT(A815),"check date"))</f>
        <v/>
      </c>
      <c r="G815" s="35">
        <f>IF(B815="","",IFERROR(INDEX(Students!$A:$A,MATCH(TRIM(B815),Students!$A:$A,0)),"NOT ON LIST"))</f>
        <v/>
      </c>
      <c r="H815" s="35">
        <f>IF(OR(G815="",G815="NOT ON LIST"),"",VLOOKUP(G815,Students!$A:$C,2,FALSE))</f>
        <v/>
      </c>
      <c r="I815" s="35">
        <f>IF(OR(G815="",G815="NOT ON LIST"),"",VLOOKUP(G815,Students!$A:$C,3,FALSE)&amp;"")</f>
        <v/>
      </c>
    </row>
    <row r="816">
      <c r="A816" s="31" t="n">
        <v>46338.875</v>
      </c>
      <c r="B816" s="32" t="inlineStr">
        <is>
          <t>Adrian Patel</t>
        </is>
      </c>
      <c r="C816" s="32" t="inlineStr">
        <is>
          <t>Mateo Patel</t>
        </is>
      </c>
      <c r="D816" s="33" t="n">
        <v>25</v>
      </c>
      <c r="E816" s="32" t="inlineStr">
        <is>
          <t>OneCause</t>
        </is>
      </c>
      <c r="F816" s="34">
        <f>IF(A816="","",IFERROR(INT(A816),"check date"))</f>
        <v/>
      </c>
      <c r="G816" s="35">
        <f>IF(B816="","",IFERROR(INDEX(Students!$A:$A,MATCH(TRIM(B816),Students!$A:$A,0)),"NOT ON LIST"))</f>
        <v/>
      </c>
      <c r="H816" s="35">
        <f>IF(OR(G816="",G816="NOT ON LIST"),"",VLOOKUP(G816,Students!$A:$C,2,FALSE))</f>
        <v/>
      </c>
      <c r="I816" s="35">
        <f>IF(OR(G816="",G816="NOT ON LIST"),"",VLOOKUP(G816,Students!$A:$C,3,FALSE)&amp;"")</f>
        <v/>
      </c>
    </row>
    <row r="817">
      <c r="A817" s="31" t="n">
        <v>46333.3125</v>
      </c>
      <c r="B817" s="32" t="inlineStr">
        <is>
          <t>Leo Gutierrez</t>
        </is>
      </c>
      <c r="C817" s="32" t="inlineStr">
        <is>
          <t>Emma Gutierrez</t>
        </is>
      </c>
      <c r="D817" s="33" t="n">
        <v>20</v>
      </c>
      <c r="E817" s="32" t="inlineStr">
        <is>
          <t>OneCause</t>
        </is>
      </c>
      <c r="F817" s="34">
        <f>IF(A817="","",IFERROR(INT(A817),"check date"))</f>
        <v/>
      </c>
      <c r="G817" s="35">
        <f>IF(B817="","",IFERROR(INDEX(Students!$A:$A,MATCH(TRIM(B817),Students!$A:$A,0)),"NOT ON LIST"))</f>
        <v/>
      </c>
      <c r="H817" s="35">
        <f>IF(OR(G817="",G817="NOT ON LIST"),"",VLOOKUP(G817,Students!$A:$C,2,FALSE))</f>
        <v/>
      </c>
      <c r="I817" s="35">
        <f>IF(OR(G817="",G817="NOT ON LIST"),"",VLOOKUP(G817,Students!$A:$C,3,FALSE)&amp;"")</f>
        <v/>
      </c>
    </row>
    <row r="818">
      <c r="A818" s="31" t="n">
        <v>46326.72916666666</v>
      </c>
      <c r="B818" s="32" t="inlineStr">
        <is>
          <t>Mateo Martinez</t>
        </is>
      </c>
      <c r="C818" s="32" t="inlineStr">
        <is>
          <t>Sofia Martinez</t>
        </is>
      </c>
      <c r="D818" s="33" t="n">
        <v>25</v>
      </c>
      <c r="E818" s="32" t="inlineStr">
        <is>
          <t>OneCause</t>
        </is>
      </c>
      <c r="F818" s="34">
        <f>IF(A818="","",IFERROR(INT(A818),"check date"))</f>
        <v/>
      </c>
      <c r="G818" s="35">
        <f>IF(B818="","",IFERROR(INDEX(Students!$A:$A,MATCH(TRIM(B818),Students!$A:$A,0)),"NOT ON LIST"))</f>
        <v/>
      </c>
      <c r="H818" s="35">
        <f>IF(OR(G818="",G818="NOT ON LIST"),"",VLOOKUP(G818,Students!$A:$C,2,FALSE))</f>
        <v/>
      </c>
      <c r="I818" s="35">
        <f>IF(OR(G818="",G818="NOT ON LIST"),"",VLOOKUP(G818,Students!$A:$C,3,FALSE)&amp;"")</f>
        <v/>
      </c>
    </row>
    <row r="819">
      <c r="A819" s="31" t="n">
        <v>46339.78125</v>
      </c>
      <c r="B819" s="32" t="inlineStr">
        <is>
          <t>Mateo Gutierrez</t>
        </is>
      </c>
      <c r="C819" s="32" t="inlineStr">
        <is>
          <t>Gabriel Gutierrez</t>
        </is>
      </c>
      <c r="D819" s="33" t="n">
        <v>25</v>
      </c>
      <c r="E819" s="32" t="inlineStr">
        <is>
          <t>OneCause</t>
        </is>
      </c>
      <c r="F819" s="34">
        <f>IF(A819="","",IFERROR(INT(A819),"check date"))</f>
        <v/>
      </c>
      <c r="G819" s="35">
        <f>IF(B819="","",IFERROR(INDEX(Students!$A:$A,MATCH(TRIM(B819),Students!$A:$A,0)),"NOT ON LIST"))</f>
        <v/>
      </c>
      <c r="H819" s="35">
        <f>IF(OR(G819="",G819="NOT ON LIST"),"",VLOOKUP(G819,Students!$A:$C,2,FALSE))</f>
        <v/>
      </c>
      <c r="I819" s="35">
        <f>IF(OR(G819="",G819="NOT ON LIST"),"",VLOOKUP(G819,Students!$A:$C,3,FALSE)&amp;"")</f>
        <v/>
      </c>
    </row>
    <row r="820">
      <c r="A820" s="31" t="n">
        <v>46337.83333333334</v>
      </c>
      <c r="B820" s="32" t="inlineStr">
        <is>
          <t>Noah Gomez</t>
        </is>
      </c>
      <c r="C820" s="32" t="inlineStr">
        <is>
          <t>Emma Gomez</t>
        </is>
      </c>
      <c r="D820" s="33" t="n">
        <v>40</v>
      </c>
      <c r="E820" s="32" t="inlineStr">
        <is>
          <t>OneCause</t>
        </is>
      </c>
      <c r="F820" s="34">
        <f>IF(A820="","",IFERROR(INT(A820),"check date"))</f>
        <v/>
      </c>
      <c r="G820" s="35">
        <f>IF(B820="","",IFERROR(INDEX(Students!$A:$A,MATCH(TRIM(B820),Students!$A:$A,0)),"NOT ON LIST"))</f>
        <v/>
      </c>
      <c r="H820" s="35">
        <f>IF(OR(G820="",G820="NOT ON LIST"),"",VLOOKUP(G820,Students!$A:$C,2,FALSE))</f>
        <v/>
      </c>
      <c r="I820" s="35">
        <f>IF(OR(G820="",G820="NOT ON LIST"),"",VLOOKUP(G820,Students!$A:$C,3,FALSE)&amp;"")</f>
        <v/>
      </c>
    </row>
    <row r="821">
      <c r="A821" s="31" t="n">
        <v>46334.48958333334</v>
      </c>
      <c r="B821" s="32" t="inlineStr">
        <is>
          <t>Henry Martinez</t>
        </is>
      </c>
      <c r="C821" s="32" t="inlineStr">
        <is>
          <t>Isaac Martinez</t>
        </is>
      </c>
      <c r="D821" s="33" t="n">
        <v>50</v>
      </c>
      <c r="E821" s="32" t="inlineStr">
        <is>
          <t>OneCause</t>
        </is>
      </c>
      <c r="F821" s="34">
        <f>IF(A821="","",IFERROR(INT(A821),"check date"))</f>
        <v/>
      </c>
      <c r="G821" s="35">
        <f>IF(B821="","",IFERROR(INDEX(Students!$A:$A,MATCH(TRIM(B821),Students!$A:$A,0)),"NOT ON LIST"))</f>
        <v/>
      </c>
      <c r="H821" s="35">
        <f>IF(OR(G821="",G821="NOT ON LIST"),"",VLOOKUP(G821,Students!$A:$C,2,FALSE))</f>
        <v/>
      </c>
      <c r="I821" s="35">
        <f>IF(OR(G821="",G821="NOT ON LIST"),"",VLOOKUP(G821,Students!$A:$C,3,FALSE)&amp;"")</f>
        <v/>
      </c>
    </row>
    <row r="822">
      <c r="A822" s="31" t="n">
        <v>46336</v>
      </c>
      <c r="B822" s="32" t="inlineStr">
        <is>
          <t>Joseph Vasquez</t>
        </is>
      </c>
      <c r="C822" s="32" t="inlineStr">
        <is>
          <t>Julian Vasquez</t>
        </is>
      </c>
      <c r="D822" s="33" t="n">
        <v>10</v>
      </c>
      <c r="E822" s="32" t="inlineStr">
        <is>
          <t>Cash</t>
        </is>
      </c>
      <c r="F822" s="34">
        <f>IF(A822="","",IFERROR(INT(A822),"check date"))</f>
        <v/>
      </c>
      <c r="G822" s="35">
        <f>IF(B822="","",IFERROR(INDEX(Students!$A:$A,MATCH(TRIM(B822),Students!$A:$A,0)),"NOT ON LIST"))</f>
        <v/>
      </c>
      <c r="H822" s="35">
        <f>IF(OR(G822="",G822="NOT ON LIST"),"",VLOOKUP(G822,Students!$A:$C,2,FALSE))</f>
        <v/>
      </c>
      <c r="I822" s="35">
        <f>IF(OR(G822="",G822="NOT ON LIST"),"",VLOOKUP(G822,Students!$A:$C,3,FALSE)&amp;"")</f>
        <v/>
      </c>
    </row>
    <row r="823">
      <c r="A823" s="31" t="n">
        <v>46339.48958333334</v>
      </c>
      <c r="B823" s="32" t="inlineStr">
        <is>
          <t>Sofia Nguyen</t>
        </is>
      </c>
      <c r="C823" s="32" t="inlineStr">
        <is>
          <t>Clara Nguyen</t>
        </is>
      </c>
      <c r="D823" s="33" t="n">
        <v>20</v>
      </c>
      <c r="E823" s="32" t="inlineStr">
        <is>
          <t>OneCause</t>
        </is>
      </c>
      <c r="F823" s="34">
        <f>IF(A823="","",IFERROR(INT(A823),"check date"))</f>
        <v/>
      </c>
      <c r="G823" s="35">
        <f>IF(B823="","",IFERROR(INDEX(Students!$A:$A,MATCH(TRIM(B823),Students!$A:$A,0)),"NOT ON LIST"))</f>
        <v/>
      </c>
      <c r="H823" s="35">
        <f>IF(OR(G823="",G823="NOT ON LIST"),"",VLOOKUP(G823,Students!$A:$C,2,FALSE))</f>
        <v/>
      </c>
      <c r="I823" s="35">
        <f>IF(OR(G823="",G823="NOT ON LIST"),"",VLOOKUP(G823,Students!$A:$C,3,FALSE)&amp;"")</f>
        <v/>
      </c>
    </row>
    <row r="824">
      <c r="A824" s="31" t="n">
        <v>46331.33333333334</v>
      </c>
      <c r="B824" s="32" t="inlineStr">
        <is>
          <t>Evelyn Cruz</t>
        </is>
      </c>
      <c r="C824" s="32" t="inlineStr">
        <is>
          <t>Elijah Cruz</t>
        </is>
      </c>
      <c r="D824" s="33" t="n">
        <v>25</v>
      </c>
      <c r="E824" s="32" t="inlineStr">
        <is>
          <t>OneCause</t>
        </is>
      </c>
      <c r="F824" s="34">
        <f>IF(A824="","",IFERROR(INT(A824),"check date"))</f>
        <v/>
      </c>
      <c r="G824" s="35">
        <f>IF(B824="","",IFERROR(INDEX(Students!$A:$A,MATCH(TRIM(B824),Students!$A:$A,0)),"NOT ON LIST"))</f>
        <v/>
      </c>
      <c r="H824" s="35">
        <f>IF(OR(G824="",G824="NOT ON LIST"),"",VLOOKUP(G824,Students!$A:$C,2,FALSE))</f>
        <v/>
      </c>
      <c r="I824" s="35">
        <f>IF(OR(G824="",G824="NOT ON LIST"),"",VLOOKUP(G824,Students!$A:$C,3,FALSE)&amp;"")</f>
        <v/>
      </c>
    </row>
    <row r="825">
      <c r="A825" s="31" t="n">
        <v>46338.65625</v>
      </c>
      <c r="B825" s="32" t="inlineStr">
        <is>
          <t>Emma O'Brien</t>
        </is>
      </c>
      <c r="C825" s="32" t="inlineStr">
        <is>
          <t>Nora O'Brien</t>
        </is>
      </c>
      <c r="D825" s="33" t="n">
        <v>25</v>
      </c>
      <c r="E825" s="32" t="inlineStr">
        <is>
          <t>OneCause</t>
        </is>
      </c>
      <c r="F825" s="34">
        <f>IF(A825="","",IFERROR(INT(A825),"check date"))</f>
        <v/>
      </c>
      <c r="G825" s="35">
        <f>IF(B825="","",IFERROR(INDEX(Students!$A:$A,MATCH(TRIM(B825),Students!$A:$A,0)),"NOT ON LIST"))</f>
        <v/>
      </c>
      <c r="H825" s="35">
        <f>IF(OR(G825="",G825="NOT ON LIST"),"",VLOOKUP(G825,Students!$A:$C,2,FALSE))</f>
        <v/>
      </c>
      <c r="I825" s="35">
        <f>IF(OR(G825="",G825="NOT ON LIST"),"",VLOOKUP(G825,Students!$A:$C,3,FALSE)&amp;"")</f>
        <v/>
      </c>
    </row>
    <row r="826">
      <c r="A826" s="31" t="n">
        <v>46330.51041666666</v>
      </c>
      <c r="B826" s="32" t="inlineStr">
        <is>
          <t>James Gutierrez</t>
        </is>
      </c>
      <c r="C826" s="32" t="inlineStr">
        <is>
          <t>David Gutierrez</t>
        </is>
      </c>
      <c r="D826" s="33" t="n">
        <v>10</v>
      </c>
      <c r="E826" s="32" t="inlineStr">
        <is>
          <t>OneCause</t>
        </is>
      </c>
      <c r="F826" s="34">
        <f>IF(A826="","",IFERROR(INT(A826),"check date"))</f>
        <v/>
      </c>
      <c r="G826" s="35">
        <f>IF(B826="","",IFERROR(INDEX(Students!$A:$A,MATCH(TRIM(B826),Students!$A:$A,0)),"NOT ON LIST"))</f>
        <v/>
      </c>
      <c r="H826" s="35">
        <f>IF(OR(G826="",G826="NOT ON LIST"),"",VLOOKUP(G826,Students!$A:$C,2,FALSE))</f>
        <v/>
      </c>
      <c r="I826" s="35">
        <f>IF(OR(G826="",G826="NOT ON LIST"),"",VLOOKUP(G826,Students!$A:$C,3,FALSE)&amp;"")</f>
        <v/>
      </c>
    </row>
    <row r="827">
      <c r="A827" s="31" t="n">
        <v>46328.65625</v>
      </c>
      <c r="B827" s="32" t="inlineStr">
        <is>
          <t>Elijah Byrne</t>
        </is>
      </c>
      <c r="C827" s="32" t="inlineStr">
        <is>
          <t>Zoe Byrne</t>
        </is>
      </c>
      <c r="D827" s="33" t="n">
        <v>20</v>
      </c>
      <c r="E827" s="32" t="inlineStr">
        <is>
          <t>OneCause</t>
        </is>
      </c>
      <c r="F827" s="34">
        <f>IF(A827="","",IFERROR(INT(A827),"check date"))</f>
        <v/>
      </c>
      <c r="G827" s="35">
        <f>IF(B827="","",IFERROR(INDEX(Students!$A:$A,MATCH(TRIM(B827),Students!$A:$A,0)),"NOT ON LIST"))</f>
        <v/>
      </c>
      <c r="H827" s="35">
        <f>IF(OR(G827="",G827="NOT ON LIST"),"",VLOOKUP(G827,Students!$A:$C,2,FALSE))</f>
        <v/>
      </c>
      <c r="I827" s="35">
        <f>IF(OR(G827="",G827="NOT ON LIST"),"",VLOOKUP(G827,Students!$A:$C,3,FALSE)&amp;"")</f>
        <v/>
      </c>
    </row>
    <row r="828">
      <c r="A828" s="31" t="n">
        <v>46337.69791666666</v>
      </c>
      <c r="B828" s="32" t="inlineStr">
        <is>
          <t>Luna Walsh</t>
        </is>
      </c>
      <c r="C828" s="32" t="inlineStr">
        <is>
          <t>Isaac Walsh</t>
        </is>
      </c>
      <c r="D828" s="33" t="n">
        <v>25</v>
      </c>
      <c r="E828" s="32" t="inlineStr">
        <is>
          <t>OneCause</t>
        </is>
      </c>
      <c r="F828" s="34">
        <f>IF(A828="","",IFERROR(INT(A828),"check date"))</f>
        <v/>
      </c>
      <c r="G828" s="35">
        <f>IF(B828="","",IFERROR(INDEX(Students!$A:$A,MATCH(TRIM(B828),Students!$A:$A,0)),"NOT ON LIST"))</f>
        <v/>
      </c>
      <c r="H828" s="35">
        <f>IF(OR(G828="",G828="NOT ON LIST"),"",VLOOKUP(G828,Students!$A:$C,2,FALSE))</f>
        <v/>
      </c>
      <c r="I828" s="35">
        <f>IF(OR(G828="",G828="NOT ON LIST"),"",VLOOKUP(G828,Students!$A:$C,3,FALSE)&amp;"")</f>
        <v/>
      </c>
    </row>
    <row r="829">
      <c r="A829" s="31" t="n">
        <v>46331.32291666666</v>
      </c>
      <c r="B829" s="32" t="inlineStr">
        <is>
          <t>Santiago O'Brien</t>
        </is>
      </c>
      <c r="C829" s="32" t="inlineStr">
        <is>
          <t>Aria O'Brien</t>
        </is>
      </c>
      <c r="D829" s="33" t="n">
        <v>10</v>
      </c>
      <c r="E829" s="32" t="inlineStr">
        <is>
          <t>OneCause</t>
        </is>
      </c>
      <c r="F829" s="34">
        <f>IF(A829="","",IFERROR(INT(A829),"check date"))</f>
        <v/>
      </c>
      <c r="G829" s="35">
        <f>IF(B829="","",IFERROR(INDEX(Students!$A:$A,MATCH(TRIM(B829),Students!$A:$A,0)),"NOT ON LIST"))</f>
        <v/>
      </c>
      <c r="H829" s="35">
        <f>IF(OR(G829="",G829="NOT ON LIST"),"",VLOOKUP(G829,Students!$A:$C,2,FALSE))</f>
        <v/>
      </c>
      <c r="I829" s="35">
        <f>IF(OR(G829="",G829="NOT ON LIST"),"",VLOOKUP(G829,Students!$A:$C,3,FALSE)&amp;"")</f>
        <v/>
      </c>
    </row>
    <row r="830">
      <c r="A830" s="31" t="n">
        <v>46333.79166666666</v>
      </c>
      <c r="B830" s="32" t="inlineStr">
        <is>
          <t>David Cruz</t>
        </is>
      </c>
      <c r="C830" s="32" t="inlineStr">
        <is>
          <t>Ella Cruz</t>
        </is>
      </c>
      <c r="D830" s="33" t="n">
        <v>10</v>
      </c>
      <c r="E830" s="32" t="inlineStr">
        <is>
          <t>OneCause</t>
        </is>
      </c>
      <c r="F830" s="34">
        <f>IF(A830="","",IFERROR(INT(A830),"check date"))</f>
        <v/>
      </c>
      <c r="G830" s="35">
        <f>IF(B830="","",IFERROR(INDEX(Students!$A:$A,MATCH(TRIM(B830),Students!$A:$A,0)),"NOT ON LIST"))</f>
        <v/>
      </c>
      <c r="H830" s="35">
        <f>IF(OR(G830="",G830="NOT ON LIST"),"",VLOOKUP(G830,Students!$A:$C,2,FALSE))</f>
        <v/>
      </c>
      <c r="I830" s="35">
        <f>IF(OR(G830="",G830="NOT ON LIST"),"",VLOOKUP(G830,Students!$A:$C,3,FALSE)&amp;"")</f>
        <v/>
      </c>
    </row>
    <row r="831">
      <c r="A831" s="31" t="n">
        <v>46335.29166666666</v>
      </c>
      <c r="B831" s="32" t="inlineStr">
        <is>
          <t>Ava Perez</t>
        </is>
      </c>
      <c r="C831" s="32" t="inlineStr">
        <is>
          <t>Lily Perez</t>
        </is>
      </c>
      <c r="D831" s="33" t="n">
        <v>20</v>
      </c>
      <c r="E831" s="32" t="inlineStr">
        <is>
          <t>OneCause</t>
        </is>
      </c>
      <c r="F831" s="34">
        <f>IF(A831="","",IFERROR(INT(A831),"check date"))</f>
        <v/>
      </c>
      <c r="G831" s="35">
        <f>IF(B831="","",IFERROR(INDEX(Students!$A:$A,MATCH(TRIM(B831),Students!$A:$A,0)),"NOT ON LIST"))</f>
        <v/>
      </c>
      <c r="H831" s="35">
        <f>IF(OR(G831="",G831="NOT ON LIST"),"",VLOOKUP(G831,Students!$A:$C,2,FALSE))</f>
        <v/>
      </c>
      <c r="I831" s="35">
        <f>IF(OR(G831="",G831="NOT ON LIST"),"",VLOOKUP(G831,Students!$A:$C,3,FALSE)&amp;"")</f>
        <v/>
      </c>
    </row>
    <row r="832">
      <c r="A832" s="31" t="n">
        <v>46327.57291666666</v>
      </c>
      <c r="B832" s="32" t="inlineStr">
        <is>
          <t>Evelyn Nguyen</t>
        </is>
      </c>
      <c r="C832" s="32" t="inlineStr">
        <is>
          <t>Amelia Nguyen</t>
        </is>
      </c>
      <c r="D832" s="33" t="n">
        <v>50</v>
      </c>
      <c r="E832" s="32" t="inlineStr">
        <is>
          <t>OneCause</t>
        </is>
      </c>
      <c r="F832" s="34">
        <f>IF(A832="","",IFERROR(INT(A832),"check date"))</f>
        <v/>
      </c>
      <c r="G832" s="35">
        <f>IF(B832="","",IFERROR(INDEX(Students!$A:$A,MATCH(TRIM(B832),Students!$A:$A,0)),"NOT ON LIST"))</f>
        <v/>
      </c>
      <c r="H832" s="35">
        <f>IF(OR(G832="",G832="NOT ON LIST"),"",VLOOKUP(G832,Students!$A:$C,2,FALSE))</f>
        <v/>
      </c>
      <c r="I832" s="35">
        <f>IF(OR(G832="",G832="NOT ON LIST"),"",VLOOKUP(G832,Students!$A:$C,3,FALSE)&amp;"")</f>
        <v/>
      </c>
    </row>
    <row r="833">
      <c r="A833" s="31" t="n">
        <v>46335.89583333334</v>
      </c>
      <c r="B833" s="32" t="inlineStr">
        <is>
          <t>Daniel Gomez</t>
        </is>
      </c>
      <c r="C833" s="32" t="inlineStr">
        <is>
          <t>Mia Gomez</t>
        </is>
      </c>
      <c r="D833" s="33" t="n">
        <v>50</v>
      </c>
      <c r="E833" s="32" t="inlineStr">
        <is>
          <t>OneCause</t>
        </is>
      </c>
      <c r="F833" s="34">
        <f>IF(A833="","",IFERROR(INT(A833),"check date"))</f>
        <v/>
      </c>
      <c r="G833" s="35">
        <f>IF(B833="","",IFERROR(INDEX(Students!$A:$A,MATCH(TRIM(B833),Students!$A:$A,0)),"NOT ON LIST"))</f>
        <v/>
      </c>
      <c r="H833" s="35">
        <f>IF(OR(G833="",G833="NOT ON LIST"),"",VLOOKUP(G833,Students!$A:$C,2,FALSE))</f>
        <v/>
      </c>
      <c r="I833" s="35">
        <f>IF(OR(G833="",G833="NOT ON LIST"),"",VLOOKUP(G833,Students!$A:$C,3,FALSE)&amp;"")</f>
        <v/>
      </c>
    </row>
    <row r="834">
      <c r="A834" s="31" t="n">
        <v>46325.80208333334</v>
      </c>
      <c r="B834" s="32" t="inlineStr">
        <is>
          <t>Valentina Castillo</t>
        </is>
      </c>
      <c r="C834" s="32" t="inlineStr">
        <is>
          <t>Olivia Castillo</t>
        </is>
      </c>
      <c r="D834" s="33" t="n">
        <v>100</v>
      </c>
      <c r="E834" s="32" t="inlineStr">
        <is>
          <t>OneCause</t>
        </is>
      </c>
      <c r="F834" s="34">
        <f>IF(A834="","",IFERROR(INT(A834),"check date"))</f>
        <v/>
      </c>
      <c r="G834" s="35">
        <f>IF(B834="","",IFERROR(INDEX(Students!$A:$A,MATCH(TRIM(B834),Students!$A:$A,0)),"NOT ON LIST"))</f>
        <v/>
      </c>
      <c r="H834" s="35">
        <f>IF(OR(G834="",G834="NOT ON LIST"),"",VLOOKUP(G834,Students!$A:$C,2,FALSE))</f>
        <v/>
      </c>
      <c r="I834" s="35">
        <f>IF(OR(G834="",G834="NOT ON LIST"),"",VLOOKUP(G834,Students!$A:$C,3,FALSE)&amp;"")</f>
        <v/>
      </c>
    </row>
    <row r="835">
      <c r="A835" s="31" t="n">
        <v>46336.45833333334</v>
      </c>
      <c r="B835" s="32" t="inlineStr">
        <is>
          <t>David Brown</t>
        </is>
      </c>
      <c r="C835" s="32" t="inlineStr">
        <is>
          <t>Lucas Brown</t>
        </is>
      </c>
      <c r="D835" s="33" t="n">
        <v>25</v>
      </c>
      <c r="E835" s="32" t="inlineStr">
        <is>
          <t>OneCause</t>
        </is>
      </c>
      <c r="F835" s="34">
        <f>IF(A835="","",IFERROR(INT(A835),"check date"))</f>
        <v/>
      </c>
      <c r="G835" s="35">
        <f>IF(B835="","",IFERROR(INDEX(Students!$A:$A,MATCH(TRIM(B835),Students!$A:$A,0)),"NOT ON LIST"))</f>
        <v/>
      </c>
      <c r="H835" s="35">
        <f>IF(OR(G835="",G835="NOT ON LIST"),"",VLOOKUP(G835,Students!$A:$C,2,FALSE))</f>
        <v/>
      </c>
      <c r="I835" s="35">
        <f>IF(OR(G835="",G835="NOT ON LIST"),"",VLOOKUP(G835,Students!$A:$C,3,FALSE)&amp;"")</f>
        <v/>
      </c>
    </row>
    <row r="836">
      <c r="A836" s="31" t="n">
        <v>46338.5625</v>
      </c>
      <c r="B836" s="32" t="inlineStr">
        <is>
          <t>Zoe Rivera</t>
        </is>
      </c>
      <c r="C836" s="32" t="inlineStr">
        <is>
          <t>Benjamin Rivera</t>
        </is>
      </c>
      <c r="D836" s="33" t="n">
        <v>25</v>
      </c>
      <c r="E836" s="32" t="inlineStr">
        <is>
          <t>OneCause</t>
        </is>
      </c>
      <c r="F836" s="34">
        <f>IF(A836="","",IFERROR(INT(A836),"check date"))</f>
        <v/>
      </c>
      <c r="G836" s="35">
        <f>IF(B836="","",IFERROR(INDEX(Students!$A:$A,MATCH(TRIM(B836),Students!$A:$A,0)),"NOT ON LIST"))</f>
        <v/>
      </c>
      <c r="H836" s="35">
        <f>IF(OR(G836="",G836="NOT ON LIST"),"",VLOOKUP(G836,Students!$A:$C,2,FALSE))</f>
        <v/>
      </c>
      <c r="I836" s="35">
        <f>IF(OR(G836="",G836="NOT ON LIST"),"",VLOOKUP(G836,Students!$A:$C,3,FALSE)&amp;"")</f>
        <v/>
      </c>
    </row>
    <row r="837">
      <c r="A837" s="31" t="n">
        <v>46332.66666666666</v>
      </c>
      <c r="B837" s="32" t="inlineStr">
        <is>
          <t>Maya Ryan</t>
        </is>
      </c>
      <c r="C837" s="32" t="inlineStr">
        <is>
          <t>Samuel Ryan</t>
        </is>
      </c>
      <c r="D837" s="33" t="n">
        <v>100</v>
      </c>
      <c r="E837" s="32" t="inlineStr">
        <is>
          <t>OneCause</t>
        </is>
      </c>
      <c r="F837" s="34">
        <f>IF(A837="","",IFERROR(INT(A837),"check date"))</f>
        <v/>
      </c>
      <c r="G837" s="35">
        <f>IF(B837="","",IFERROR(INDEX(Students!$A:$A,MATCH(TRIM(B837),Students!$A:$A,0)),"NOT ON LIST"))</f>
        <v/>
      </c>
      <c r="H837" s="35">
        <f>IF(OR(G837="",G837="NOT ON LIST"),"",VLOOKUP(G837,Students!$A:$C,2,FALSE))</f>
        <v/>
      </c>
      <c r="I837" s="35">
        <f>IF(OR(G837="",G837="NOT ON LIST"),"",VLOOKUP(G837,Students!$A:$C,3,FALSE)&amp;"")</f>
        <v/>
      </c>
    </row>
    <row r="838">
      <c r="A838" s="31" t="n">
        <v>46337.78125</v>
      </c>
      <c r="B838" s="32" t="inlineStr">
        <is>
          <t>Elijah Vasquez</t>
        </is>
      </c>
      <c r="C838" s="32" t="inlineStr">
        <is>
          <t>Santiago Vasquez</t>
        </is>
      </c>
      <c r="D838" s="33" t="n">
        <v>40</v>
      </c>
      <c r="E838" s="32" t="inlineStr">
        <is>
          <t>OneCause</t>
        </is>
      </c>
      <c r="F838" s="34">
        <f>IF(A838="","",IFERROR(INT(A838),"check date"))</f>
        <v/>
      </c>
      <c r="G838" s="35">
        <f>IF(B838="","",IFERROR(INDEX(Students!$A:$A,MATCH(TRIM(B838),Students!$A:$A,0)),"NOT ON LIST"))</f>
        <v/>
      </c>
      <c r="H838" s="35">
        <f>IF(OR(G838="",G838="NOT ON LIST"),"",VLOOKUP(G838,Students!$A:$C,2,FALSE))</f>
        <v/>
      </c>
      <c r="I838" s="35">
        <f>IF(OR(G838="",G838="NOT ON LIST"),"",VLOOKUP(G838,Students!$A:$C,3,FALSE)&amp;"")</f>
        <v/>
      </c>
    </row>
    <row r="839">
      <c r="A839" s="31" t="n">
        <v>46326.80208333334</v>
      </c>
      <c r="B839" s="32" t="inlineStr">
        <is>
          <t>Daniel Cruz</t>
        </is>
      </c>
      <c r="C839" s="32" t="inlineStr">
        <is>
          <t>Diego Cruz</t>
        </is>
      </c>
      <c r="D839" s="33" t="n">
        <v>20</v>
      </c>
      <c r="E839" s="32" t="inlineStr">
        <is>
          <t>OneCause</t>
        </is>
      </c>
      <c r="F839" s="34">
        <f>IF(A839="","",IFERROR(INT(A839),"check date"))</f>
        <v/>
      </c>
      <c r="G839" s="35">
        <f>IF(B839="","",IFERROR(INDEX(Students!$A:$A,MATCH(TRIM(B839),Students!$A:$A,0)),"NOT ON LIST"))</f>
        <v/>
      </c>
      <c r="H839" s="35">
        <f>IF(OR(G839="",G839="NOT ON LIST"),"",VLOOKUP(G839,Students!$A:$C,2,FALSE))</f>
        <v/>
      </c>
      <c r="I839" s="35">
        <f>IF(OR(G839="",G839="NOT ON LIST"),"",VLOOKUP(G839,Students!$A:$C,3,FALSE)&amp;"")</f>
        <v/>
      </c>
    </row>
    <row r="840">
      <c r="A840" s="31" t="n">
        <v>46326.86458333334</v>
      </c>
      <c r="B840" s="32" t="inlineStr">
        <is>
          <t>Liam Rodriguez</t>
        </is>
      </c>
      <c r="C840" s="32" t="inlineStr">
        <is>
          <t>Nicolas Rodriguez</t>
        </is>
      </c>
      <c r="D840" s="33" t="n">
        <v>50</v>
      </c>
      <c r="E840" s="32" t="inlineStr">
        <is>
          <t>OneCause</t>
        </is>
      </c>
      <c r="F840" s="34">
        <f>IF(A840="","",IFERROR(INT(A840),"check date"))</f>
        <v/>
      </c>
      <c r="G840" s="35">
        <f>IF(B840="","",IFERROR(INDEX(Students!$A:$A,MATCH(TRIM(B840),Students!$A:$A,0)),"NOT ON LIST"))</f>
        <v/>
      </c>
      <c r="H840" s="35">
        <f>IF(OR(G840="",G840="NOT ON LIST"),"",VLOOKUP(G840,Students!$A:$C,2,FALSE))</f>
        <v/>
      </c>
      <c r="I840" s="35">
        <f>IF(OR(G840="",G840="NOT ON LIST"),"",VLOOKUP(G840,Students!$A:$C,3,FALSE)&amp;"")</f>
        <v/>
      </c>
    </row>
    <row r="841">
      <c r="A841" s="31" t="n">
        <v>46338.33333333334</v>
      </c>
      <c r="B841" s="32" t="inlineStr">
        <is>
          <t>Joseph Williams</t>
        </is>
      </c>
      <c r="C841" s="32" t="inlineStr">
        <is>
          <t>Grace Williams</t>
        </is>
      </c>
      <c r="D841" s="33" t="n">
        <v>50</v>
      </c>
      <c r="E841" s="32" t="inlineStr">
        <is>
          <t>OneCause</t>
        </is>
      </c>
      <c r="F841" s="34">
        <f>IF(A841="","",IFERROR(INT(A841),"check date"))</f>
        <v/>
      </c>
      <c r="G841" s="35">
        <f>IF(B841="","",IFERROR(INDEX(Students!$A:$A,MATCH(TRIM(B841),Students!$A:$A,0)),"NOT ON LIST"))</f>
        <v/>
      </c>
      <c r="H841" s="35">
        <f>IF(OR(G841="",G841="NOT ON LIST"),"",VLOOKUP(G841,Students!$A:$C,2,FALSE))</f>
        <v/>
      </c>
      <c r="I841" s="35">
        <f>IF(OR(G841="",G841="NOT ON LIST"),"",VLOOKUP(G841,Students!$A:$C,3,FALSE)&amp;"")</f>
        <v/>
      </c>
    </row>
    <row r="842">
      <c r="A842" s="31" t="n">
        <v>46335.4375</v>
      </c>
      <c r="B842" s="32" t="inlineStr">
        <is>
          <t>Daniel Gomez</t>
        </is>
      </c>
      <c r="C842" s="32" t="inlineStr">
        <is>
          <t>David Gomez</t>
        </is>
      </c>
      <c r="D842" s="33" t="n">
        <v>100</v>
      </c>
      <c r="E842" s="32" t="inlineStr">
        <is>
          <t>OneCause</t>
        </is>
      </c>
      <c r="F842" s="34">
        <f>IF(A842="","",IFERROR(INT(A842),"check date"))</f>
        <v/>
      </c>
      <c r="G842" s="35">
        <f>IF(B842="","",IFERROR(INDEX(Students!$A:$A,MATCH(TRIM(B842),Students!$A:$A,0)),"NOT ON LIST"))</f>
        <v/>
      </c>
      <c r="H842" s="35">
        <f>IF(OR(G842="",G842="NOT ON LIST"),"",VLOOKUP(G842,Students!$A:$C,2,FALSE))</f>
        <v/>
      </c>
      <c r="I842" s="35">
        <f>IF(OR(G842="",G842="NOT ON LIST"),"",VLOOKUP(G842,Students!$A:$C,3,FALSE)&amp;"")</f>
        <v/>
      </c>
    </row>
    <row r="843">
      <c r="A843" s="31" t="n">
        <v>46331.53125</v>
      </c>
      <c r="B843" s="32" t="inlineStr">
        <is>
          <t>Daniel O'Brien</t>
        </is>
      </c>
      <c r="C843" s="32" t="inlineStr">
        <is>
          <t>Nora O'Brien</t>
        </is>
      </c>
      <c r="D843" s="33" t="n">
        <v>25</v>
      </c>
      <c r="E843" s="32" t="inlineStr">
        <is>
          <t>OneCause</t>
        </is>
      </c>
      <c r="F843" s="34">
        <f>IF(A843="","",IFERROR(INT(A843),"check date"))</f>
        <v/>
      </c>
      <c r="G843" s="35">
        <f>IF(B843="","",IFERROR(INDEX(Students!$A:$A,MATCH(TRIM(B843),Students!$A:$A,0)),"NOT ON LIST"))</f>
        <v/>
      </c>
      <c r="H843" s="35">
        <f>IF(OR(G843="",G843="NOT ON LIST"),"",VLOOKUP(G843,Students!$A:$C,2,FALSE))</f>
        <v/>
      </c>
      <c r="I843" s="35">
        <f>IF(OR(G843="",G843="NOT ON LIST"),"",VLOOKUP(G843,Students!$A:$C,3,FALSE)&amp;"")</f>
        <v/>
      </c>
    </row>
    <row r="844">
      <c r="A844" s="31" t="n">
        <v>46329.6875</v>
      </c>
      <c r="B844" s="32" t="inlineStr">
        <is>
          <t>Elena Castillo</t>
        </is>
      </c>
      <c r="C844" s="32" t="inlineStr">
        <is>
          <t>Aria Castillo</t>
        </is>
      </c>
      <c r="D844" s="33" t="n">
        <v>25</v>
      </c>
      <c r="E844" s="32" t="inlineStr">
        <is>
          <t>OneCause</t>
        </is>
      </c>
      <c r="F844" s="34">
        <f>IF(A844="","",IFERROR(INT(A844),"check date"))</f>
        <v/>
      </c>
      <c r="G844" s="35">
        <f>IF(B844="","",IFERROR(INDEX(Students!$A:$A,MATCH(TRIM(B844),Students!$A:$A,0)),"NOT ON LIST"))</f>
        <v/>
      </c>
      <c r="H844" s="35">
        <f>IF(OR(G844="",G844="NOT ON LIST"),"",VLOOKUP(G844,Students!$A:$C,2,FALSE))</f>
        <v/>
      </c>
      <c r="I844" s="35">
        <f>IF(OR(G844="",G844="NOT ON LIST"),"",VLOOKUP(G844,Students!$A:$C,3,FALSE)&amp;"")</f>
        <v/>
      </c>
    </row>
    <row r="845">
      <c r="A845" s="31" t="n">
        <v>46329.48958333334</v>
      </c>
      <c r="B845" s="32" t="inlineStr">
        <is>
          <t>Mia Ortiz</t>
        </is>
      </c>
      <c r="C845" s="32" t="inlineStr">
        <is>
          <t>Gabriel Ortiz</t>
        </is>
      </c>
      <c r="D845" s="33" t="n">
        <v>25</v>
      </c>
      <c r="E845" s="32" t="inlineStr">
        <is>
          <t>OneCause</t>
        </is>
      </c>
      <c r="F845" s="34">
        <f>IF(A845="","",IFERROR(INT(A845),"check date"))</f>
        <v/>
      </c>
      <c r="G845" s="35">
        <f>IF(B845="","",IFERROR(INDEX(Students!$A:$A,MATCH(TRIM(B845),Students!$A:$A,0)),"NOT ON LIST"))</f>
        <v/>
      </c>
      <c r="H845" s="35">
        <f>IF(OR(G845="",G845="NOT ON LIST"),"",VLOOKUP(G845,Students!$A:$C,2,FALSE))</f>
        <v/>
      </c>
      <c r="I845" s="35">
        <f>IF(OR(G845="",G845="NOT ON LIST"),"",VLOOKUP(G845,Students!$A:$C,3,FALSE)&amp;"")</f>
        <v/>
      </c>
    </row>
    <row r="846">
      <c r="A846" s="31" t="n">
        <v>46330.57291666666</v>
      </c>
      <c r="B846" s="32" t="inlineStr">
        <is>
          <t>Sofia Williams</t>
        </is>
      </c>
      <c r="C846" s="32" t="inlineStr">
        <is>
          <t>Adrian Williams</t>
        </is>
      </c>
      <c r="D846" s="33" t="n">
        <v>25</v>
      </c>
      <c r="E846" s="32" t="inlineStr">
        <is>
          <t>OneCause</t>
        </is>
      </c>
      <c r="F846" s="34">
        <f>IF(A846="","",IFERROR(INT(A846),"check date"))</f>
        <v/>
      </c>
      <c r="G846" s="35">
        <f>IF(B846="","",IFERROR(INDEX(Students!$A:$A,MATCH(TRIM(B846),Students!$A:$A,0)),"NOT ON LIST"))</f>
        <v/>
      </c>
      <c r="H846" s="35">
        <f>IF(OR(G846="",G846="NOT ON LIST"),"",VLOOKUP(G846,Students!$A:$C,2,FALSE))</f>
        <v/>
      </c>
      <c r="I846" s="35">
        <f>IF(OR(G846="",G846="NOT ON LIST"),"",VLOOKUP(G846,Students!$A:$C,3,FALSE)&amp;"")</f>
        <v/>
      </c>
    </row>
    <row r="847">
      <c r="A847" s="31" t="n">
        <v>46333.3125</v>
      </c>
      <c r="B847" s="32" t="inlineStr">
        <is>
          <t>Gabriel Chavez</t>
        </is>
      </c>
      <c r="C847" s="32" t="inlineStr">
        <is>
          <t>Santiago Chavez</t>
        </is>
      </c>
      <c r="D847" s="33" t="n">
        <v>100</v>
      </c>
      <c r="E847" s="32" t="inlineStr">
        <is>
          <t>OneCause</t>
        </is>
      </c>
      <c r="F847" s="34">
        <f>IF(A847="","",IFERROR(INT(A847),"check date"))</f>
        <v/>
      </c>
      <c r="G847" s="35">
        <f>IF(B847="","",IFERROR(INDEX(Students!$A:$A,MATCH(TRIM(B847),Students!$A:$A,0)),"NOT ON LIST"))</f>
        <v/>
      </c>
      <c r="H847" s="35">
        <f>IF(OR(G847="",G847="NOT ON LIST"),"",VLOOKUP(G847,Students!$A:$C,2,FALSE))</f>
        <v/>
      </c>
      <c r="I847" s="35">
        <f>IF(OR(G847="",G847="NOT ON LIST"),"",VLOOKUP(G847,Students!$A:$C,3,FALSE)&amp;"")</f>
        <v/>
      </c>
    </row>
    <row r="848">
      <c r="A848" s="31" t="n">
        <v>46338.63541666666</v>
      </c>
      <c r="B848" s="32" t="inlineStr">
        <is>
          <t>Noah Sullivan</t>
        </is>
      </c>
      <c r="C848" s="32" t="inlineStr">
        <is>
          <t>Santiago Sullivan</t>
        </is>
      </c>
      <c r="D848" s="33" t="n">
        <v>20</v>
      </c>
      <c r="E848" s="32" t="inlineStr">
        <is>
          <t>OneCause</t>
        </is>
      </c>
      <c r="F848" s="34">
        <f>IF(A848="","",IFERROR(INT(A848),"check date"))</f>
        <v/>
      </c>
      <c r="G848" s="35">
        <f>IF(B848="","",IFERROR(INDEX(Students!$A:$A,MATCH(TRIM(B848),Students!$A:$A,0)),"NOT ON LIST"))</f>
        <v/>
      </c>
      <c r="H848" s="35">
        <f>IF(OR(G848="",G848="NOT ON LIST"),"",VLOOKUP(G848,Students!$A:$C,2,FALSE))</f>
        <v/>
      </c>
      <c r="I848" s="35">
        <f>IF(OR(G848="",G848="NOT ON LIST"),"",VLOOKUP(G848,Students!$A:$C,3,FALSE)&amp;"")</f>
        <v/>
      </c>
    </row>
    <row r="849">
      <c r="A849" s="31" t="n">
        <v>46328.47916666666</v>
      </c>
      <c r="B849" s="32" t="inlineStr">
        <is>
          <t>Diego Morales</t>
        </is>
      </c>
      <c r="C849" s="32" t="inlineStr">
        <is>
          <t>Clara Morales</t>
        </is>
      </c>
      <c r="D849" s="33" t="n">
        <v>75</v>
      </c>
      <c r="E849" s="32" t="inlineStr">
        <is>
          <t>OneCause</t>
        </is>
      </c>
      <c r="F849" s="34">
        <f>IF(A849="","",IFERROR(INT(A849),"check date"))</f>
        <v/>
      </c>
      <c r="G849" s="35">
        <f>IF(B849="","",IFERROR(INDEX(Students!$A:$A,MATCH(TRIM(B849),Students!$A:$A,0)),"NOT ON LIST"))</f>
        <v/>
      </c>
      <c r="H849" s="35">
        <f>IF(OR(G849="",G849="NOT ON LIST"),"",VLOOKUP(G849,Students!$A:$C,2,FALSE))</f>
        <v/>
      </c>
      <c r="I849" s="35">
        <f>IF(OR(G849="",G849="NOT ON LIST"),"",VLOOKUP(G849,Students!$A:$C,3,FALSE)&amp;"")</f>
        <v/>
      </c>
    </row>
    <row r="850">
      <c r="A850" s="31" t="n">
        <v>46337.42708333334</v>
      </c>
      <c r="B850" s="32" t="inlineStr">
        <is>
          <t>Emma Walsh</t>
        </is>
      </c>
      <c r="C850" s="32" t="inlineStr">
        <is>
          <t>Elena Walsh</t>
        </is>
      </c>
      <c r="D850" s="33" t="n">
        <v>25</v>
      </c>
      <c r="E850" s="32" t="inlineStr">
        <is>
          <t>OneCause</t>
        </is>
      </c>
      <c r="F850" s="34">
        <f>IF(A850="","",IFERROR(INT(A850),"check date"))</f>
        <v/>
      </c>
      <c r="G850" s="35">
        <f>IF(B850="","",IFERROR(INDEX(Students!$A:$A,MATCH(TRIM(B850),Students!$A:$A,0)),"NOT ON LIST"))</f>
        <v/>
      </c>
      <c r="H850" s="35">
        <f>IF(OR(G850="",G850="NOT ON LIST"),"",VLOOKUP(G850,Students!$A:$C,2,FALSE))</f>
        <v/>
      </c>
      <c r="I850" s="35">
        <f>IF(OR(G850="",G850="NOT ON LIST"),"",VLOOKUP(G850,Students!$A:$C,3,FALSE)&amp;"")</f>
        <v/>
      </c>
    </row>
    <row r="851">
      <c r="A851" s="31" t="n">
        <v>46327</v>
      </c>
      <c r="B851" s="32" t="inlineStr">
        <is>
          <t>Benjamin Walsh</t>
        </is>
      </c>
      <c r="C851" s="32" t="inlineStr">
        <is>
          <t>Camila Walsh</t>
        </is>
      </c>
      <c r="D851" s="33" t="n">
        <v>25</v>
      </c>
      <c r="E851" s="32" t="inlineStr">
        <is>
          <t>Check</t>
        </is>
      </c>
      <c r="F851" s="34">
        <f>IF(A851="","",IFERROR(INT(A851),"check date"))</f>
        <v/>
      </c>
      <c r="G851" s="35">
        <f>IF(B851="","",IFERROR(INDEX(Students!$A:$A,MATCH(TRIM(B851),Students!$A:$A,0)),"NOT ON LIST"))</f>
        <v/>
      </c>
      <c r="H851" s="35">
        <f>IF(OR(G851="",G851="NOT ON LIST"),"",VLOOKUP(G851,Students!$A:$C,2,FALSE))</f>
        <v/>
      </c>
      <c r="I851" s="35">
        <f>IF(OR(G851="",G851="NOT ON LIST"),"",VLOOKUP(G851,Students!$A:$C,3,FALSE)&amp;"")</f>
        <v/>
      </c>
    </row>
    <row r="852">
      <c r="A852" s="31" t="n">
        <v>46335</v>
      </c>
      <c r="B852" s="32" t="inlineStr">
        <is>
          <t>Ella Lopez</t>
        </is>
      </c>
      <c r="C852" s="32" t="inlineStr">
        <is>
          <t>Lily Lopez</t>
        </is>
      </c>
      <c r="D852" s="33" t="n">
        <v>50</v>
      </c>
      <c r="E852" s="32" t="inlineStr">
        <is>
          <t>Cash</t>
        </is>
      </c>
      <c r="F852" s="34">
        <f>IF(A852="","",IFERROR(INT(A852),"check date"))</f>
        <v/>
      </c>
      <c r="G852" s="35">
        <f>IF(B852="","",IFERROR(INDEX(Students!$A:$A,MATCH(TRIM(B852),Students!$A:$A,0)),"NOT ON LIST"))</f>
        <v/>
      </c>
      <c r="H852" s="35">
        <f>IF(OR(G852="",G852="NOT ON LIST"),"",VLOOKUP(G852,Students!$A:$C,2,FALSE))</f>
        <v/>
      </c>
      <c r="I852" s="35">
        <f>IF(OR(G852="",G852="NOT ON LIST"),"",VLOOKUP(G852,Students!$A:$C,3,FALSE)&amp;"")</f>
        <v/>
      </c>
    </row>
    <row r="853">
      <c r="A853" s="31" t="n">
        <v>46338.44791666666</v>
      </c>
      <c r="B853" s="32" t="inlineStr">
        <is>
          <t>Gabriel Flores</t>
        </is>
      </c>
      <c r="C853" s="32" t="inlineStr">
        <is>
          <t>Valentina Flores</t>
        </is>
      </c>
      <c r="D853" s="33" t="n">
        <v>100</v>
      </c>
      <c r="E853" s="32" t="inlineStr">
        <is>
          <t>OneCause</t>
        </is>
      </c>
      <c r="F853" s="34">
        <f>IF(A853="","",IFERROR(INT(A853),"check date"))</f>
        <v/>
      </c>
      <c r="G853" s="35">
        <f>IF(B853="","",IFERROR(INDEX(Students!$A:$A,MATCH(TRIM(B853),Students!$A:$A,0)),"NOT ON LIST"))</f>
        <v/>
      </c>
      <c r="H853" s="35">
        <f>IF(OR(G853="",G853="NOT ON LIST"),"",VLOOKUP(G853,Students!$A:$C,2,FALSE))</f>
        <v/>
      </c>
      <c r="I853" s="35">
        <f>IF(OR(G853="",G853="NOT ON LIST"),"",VLOOKUP(G853,Students!$A:$C,3,FALSE)&amp;"")</f>
        <v/>
      </c>
    </row>
    <row r="854">
      <c r="A854" s="31" t="n">
        <v>46325</v>
      </c>
      <c r="B854" s="32" t="inlineStr">
        <is>
          <t>Evelyn Chavez</t>
        </is>
      </c>
      <c r="C854" s="32" t="inlineStr">
        <is>
          <t>Nora Chavez</t>
        </is>
      </c>
      <c r="D854" s="33" t="n">
        <v>50</v>
      </c>
      <c r="E854" s="32" t="inlineStr">
        <is>
          <t>Cash</t>
        </is>
      </c>
      <c r="F854" s="34">
        <f>IF(A854="","",IFERROR(INT(A854),"check date"))</f>
        <v/>
      </c>
      <c r="G854" s="35">
        <f>IF(B854="","",IFERROR(INDEX(Students!$A:$A,MATCH(TRIM(B854),Students!$A:$A,0)),"NOT ON LIST"))</f>
        <v/>
      </c>
      <c r="H854" s="35">
        <f>IF(OR(G854="",G854="NOT ON LIST"),"",VLOOKUP(G854,Students!$A:$C,2,FALSE))</f>
        <v/>
      </c>
      <c r="I854" s="35">
        <f>IF(OR(G854="",G854="NOT ON LIST"),"",VLOOKUP(G854,Students!$A:$C,3,FALSE)&amp;"")</f>
        <v/>
      </c>
    </row>
    <row r="855">
      <c r="A855" s="31" t="n">
        <v>46338.32291666666</v>
      </c>
      <c r="B855" s="32" t="inlineStr">
        <is>
          <t>Ava Murphy</t>
        </is>
      </c>
      <c r="C855" s="32" t="inlineStr">
        <is>
          <t>Grace Murphy</t>
        </is>
      </c>
      <c r="D855" s="33" t="n">
        <v>100</v>
      </c>
      <c r="E855" s="32" t="inlineStr">
        <is>
          <t>OneCause</t>
        </is>
      </c>
      <c r="F855" s="34">
        <f>IF(A855="","",IFERROR(INT(A855),"check date"))</f>
        <v/>
      </c>
      <c r="G855" s="35">
        <f>IF(B855="","",IFERROR(INDEX(Students!$A:$A,MATCH(TRIM(B855),Students!$A:$A,0)),"NOT ON LIST"))</f>
        <v/>
      </c>
      <c r="H855" s="35">
        <f>IF(OR(G855="",G855="NOT ON LIST"),"",VLOOKUP(G855,Students!$A:$C,2,FALSE))</f>
        <v/>
      </c>
      <c r="I855" s="35">
        <f>IF(OR(G855="",G855="NOT ON LIST"),"",VLOOKUP(G855,Students!$A:$C,3,FALSE)&amp;"")</f>
        <v/>
      </c>
    </row>
    <row r="856">
      <c r="A856" s="31" t="n">
        <v>46332.60416666666</v>
      </c>
      <c r="B856" s="32" t="inlineStr">
        <is>
          <t>David Chavez</t>
        </is>
      </c>
      <c r="C856" s="32" t="inlineStr">
        <is>
          <t>Gabriel Chavez</t>
        </is>
      </c>
      <c r="D856" s="33" t="n">
        <v>75</v>
      </c>
      <c r="E856" s="32" t="inlineStr">
        <is>
          <t>OneCause</t>
        </is>
      </c>
      <c r="F856" s="34">
        <f>IF(A856="","",IFERROR(INT(A856),"check date"))</f>
        <v/>
      </c>
      <c r="G856" s="35">
        <f>IF(B856="","",IFERROR(INDEX(Students!$A:$A,MATCH(TRIM(B856),Students!$A:$A,0)),"NOT ON LIST"))</f>
        <v/>
      </c>
      <c r="H856" s="35">
        <f>IF(OR(G856="",G856="NOT ON LIST"),"",VLOOKUP(G856,Students!$A:$C,2,FALSE))</f>
        <v/>
      </c>
      <c r="I856" s="35">
        <f>IF(OR(G856="",G856="NOT ON LIST"),"",VLOOKUP(G856,Students!$A:$C,3,FALSE)&amp;"")</f>
        <v/>
      </c>
    </row>
    <row r="857">
      <c r="A857" s="31" t="n">
        <v>46330.78125</v>
      </c>
      <c r="B857" s="32" t="inlineStr">
        <is>
          <t>Noah Rodriguez</t>
        </is>
      </c>
      <c r="C857" s="32" t="inlineStr">
        <is>
          <t>Elijah Rodriguez</t>
        </is>
      </c>
      <c r="D857" s="33" t="n">
        <v>25</v>
      </c>
      <c r="E857" s="32" t="inlineStr">
        <is>
          <t>OneCause</t>
        </is>
      </c>
      <c r="F857" s="34">
        <f>IF(A857="","",IFERROR(INT(A857),"check date"))</f>
        <v/>
      </c>
      <c r="G857" s="35">
        <f>IF(B857="","",IFERROR(INDEX(Students!$A:$A,MATCH(TRIM(B857),Students!$A:$A,0)),"NOT ON LIST"))</f>
        <v/>
      </c>
      <c r="H857" s="35">
        <f>IF(OR(G857="",G857="NOT ON LIST"),"",VLOOKUP(G857,Students!$A:$C,2,FALSE))</f>
        <v/>
      </c>
      <c r="I857" s="35">
        <f>IF(OR(G857="",G857="NOT ON LIST"),"",VLOOKUP(G857,Students!$A:$C,3,FALSE)&amp;"")</f>
        <v/>
      </c>
    </row>
    <row r="858">
      <c r="A858" s="31" t="n">
        <v>46332.69791666666</v>
      </c>
      <c r="B858" s="32" t="inlineStr">
        <is>
          <t>Elena Castillo</t>
        </is>
      </c>
      <c r="C858" s="32" t="inlineStr">
        <is>
          <t>Mateo Castillo</t>
        </is>
      </c>
      <c r="D858" s="33" t="n">
        <v>25</v>
      </c>
      <c r="E858" s="32" t="inlineStr">
        <is>
          <t>OneCause</t>
        </is>
      </c>
      <c r="F858" s="34">
        <f>IF(A858="","",IFERROR(INT(A858),"check date"))</f>
        <v/>
      </c>
      <c r="G858" s="35">
        <f>IF(B858="","",IFERROR(INDEX(Students!$A:$A,MATCH(TRIM(B858),Students!$A:$A,0)),"NOT ON LIST"))</f>
        <v/>
      </c>
      <c r="H858" s="35">
        <f>IF(OR(G858="",G858="NOT ON LIST"),"",VLOOKUP(G858,Students!$A:$C,2,FALSE))</f>
        <v/>
      </c>
      <c r="I858" s="35">
        <f>IF(OR(G858="",G858="NOT ON LIST"),"",VLOOKUP(G858,Students!$A:$C,3,FALSE)&amp;"")</f>
        <v/>
      </c>
    </row>
    <row r="859">
      <c r="A859" s="31" t="n">
        <v>46329.39583333334</v>
      </c>
      <c r="B859" s="32" t="inlineStr">
        <is>
          <t>Luna Ryan</t>
        </is>
      </c>
      <c r="C859" s="32" t="inlineStr">
        <is>
          <t>Evelyn Ryan</t>
        </is>
      </c>
      <c r="D859" s="33" t="n">
        <v>20</v>
      </c>
      <c r="E859" s="32" t="inlineStr">
        <is>
          <t>OneCause</t>
        </is>
      </c>
      <c r="F859" s="34">
        <f>IF(A859="","",IFERROR(INT(A859),"check date"))</f>
        <v/>
      </c>
      <c r="G859" s="35">
        <f>IF(B859="","",IFERROR(INDEX(Students!$A:$A,MATCH(TRIM(B859),Students!$A:$A,0)),"NOT ON LIST"))</f>
        <v/>
      </c>
      <c r="H859" s="35">
        <f>IF(OR(G859="",G859="NOT ON LIST"),"",VLOOKUP(G859,Students!$A:$C,2,FALSE))</f>
        <v/>
      </c>
      <c r="I859" s="35">
        <f>IF(OR(G859="",G859="NOT ON LIST"),"",VLOOKUP(G859,Students!$A:$C,3,FALSE)&amp;"")</f>
        <v/>
      </c>
    </row>
    <row r="860">
      <c r="A860" s="31" t="n">
        <v>46332.6875</v>
      </c>
      <c r="B860" s="32" t="inlineStr">
        <is>
          <t>Gabriel Cruz</t>
        </is>
      </c>
      <c r="C860" s="32" t="inlineStr">
        <is>
          <t>Benjamin Cruz</t>
        </is>
      </c>
      <c r="D860" s="33" t="n">
        <v>100</v>
      </c>
      <c r="E860" s="32" t="inlineStr">
        <is>
          <t>OneCause</t>
        </is>
      </c>
      <c r="F860" s="34">
        <f>IF(A860="","",IFERROR(INT(A860),"check date"))</f>
        <v/>
      </c>
      <c r="G860" s="35">
        <f>IF(B860="","",IFERROR(INDEX(Students!$A:$A,MATCH(TRIM(B860),Students!$A:$A,0)),"NOT ON LIST"))</f>
        <v/>
      </c>
      <c r="H860" s="35">
        <f>IF(OR(G860="",G860="NOT ON LIST"),"",VLOOKUP(G860,Students!$A:$C,2,FALSE))</f>
        <v/>
      </c>
      <c r="I860" s="35">
        <f>IF(OR(G860="",G860="NOT ON LIST"),"",VLOOKUP(G860,Students!$A:$C,3,FALSE)&amp;"")</f>
        <v/>
      </c>
    </row>
    <row r="861">
      <c r="A861" s="31" t="n">
        <v>46333.625</v>
      </c>
      <c r="B861" s="32" t="inlineStr">
        <is>
          <t>Amelia Gomez</t>
        </is>
      </c>
      <c r="C861" s="32" t="inlineStr">
        <is>
          <t>Mia Gomez</t>
        </is>
      </c>
      <c r="D861" s="33" t="n">
        <v>40</v>
      </c>
      <c r="E861" s="32" t="inlineStr">
        <is>
          <t>OneCause</t>
        </is>
      </c>
      <c r="F861" s="34">
        <f>IF(A861="","",IFERROR(INT(A861),"check date"))</f>
        <v/>
      </c>
      <c r="G861" s="35">
        <f>IF(B861="","",IFERROR(INDEX(Students!$A:$A,MATCH(TRIM(B861),Students!$A:$A,0)),"NOT ON LIST"))</f>
        <v/>
      </c>
      <c r="H861" s="35">
        <f>IF(OR(G861="",G861="NOT ON LIST"),"",VLOOKUP(G861,Students!$A:$C,2,FALSE))</f>
        <v/>
      </c>
      <c r="I861" s="35">
        <f>IF(OR(G861="",G861="NOT ON LIST"),"",VLOOKUP(G861,Students!$A:$C,3,FALSE)&amp;"")</f>
        <v/>
      </c>
    </row>
    <row r="862">
      <c r="A862" s="31" t="n">
        <v>46328.39583333334</v>
      </c>
      <c r="B862" s="32" t="inlineStr">
        <is>
          <t>Nora Ramirez</t>
        </is>
      </c>
      <c r="C862" s="32" t="inlineStr">
        <is>
          <t>Mia Ramirez</t>
        </is>
      </c>
      <c r="D862" s="33" t="n">
        <v>75</v>
      </c>
      <c r="E862" s="32" t="inlineStr">
        <is>
          <t>OneCause</t>
        </is>
      </c>
      <c r="F862" s="34">
        <f>IF(A862="","",IFERROR(INT(A862),"check date"))</f>
        <v/>
      </c>
      <c r="G862" s="35">
        <f>IF(B862="","",IFERROR(INDEX(Students!$A:$A,MATCH(TRIM(B862),Students!$A:$A,0)),"NOT ON LIST"))</f>
        <v/>
      </c>
      <c r="H862" s="35">
        <f>IF(OR(G862="",G862="NOT ON LIST"),"",VLOOKUP(G862,Students!$A:$C,2,FALSE))</f>
        <v/>
      </c>
      <c r="I862" s="35">
        <f>IF(OR(G862="",G862="NOT ON LIST"),"",VLOOKUP(G862,Students!$A:$C,3,FALSE)&amp;"")</f>
        <v/>
      </c>
    </row>
    <row r="863">
      <c r="A863" s="31" t="n">
        <v>46339.84375</v>
      </c>
      <c r="B863" s="32" t="inlineStr">
        <is>
          <t>Julian Castillo</t>
        </is>
      </c>
      <c r="C863" s="32" t="inlineStr">
        <is>
          <t>Leo Castillo</t>
        </is>
      </c>
      <c r="D863" s="33" t="n">
        <v>40</v>
      </c>
      <c r="E863" s="32" t="inlineStr">
        <is>
          <t>OneCause</t>
        </is>
      </c>
      <c r="F863" s="34">
        <f>IF(A863="","",IFERROR(INT(A863),"check date"))</f>
        <v/>
      </c>
      <c r="G863" s="35">
        <f>IF(B863="","",IFERROR(INDEX(Students!$A:$A,MATCH(TRIM(B863),Students!$A:$A,0)),"NOT ON LIST"))</f>
        <v/>
      </c>
      <c r="H863" s="35">
        <f>IF(OR(G863="",G863="NOT ON LIST"),"",VLOOKUP(G863,Students!$A:$C,2,FALSE))</f>
        <v/>
      </c>
      <c r="I863" s="35">
        <f>IF(OR(G863="",G863="NOT ON LIST"),"",VLOOKUP(G863,Students!$A:$C,3,FALSE)&amp;"")</f>
        <v/>
      </c>
    </row>
    <row r="864">
      <c r="A864" s="31" t="n">
        <v>46338.39583333334</v>
      </c>
      <c r="B864" s="32" t="inlineStr">
        <is>
          <t>Chloe Cruz</t>
        </is>
      </c>
      <c r="C864" s="32" t="inlineStr">
        <is>
          <t>Mateo Cruz</t>
        </is>
      </c>
      <c r="D864" s="33" t="n">
        <v>20</v>
      </c>
      <c r="E864" s="32" t="inlineStr">
        <is>
          <t>OneCause</t>
        </is>
      </c>
      <c r="F864" s="34">
        <f>IF(A864="","",IFERROR(INT(A864),"check date"))</f>
        <v/>
      </c>
      <c r="G864" s="35">
        <f>IF(B864="","",IFERROR(INDEX(Students!$A:$A,MATCH(TRIM(B864),Students!$A:$A,0)),"NOT ON LIST"))</f>
        <v/>
      </c>
      <c r="H864" s="35">
        <f>IF(OR(G864="",G864="NOT ON LIST"),"",VLOOKUP(G864,Students!$A:$C,2,FALSE))</f>
        <v/>
      </c>
      <c r="I864" s="35">
        <f>IF(OR(G864="",G864="NOT ON LIST"),"",VLOOKUP(G864,Students!$A:$C,3,FALSE)&amp;"")</f>
        <v/>
      </c>
    </row>
    <row r="865">
      <c r="A865" s="31" t="n">
        <v>46333.53125</v>
      </c>
      <c r="B865" s="32" t="inlineStr">
        <is>
          <t>Zoe Gomez</t>
        </is>
      </c>
      <c r="C865" s="32" t="inlineStr">
        <is>
          <t>Isaac Gomez</t>
        </is>
      </c>
      <c r="D865" s="33" t="n">
        <v>25</v>
      </c>
      <c r="E865" s="32" t="inlineStr">
        <is>
          <t>OneCause</t>
        </is>
      </c>
      <c r="F865" s="34">
        <f>IF(A865="","",IFERROR(INT(A865),"check date"))</f>
        <v/>
      </c>
      <c r="G865" s="35">
        <f>IF(B865="","",IFERROR(INDEX(Students!$A:$A,MATCH(TRIM(B865),Students!$A:$A,0)),"NOT ON LIST"))</f>
        <v/>
      </c>
      <c r="H865" s="35">
        <f>IF(OR(G865="",G865="NOT ON LIST"),"",VLOOKUP(G865,Students!$A:$C,2,FALSE))</f>
        <v/>
      </c>
      <c r="I865" s="35">
        <f>IF(OR(G865="",G865="NOT ON LIST"),"",VLOOKUP(G865,Students!$A:$C,3,FALSE)&amp;"")</f>
        <v/>
      </c>
    </row>
    <row r="866">
      <c r="A866" s="31" t="n">
        <v>46336.71875</v>
      </c>
      <c r="B866" s="32" t="inlineStr">
        <is>
          <t>Harper Brown</t>
        </is>
      </c>
      <c r="C866" s="32" t="inlineStr">
        <is>
          <t>Daniel Brown</t>
        </is>
      </c>
      <c r="D866" s="33" t="n">
        <v>20</v>
      </c>
      <c r="E866" s="32" t="inlineStr">
        <is>
          <t>OneCause</t>
        </is>
      </c>
      <c r="F866" s="34">
        <f>IF(A866="","",IFERROR(INT(A866),"check date"))</f>
        <v/>
      </c>
      <c r="G866" s="35">
        <f>IF(B866="","",IFERROR(INDEX(Students!$A:$A,MATCH(TRIM(B866),Students!$A:$A,0)),"NOT ON LIST"))</f>
        <v/>
      </c>
      <c r="H866" s="35">
        <f>IF(OR(G866="",G866="NOT ON LIST"),"",VLOOKUP(G866,Students!$A:$C,2,FALSE))</f>
        <v/>
      </c>
      <c r="I866" s="35">
        <f>IF(OR(G866="",G866="NOT ON LIST"),"",VLOOKUP(G866,Students!$A:$C,3,FALSE)&amp;"")</f>
        <v/>
      </c>
    </row>
    <row r="867">
      <c r="A867" s="31" t="n">
        <v>46339.60416666666</v>
      </c>
      <c r="B867" s="32" t="inlineStr">
        <is>
          <t>Daniel Johnson</t>
        </is>
      </c>
      <c r="C867" s="32" t="inlineStr">
        <is>
          <t>Gabriel Johnson</t>
        </is>
      </c>
      <c r="D867" s="33" t="n">
        <v>100</v>
      </c>
      <c r="E867" s="32" t="inlineStr">
        <is>
          <t>OneCause</t>
        </is>
      </c>
      <c r="F867" s="34">
        <f>IF(A867="","",IFERROR(INT(A867),"check date"))</f>
        <v/>
      </c>
      <c r="G867" s="35">
        <f>IF(B867="","",IFERROR(INDEX(Students!$A:$A,MATCH(TRIM(B867),Students!$A:$A,0)),"NOT ON LIST"))</f>
        <v/>
      </c>
      <c r="H867" s="35">
        <f>IF(OR(G867="",G867="NOT ON LIST"),"",VLOOKUP(G867,Students!$A:$C,2,FALSE))</f>
        <v/>
      </c>
      <c r="I867" s="35">
        <f>IF(OR(G867="",G867="NOT ON LIST"),"",VLOOKUP(G867,Students!$A:$C,3,FALSE)&amp;"")</f>
        <v/>
      </c>
    </row>
    <row r="868">
      <c r="A868" s="31" t="n">
        <v>46326.42708333334</v>
      </c>
      <c r="B868" s="32" t="inlineStr">
        <is>
          <t>Thomas Brown</t>
        </is>
      </c>
      <c r="C868" s="32" t="inlineStr">
        <is>
          <t>Isabella Brown</t>
        </is>
      </c>
      <c r="D868" s="33" t="n">
        <v>50</v>
      </c>
      <c r="E868" s="32" t="inlineStr">
        <is>
          <t>OneCause</t>
        </is>
      </c>
      <c r="F868" s="34">
        <f>IF(A868="","",IFERROR(INT(A868),"check date"))</f>
        <v/>
      </c>
      <c r="G868" s="35">
        <f>IF(B868="","",IFERROR(INDEX(Students!$A:$A,MATCH(TRIM(B868),Students!$A:$A,0)),"NOT ON LIST"))</f>
        <v/>
      </c>
      <c r="H868" s="35">
        <f>IF(OR(G868="",G868="NOT ON LIST"),"",VLOOKUP(G868,Students!$A:$C,2,FALSE))</f>
        <v/>
      </c>
      <c r="I868" s="35">
        <f>IF(OR(G868="",G868="NOT ON LIST"),"",VLOOKUP(G868,Students!$A:$C,3,FALSE)&amp;"")</f>
        <v/>
      </c>
    </row>
    <row r="869">
      <c r="A869" s="31" t="n">
        <v>46327.6875</v>
      </c>
      <c r="B869" s="32" t="inlineStr">
        <is>
          <t>Elena Diaz</t>
        </is>
      </c>
      <c r="C869" s="32" t="inlineStr">
        <is>
          <t>Luna Diaz</t>
        </is>
      </c>
      <c r="D869" s="33" t="n">
        <v>10</v>
      </c>
      <c r="E869" s="32" t="inlineStr">
        <is>
          <t>OneCause</t>
        </is>
      </c>
      <c r="F869" s="34">
        <f>IF(A869="","",IFERROR(INT(A869),"check date"))</f>
        <v/>
      </c>
      <c r="G869" s="35">
        <f>IF(B869="","",IFERROR(INDEX(Students!$A:$A,MATCH(TRIM(B869),Students!$A:$A,0)),"NOT ON LIST"))</f>
        <v/>
      </c>
      <c r="H869" s="35">
        <f>IF(OR(G869="",G869="NOT ON LIST"),"",VLOOKUP(G869,Students!$A:$C,2,FALSE))</f>
        <v/>
      </c>
      <c r="I869" s="35">
        <f>IF(OR(G869="",G869="NOT ON LIST"),"",VLOOKUP(G869,Students!$A:$C,3,FALSE)&amp;"")</f>
        <v/>
      </c>
    </row>
    <row r="870">
      <c r="A870" s="31" t="n">
        <v>46338.55208333334</v>
      </c>
      <c r="B870" s="32" t="inlineStr">
        <is>
          <t>Samuel Ramirez</t>
        </is>
      </c>
      <c r="C870" s="32" t="inlineStr">
        <is>
          <t>Elijah Ramirez</t>
        </is>
      </c>
      <c r="D870" s="33" t="n">
        <v>25</v>
      </c>
      <c r="E870" s="32" t="inlineStr">
        <is>
          <t>OneCause</t>
        </is>
      </c>
      <c r="F870" s="34">
        <f>IF(A870="","",IFERROR(INT(A870),"check date"))</f>
        <v/>
      </c>
      <c r="G870" s="35">
        <f>IF(B870="","",IFERROR(INDEX(Students!$A:$A,MATCH(TRIM(B870),Students!$A:$A,0)),"NOT ON LIST"))</f>
        <v/>
      </c>
      <c r="H870" s="35">
        <f>IF(OR(G870="",G870="NOT ON LIST"),"",VLOOKUP(G870,Students!$A:$C,2,FALSE))</f>
        <v/>
      </c>
      <c r="I870" s="35">
        <f>IF(OR(G870="",G870="NOT ON LIST"),"",VLOOKUP(G870,Students!$A:$C,3,FALSE)&amp;"")</f>
        <v/>
      </c>
    </row>
    <row r="871">
      <c r="A871" s="31" t="n">
        <v>46338.69791666666</v>
      </c>
      <c r="B871" s="32" t="inlineStr">
        <is>
          <t>Leo Brown</t>
        </is>
      </c>
      <c r="C871" s="32" t="inlineStr">
        <is>
          <t>Ella Brown</t>
        </is>
      </c>
      <c r="D871" s="33" t="n">
        <v>25</v>
      </c>
      <c r="E871" s="32" t="inlineStr">
        <is>
          <t>OneCause</t>
        </is>
      </c>
      <c r="F871" s="34">
        <f>IF(A871="","",IFERROR(INT(A871),"check date"))</f>
        <v/>
      </c>
      <c r="G871" s="35">
        <f>IF(B871="","",IFERROR(INDEX(Students!$A:$A,MATCH(TRIM(B871),Students!$A:$A,0)),"NOT ON LIST"))</f>
        <v/>
      </c>
      <c r="H871" s="35">
        <f>IF(OR(G871="",G871="NOT ON LIST"),"",VLOOKUP(G871,Students!$A:$C,2,FALSE))</f>
        <v/>
      </c>
      <c r="I871" s="35">
        <f>IF(OR(G871="",G871="NOT ON LIST"),"",VLOOKUP(G871,Students!$A:$C,3,FALSE)&amp;"")</f>
        <v/>
      </c>
    </row>
    <row r="872">
      <c r="A872" s="31" t="n">
        <v>46330</v>
      </c>
      <c r="B872" s="32" t="inlineStr">
        <is>
          <t>Valentina Sullivan</t>
        </is>
      </c>
      <c r="C872" s="32" t="inlineStr">
        <is>
          <t>Mia Sullivan</t>
        </is>
      </c>
      <c r="D872" s="33" t="n">
        <v>25</v>
      </c>
      <c r="E872" s="32" t="inlineStr">
        <is>
          <t>Cash</t>
        </is>
      </c>
      <c r="F872" s="34">
        <f>IF(A872="","",IFERROR(INT(A872),"check date"))</f>
        <v/>
      </c>
      <c r="G872" s="35">
        <f>IF(B872="","",IFERROR(INDEX(Students!$A:$A,MATCH(TRIM(B872),Students!$A:$A,0)),"NOT ON LIST"))</f>
        <v/>
      </c>
      <c r="H872" s="35">
        <f>IF(OR(G872="",G872="NOT ON LIST"),"",VLOOKUP(G872,Students!$A:$C,2,FALSE))</f>
        <v/>
      </c>
      <c r="I872" s="35">
        <f>IF(OR(G872="",G872="NOT ON LIST"),"",VLOOKUP(G872,Students!$A:$C,3,FALSE)&amp;"")</f>
        <v/>
      </c>
    </row>
    <row r="873">
      <c r="A873" s="31" t="n">
        <v>46337.40625</v>
      </c>
      <c r="B873" s="32" t="inlineStr">
        <is>
          <t>Camila Johnson</t>
        </is>
      </c>
      <c r="C873" s="32" t="inlineStr">
        <is>
          <t>Leo Johnson</t>
        </is>
      </c>
      <c r="D873" s="33" t="n">
        <v>20</v>
      </c>
      <c r="E873" s="32" t="inlineStr">
        <is>
          <t>OneCause</t>
        </is>
      </c>
      <c r="F873" s="34">
        <f>IF(A873="","",IFERROR(INT(A873),"check date"))</f>
        <v/>
      </c>
      <c r="G873" s="35">
        <f>IF(B873="","",IFERROR(INDEX(Students!$A:$A,MATCH(TRIM(B873),Students!$A:$A,0)),"NOT ON LIST"))</f>
        <v/>
      </c>
      <c r="H873" s="35">
        <f>IF(OR(G873="",G873="NOT ON LIST"),"",VLOOKUP(G873,Students!$A:$C,2,FALSE))</f>
        <v/>
      </c>
      <c r="I873" s="35">
        <f>IF(OR(G873="",G873="NOT ON LIST"),"",VLOOKUP(G873,Students!$A:$C,3,FALSE)&amp;"")</f>
        <v/>
      </c>
    </row>
    <row r="874">
      <c r="A874" s="31" t="n">
        <v>46327.85416666666</v>
      </c>
      <c r="B874" s="32" t="inlineStr">
        <is>
          <t>Amelia Castillo</t>
        </is>
      </c>
      <c r="C874" s="32" t="inlineStr">
        <is>
          <t>Zoe Castillo</t>
        </is>
      </c>
      <c r="D874" s="33" t="n">
        <v>100</v>
      </c>
      <c r="E874" s="32" t="inlineStr">
        <is>
          <t>OneCause</t>
        </is>
      </c>
      <c r="F874" s="34">
        <f>IF(A874="","",IFERROR(INT(A874),"check date"))</f>
        <v/>
      </c>
      <c r="G874" s="35">
        <f>IF(B874="","",IFERROR(INDEX(Students!$A:$A,MATCH(TRIM(B874),Students!$A:$A,0)),"NOT ON LIST"))</f>
        <v/>
      </c>
      <c r="H874" s="35">
        <f>IF(OR(G874="",G874="NOT ON LIST"),"",VLOOKUP(G874,Students!$A:$C,2,FALSE))</f>
        <v/>
      </c>
      <c r="I874" s="35">
        <f>IF(OR(G874="",G874="NOT ON LIST"),"",VLOOKUP(G874,Students!$A:$C,3,FALSE)&amp;"")</f>
        <v/>
      </c>
    </row>
    <row r="875">
      <c r="A875" s="31" t="n">
        <v>46331.41666666666</v>
      </c>
      <c r="B875" s="32" t="inlineStr">
        <is>
          <t>Luna Ryan</t>
        </is>
      </c>
      <c r="C875" s="32" t="inlineStr">
        <is>
          <t>Liam Ryan</t>
        </is>
      </c>
      <c r="D875" s="33" t="n">
        <v>20</v>
      </c>
      <c r="E875" s="32" t="inlineStr">
        <is>
          <t>OneCause</t>
        </is>
      </c>
      <c r="F875" s="34">
        <f>IF(A875="","",IFERROR(INT(A875),"check date"))</f>
        <v/>
      </c>
      <c r="G875" s="35">
        <f>IF(B875="","",IFERROR(INDEX(Students!$A:$A,MATCH(TRIM(B875),Students!$A:$A,0)),"NOT ON LIST"))</f>
        <v/>
      </c>
      <c r="H875" s="35">
        <f>IF(OR(G875="",G875="NOT ON LIST"),"",VLOOKUP(G875,Students!$A:$C,2,FALSE))</f>
        <v/>
      </c>
      <c r="I875" s="35">
        <f>IF(OR(G875="",G875="NOT ON LIST"),"",VLOOKUP(G875,Students!$A:$C,3,FALSE)&amp;"")</f>
        <v/>
      </c>
    </row>
    <row r="876">
      <c r="A876" s="31" t="n">
        <v>46338.30208333334</v>
      </c>
      <c r="B876" s="32" t="inlineStr">
        <is>
          <t>Mateo Williams</t>
        </is>
      </c>
      <c r="C876" s="32" t="inlineStr">
        <is>
          <t>Diego Williams</t>
        </is>
      </c>
      <c r="D876" s="33" t="n">
        <v>75</v>
      </c>
      <c r="E876" s="32" t="inlineStr">
        <is>
          <t>OneCause</t>
        </is>
      </c>
      <c r="F876" s="34">
        <f>IF(A876="","",IFERROR(INT(A876),"check date"))</f>
        <v/>
      </c>
      <c r="G876" s="35">
        <f>IF(B876="","",IFERROR(INDEX(Students!$A:$A,MATCH(TRIM(B876),Students!$A:$A,0)),"NOT ON LIST"))</f>
        <v/>
      </c>
      <c r="H876" s="35">
        <f>IF(OR(G876="",G876="NOT ON LIST"),"",VLOOKUP(G876,Students!$A:$C,2,FALSE))</f>
        <v/>
      </c>
      <c r="I876" s="35">
        <f>IF(OR(G876="",G876="NOT ON LIST"),"",VLOOKUP(G876,Students!$A:$C,3,FALSE)&amp;"")</f>
        <v/>
      </c>
    </row>
    <row r="877">
      <c r="A877" s="31" t="n">
        <v>46339.89583333334</v>
      </c>
      <c r="B877" s="32" t="inlineStr">
        <is>
          <t>Nora Kim</t>
        </is>
      </c>
      <c r="C877" s="32" t="inlineStr">
        <is>
          <t>David Kim</t>
        </is>
      </c>
      <c r="D877" s="33" t="n">
        <v>20</v>
      </c>
      <c r="E877" s="32" t="inlineStr">
        <is>
          <t>OneCause</t>
        </is>
      </c>
      <c r="F877" s="34">
        <f>IF(A877="","",IFERROR(INT(A877),"check date"))</f>
        <v/>
      </c>
      <c r="G877" s="35">
        <f>IF(B877="","",IFERROR(INDEX(Students!$A:$A,MATCH(TRIM(B877),Students!$A:$A,0)),"NOT ON LIST"))</f>
        <v/>
      </c>
      <c r="H877" s="35">
        <f>IF(OR(G877="",G877="NOT ON LIST"),"",VLOOKUP(G877,Students!$A:$C,2,FALSE))</f>
        <v/>
      </c>
      <c r="I877" s="35">
        <f>IF(OR(G877="",G877="NOT ON LIST"),"",VLOOKUP(G877,Students!$A:$C,3,FALSE)&amp;"")</f>
        <v/>
      </c>
    </row>
    <row r="878">
      <c r="A878" s="31" t="n">
        <v>46335.63541666666</v>
      </c>
      <c r="B878" s="32" t="inlineStr">
        <is>
          <t>Nora Kim</t>
        </is>
      </c>
      <c r="C878" s="32" t="inlineStr">
        <is>
          <t>Noah Kim</t>
        </is>
      </c>
      <c r="D878" s="33" t="n">
        <v>20</v>
      </c>
      <c r="E878" s="32" t="inlineStr">
        <is>
          <t>OneCause</t>
        </is>
      </c>
      <c r="F878" s="34">
        <f>IF(A878="","",IFERROR(INT(A878),"check date"))</f>
        <v/>
      </c>
      <c r="G878" s="35">
        <f>IF(B878="","",IFERROR(INDEX(Students!$A:$A,MATCH(TRIM(B878),Students!$A:$A,0)),"NOT ON LIST"))</f>
        <v/>
      </c>
      <c r="H878" s="35">
        <f>IF(OR(G878="",G878="NOT ON LIST"),"",VLOOKUP(G878,Students!$A:$C,2,FALSE))</f>
        <v/>
      </c>
      <c r="I878" s="35">
        <f>IF(OR(G878="",G878="NOT ON LIST"),"",VLOOKUP(G878,Students!$A:$C,3,FALSE)&amp;"")</f>
        <v/>
      </c>
    </row>
    <row r="879">
      <c r="A879" s="31" t="n">
        <v>46325.46875</v>
      </c>
      <c r="B879" s="32" t="inlineStr">
        <is>
          <t>Amelia Gonzalez</t>
        </is>
      </c>
      <c r="C879" s="32" t="inlineStr">
        <is>
          <t>Grace Gonzalez</t>
        </is>
      </c>
      <c r="D879" s="33" t="n">
        <v>50</v>
      </c>
      <c r="E879" s="32" t="inlineStr">
        <is>
          <t>OneCause</t>
        </is>
      </c>
      <c r="F879" s="34">
        <f>IF(A879="","",IFERROR(INT(A879),"check date"))</f>
        <v/>
      </c>
      <c r="G879" s="35">
        <f>IF(B879="","",IFERROR(INDEX(Students!$A:$A,MATCH(TRIM(B879),Students!$A:$A,0)),"NOT ON LIST"))</f>
        <v/>
      </c>
      <c r="H879" s="35">
        <f>IF(OR(G879="",G879="NOT ON LIST"),"",VLOOKUP(G879,Students!$A:$C,2,FALSE))</f>
        <v/>
      </c>
      <c r="I879" s="35">
        <f>IF(OR(G879="",G879="NOT ON LIST"),"",VLOOKUP(G879,Students!$A:$C,3,FALSE)&amp;"")</f>
        <v/>
      </c>
    </row>
    <row r="880">
      <c r="A880" s="31" t="n">
        <v>46331.48958333334</v>
      </c>
      <c r="B880" s="32" t="inlineStr">
        <is>
          <t>Joseph Gonzalez</t>
        </is>
      </c>
      <c r="C880" s="32" t="inlineStr">
        <is>
          <t>Joseph Gonzalez</t>
        </is>
      </c>
      <c r="D880" s="33" t="n">
        <v>25</v>
      </c>
      <c r="E880" s="32" t="inlineStr">
        <is>
          <t>OneCause</t>
        </is>
      </c>
      <c r="F880" s="34">
        <f>IF(A880="","",IFERROR(INT(A880),"check date"))</f>
        <v/>
      </c>
      <c r="G880" s="35">
        <f>IF(B880="","",IFERROR(INDEX(Students!$A:$A,MATCH(TRIM(B880),Students!$A:$A,0)),"NOT ON LIST"))</f>
        <v/>
      </c>
      <c r="H880" s="35">
        <f>IF(OR(G880="",G880="NOT ON LIST"),"",VLOOKUP(G880,Students!$A:$C,2,FALSE))</f>
        <v/>
      </c>
      <c r="I880" s="35">
        <f>IF(OR(G880="",G880="NOT ON LIST"),"",VLOOKUP(G880,Students!$A:$C,3,FALSE)&amp;"")</f>
        <v/>
      </c>
    </row>
    <row r="881">
      <c r="A881" s="31" t="n">
        <v>46335.625</v>
      </c>
      <c r="B881" s="32" t="inlineStr">
        <is>
          <t>Chloe Smith</t>
        </is>
      </c>
      <c r="C881" s="32" t="inlineStr">
        <is>
          <t>Lily Smith</t>
        </is>
      </c>
      <c r="D881" s="33" t="n">
        <v>25</v>
      </c>
      <c r="E881" s="32" t="inlineStr">
        <is>
          <t>OneCause</t>
        </is>
      </c>
      <c r="F881" s="34">
        <f>IF(A881="","",IFERROR(INT(A881),"check date"))</f>
        <v/>
      </c>
      <c r="G881" s="35">
        <f>IF(B881="","",IFERROR(INDEX(Students!$A:$A,MATCH(TRIM(B881),Students!$A:$A,0)),"NOT ON LIST"))</f>
        <v/>
      </c>
      <c r="H881" s="35">
        <f>IF(OR(G881="",G881="NOT ON LIST"),"",VLOOKUP(G881,Students!$A:$C,2,FALSE))</f>
        <v/>
      </c>
      <c r="I881" s="35">
        <f>IF(OR(G881="",G881="NOT ON LIST"),"",VLOOKUP(G881,Students!$A:$C,3,FALSE)&amp;"")</f>
        <v/>
      </c>
    </row>
    <row r="882">
      <c r="A882" s="31" t="n">
        <v>46339.73958333334</v>
      </c>
      <c r="B882" s="32" t="inlineStr">
        <is>
          <t>Zoe O'Brien</t>
        </is>
      </c>
      <c r="C882" s="32" t="inlineStr">
        <is>
          <t>Lily O'Brien</t>
        </is>
      </c>
      <c r="D882" s="33" t="n">
        <v>20</v>
      </c>
      <c r="E882" s="32" t="inlineStr">
        <is>
          <t>OneCause</t>
        </is>
      </c>
      <c r="F882" s="34">
        <f>IF(A882="","",IFERROR(INT(A882),"check date"))</f>
        <v/>
      </c>
      <c r="G882" s="35">
        <f>IF(B882="","",IFERROR(INDEX(Students!$A:$A,MATCH(TRIM(B882),Students!$A:$A,0)),"NOT ON LIST"))</f>
        <v/>
      </c>
      <c r="H882" s="35">
        <f>IF(OR(G882="",G882="NOT ON LIST"),"",VLOOKUP(G882,Students!$A:$C,2,FALSE))</f>
        <v/>
      </c>
      <c r="I882" s="35">
        <f>IF(OR(G882="",G882="NOT ON LIST"),"",VLOOKUP(G882,Students!$A:$C,3,FALSE)&amp;"")</f>
        <v/>
      </c>
    </row>
    <row r="883">
      <c r="A883" s="31" t="n">
        <v>46328.80208333334</v>
      </c>
      <c r="B883" s="32" t="inlineStr">
        <is>
          <t>Ava Gomez</t>
        </is>
      </c>
      <c r="C883" s="32" t="inlineStr">
        <is>
          <t>Chloe Gomez</t>
        </is>
      </c>
      <c r="D883" s="33" t="n">
        <v>100</v>
      </c>
      <c r="E883" s="32" t="inlineStr">
        <is>
          <t>OneCause</t>
        </is>
      </c>
      <c r="F883" s="34">
        <f>IF(A883="","",IFERROR(INT(A883),"check date"))</f>
        <v/>
      </c>
      <c r="G883" s="35">
        <f>IF(B883="","",IFERROR(INDEX(Students!$A:$A,MATCH(TRIM(B883),Students!$A:$A,0)),"NOT ON LIST"))</f>
        <v/>
      </c>
      <c r="H883" s="35">
        <f>IF(OR(G883="",G883="NOT ON LIST"),"",VLOOKUP(G883,Students!$A:$C,2,FALSE))</f>
        <v/>
      </c>
      <c r="I883" s="35">
        <f>IF(OR(G883="",G883="NOT ON LIST"),"",VLOOKUP(G883,Students!$A:$C,3,FALSE)&amp;"")</f>
        <v/>
      </c>
    </row>
    <row r="884">
      <c r="A884" s="31" t="n">
        <v>46330.83333333334</v>
      </c>
      <c r="B884" s="32" t="inlineStr">
        <is>
          <t>Nicolas Chavez</t>
        </is>
      </c>
      <c r="C884" s="32" t="inlineStr">
        <is>
          <t>Julian Chavez</t>
        </is>
      </c>
      <c r="D884" s="33" t="n">
        <v>10</v>
      </c>
      <c r="E884" s="32" t="inlineStr">
        <is>
          <t>OneCause</t>
        </is>
      </c>
      <c r="F884" s="34">
        <f>IF(A884="","",IFERROR(INT(A884),"check date"))</f>
        <v/>
      </c>
      <c r="G884" s="35">
        <f>IF(B884="","",IFERROR(INDEX(Students!$A:$A,MATCH(TRIM(B884),Students!$A:$A,0)),"NOT ON LIST"))</f>
        <v/>
      </c>
      <c r="H884" s="35">
        <f>IF(OR(G884="",G884="NOT ON LIST"),"",VLOOKUP(G884,Students!$A:$C,2,FALSE))</f>
        <v/>
      </c>
      <c r="I884" s="35">
        <f>IF(OR(G884="",G884="NOT ON LIST"),"",VLOOKUP(G884,Students!$A:$C,3,FALSE)&amp;"")</f>
        <v/>
      </c>
    </row>
    <row r="885">
      <c r="A885" s="31" t="n">
        <v>46327.32291666666</v>
      </c>
      <c r="B885" s="32" t="inlineStr">
        <is>
          <t>David Murphy</t>
        </is>
      </c>
      <c r="C885" s="32" t="inlineStr">
        <is>
          <t>Harper Murphy</t>
        </is>
      </c>
      <c r="D885" s="33" t="n">
        <v>100</v>
      </c>
      <c r="E885" s="32" t="inlineStr">
        <is>
          <t>OneCause</t>
        </is>
      </c>
      <c r="F885" s="34">
        <f>IF(A885="","",IFERROR(INT(A885),"check date"))</f>
        <v/>
      </c>
      <c r="G885" s="35">
        <f>IF(B885="","",IFERROR(INDEX(Students!$A:$A,MATCH(TRIM(B885),Students!$A:$A,0)),"NOT ON LIST"))</f>
        <v/>
      </c>
      <c r="H885" s="35">
        <f>IF(OR(G885="",G885="NOT ON LIST"),"",VLOOKUP(G885,Students!$A:$C,2,FALSE))</f>
        <v/>
      </c>
      <c r="I885" s="35">
        <f>IF(OR(G885="",G885="NOT ON LIST"),"",VLOOKUP(G885,Students!$A:$C,3,FALSE)&amp;"")</f>
        <v/>
      </c>
    </row>
    <row r="886">
      <c r="A886" s="31" t="n">
        <v>46335.85416666666</v>
      </c>
      <c r="B886" s="32" t="inlineStr">
        <is>
          <t>Diego Johnson</t>
        </is>
      </c>
      <c r="C886" s="32" t="inlineStr">
        <is>
          <t>Olivia Johnson</t>
        </is>
      </c>
      <c r="D886" s="33" t="n">
        <v>20</v>
      </c>
      <c r="E886" s="32" t="inlineStr">
        <is>
          <t>OneCause</t>
        </is>
      </c>
      <c r="F886" s="34">
        <f>IF(A886="","",IFERROR(INT(A886),"check date"))</f>
        <v/>
      </c>
      <c r="G886" s="35">
        <f>IF(B886="","",IFERROR(INDEX(Students!$A:$A,MATCH(TRIM(B886),Students!$A:$A,0)),"NOT ON LIST"))</f>
        <v/>
      </c>
      <c r="H886" s="35">
        <f>IF(OR(G886="",G886="NOT ON LIST"),"",VLOOKUP(G886,Students!$A:$C,2,FALSE))</f>
        <v/>
      </c>
      <c r="I886" s="35">
        <f>IF(OR(G886="",G886="NOT ON LIST"),"",VLOOKUP(G886,Students!$A:$C,3,FALSE)&amp;"")</f>
        <v/>
      </c>
    </row>
    <row r="887">
      <c r="A887" s="31" t="n">
        <v>46325.72916666666</v>
      </c>
      <c r="B887" s="32" t="inlineStr">
        <is>
          <t>Nora Flores</t>
        </is>
      </c>
      <c r="C887" s="32" t="inlineStr">
        <is>
          <t>Isabella Flores</t>
        </is>
      </c>
      <c r="D887" s="33" t="n">
        <v>100</v>
      </c>
      <c r="E887" s="32" t="inlineStr">
        <is>
          <t>OneCause</t>
        </is>
      </c>
      <c r="F887" s="34">
        <f>IF(A887="","",IFERROR(INT(A887),"check date"))</f>
        <v/>
      </c>
      <c r="G887" s="35">
        <f>IF(B887="","",IFERROR(INDEX(Students!$A:$A,MATCH(TRIM(B887),Students!$A:$A,0)),"NOT ON LIST"))</f>
        <v/>
      </c>
      <c r="H887" s="35">
        <f>IF(OR(G887="",G887="NOT ON LIST"),"",VLOOKUP(G887,Students!$A:$C,2,FALSE))</f>
        <v/>
      </c>
      <c r="I887" s="35">
        <f>IF(OR(G887="",G887="NOT ON LIST"),"",VLOOKUP(G887,Students!$A:$C,3,FALSE)&amp;"")</f>
        <v/>
      </c>
    </row>
    <row r="888">
      <c r="A888" s="31" t="n">
        <v>46339.88541666666</v>
      </c>
      <c r="B888" s="32" t="inlineStr">
        <is>
          <t>James Flores</t>
        </is>
      </c>
      <c r="C888" s="32" t="inlineStr">
        <is>
          <t>Isabella Flores</t>
        </is>
      </c>
      <c r="D888" s="33" t="n">
        <v>25</v>
      </c>
      <c r="E888" s="32" t="inlineStr">
        <is>
          <t>OneCause</t>
        </is>
      </c>
      <c r="F888" s="34">
        <f>IF(A888="","",IFERROR(INT(A888),"check date"))</f>
        <v/>
      </c>
      <c r="G888" s="35">
        <f>IF(B888="","",IFERROR(INDEX(Students!$A:$A,MATCH(TRIM(B888),Students!$A:$A,0)),"NOT ON LIST"))</f>
        <v/>
      </c>
      <c r="H888" s="35">
        <f>IF(OR(G888="",G888="NOT ON LIST"),"",VLOOKUP(G888,Students!$A:$C,2,FALSE))</f>
        <v/>
      </c>
      <c r="I888" s="35">
        <f>IF(OR(G888="",G888="NOT ON LIST"),"",VLOOKUP(G888,Students!$A:$C,3,FALSE)&amp;"")</f>
        <v/>
      </c>
    </row>
    <row r="889">
      <c r="A889" s="31" t="n">
        <v>46336.3125</v>
      </c>
      <c r="B889" s="32" t="inlineStr">
        <is>
          <t>Clara Nguyen</t>
        </is>
      </c>
      <c r="C889" s="32" t="inlineStr">
        <is>
          <t>Amelia Nguyen</t>
        </is>
      </c>
      <c r="D889" s="33" t="n">
        <v>50</v>
      </c>
      <c r="E889" s="32" t="inlineStr">
        <is>
          <t>OneCause</t>
        </is>
      </c>
      <c r="F889" s="34">
        <f>IF(A889="","",IFERROR(INT(A889),"check date"))</f>
        <v/>
      </c>
      <c r="G889" s="35">
        <f>IF(B889="","",IFERROR(INDEX(Students!$A:$A,MATCH(TRIM(B889),Students!$A:$A,0)),"NOT ON LIST"))</f>
        <v/>
      </c>
      <c r="H889" s="35">
        <f>IF(OR(G889="",G889="NOT ON LIST"),"",VLOOKUP(G889,Students!$A:$C,2,FALSE))</f>
        <v/>
      </c>
      <c r="I889" s="35">
        <f>IF(OR(G889="",G889="NOT ON LIST"),"",VLOOKUP(G889,Students!$A:$C,3,FALSE)&amp;"")</f>
        <v/>
      </c>
    </row>
    <row r="890">
      <c r="A890" s="31" t="n">
        <v>46337.44791666666</v>
      </c>
      <c r="B890" s="32" t="inlineStr">
        <is>
          <t>Daniel Cruz</t>
        </is>
      </c>
      <c r="C890" s="32" t="inlineStr">
        <is>
          <t>Ella Cruz</t>
        </is>
      </c>
      <c r="D890" s="33" t="n">
        <v>50</v>
      </c>
      <c r="E890" s="32" t="inlineStr">
        <is>
          <t>OneCause</t>
        </is>
      </c>
      <c r="F890" s="34">
        <f>IF(A890="","",IFERROR(INT(A890),"check date"))</f>
        <v/>
      </c>
      <c r="G890" s="35">
        <f>IF(B890="","",IFERROR(INDEX(Students!$A:$A,MATCH(TRIM(B890),Students!$A:$A,0)),"NOT ON LIST"))</f>
        <v/>
      </c>
      <c r="H890" s="35">
        <f>IF(OR(G890="",G890="NOT ON LIST"),"",VLOOKUP(G890,Students!$A:$C,2,FALSE))</f>
        <v/>
      </c>
      <c r="I890" s="35">
        <f>IF(OR(G890="",G890="NOT ON LIST"),"",VLOOKUP(G890,Students!$A:$C,3,FALSE)&amp;"")</f>
        <v/>
      </c>
    </row>
    <row r="891">
      <c r="A891" s="31" t="n">
        <v>46338.89583333334</v>
      </c>
      <c r="B891" s="32" t="inlineStr">
        <is>
          <t>Elijah Cruz</t>
        </is>
      </c>
      <c r="C891" s="32" t="inlineStr">
        <is>
          <t>Liam Cruz</t>
        </is>
      </c>
      <c r="D891" s="33" t="n">
        <v>100</v>
      </c>
      <c r="E891" s="32" t="inlineStr">
        <is>
          <t>OneCause</t>
        </is>
      </c>
      <c r="F891" s="34">
        <f>IF(A891="","",IFERROR(INT(A891),"check date"))</f>
        <v/>
      </c>
      <c r="G891" s="35">
        <f>IF(B891="","",IFERROR(INDEX(Students!$A:$A,MATCH(TRIM(B891),Students!$A:$A,0)),"NOT ON LIST"))</f>
        <v/>
      </c>
      <c r="H891" s="35">
        <f>IF(OR(G891="",G891="NOT ON LIST"),"",VLOOKUP(G891,Students!$A:$C,2,FALSE))</f>
        <v/>
      </c>
      <c r="I891" s="35">
        <f>IF(OR(G891="",G891="NOT ON LIST"),"",VLOOKUP(G891,Students!$A:$C,3,FALSE)&amp;"")</f>
        <v/>
      </c>
    </row>
    <row r="892">
      <c r="A892" s="31" t="n">
        <v>46336.71875</v>
      </c>
      <c r="B892" s="32" t="inlineStr">
        <is>
          <t>Luna Sanchez</t>
        </is>
      </c>
      <c r="C892" s="32" t="inlineStr">
        <is>
          <t>Samuel Sanchez</t>
        </is>
      </c>
      <c r="D892" s="33" t="n">
        <v>40</v>
      </c>
      <c r="E892" s="32" t="inlineStr">
        <is>
          <t>OneCause</t>
        </is>
      </c>
      <c r="F892" s="34">
        <f>IF(A892="","",IFERROR(INT(A892),"check date"))</f>
        <v/>
      </c>
      <c r="G892" s="35">
        <f>IF(B892="","",IFERROR(INDEX(Students!$A:$A,MATCH(TRIM(B892),Students!$A:$A,0)),"NOT ON LIST"))</f>
        <v/>
      </c>
      <c r="H892" s="35">
        <f>IF(OR(G892="",G892="NOT ON LIST"),"",VLOOKUP(G892,Students!$A:$C,2,FALSE))</f>
        <v/>
      </c>
      <c r="I892" s="35">
        <f>IF(OR(G892="",G892="NOT ON LIST"),"",VLOOKUP(G892,Students!$A:$C,3,FALSE)&amp;"")</f>
        <v/>
      </c>
    </row>
    <row r="893">
      <c r="A893" s="31" t="n">
        <v>46335.79166666666</v>
      </c>
      <c r="B893" s="32" t="inlineStr">
        <is>
          <t>Isabella Ruiz</t>
        </is>
      </c>
      <c r="C893" s="32" t="inlineStr">
        <is>
          <t>Diego Ruiz</t>
        </is>
      </c>
      <c r="D893" s="33" t="n">
        <v>10</v>
      </c>
      <c r="E893" s="32" t="inlineStr">
        <is>
          <t>OneCause</t>
        </is>
      </c>
      <c r="F893" s="34">
        <f>IF(A893="","",IFERROR(INT(A893),"check date"))</f>
        <v/>
      </c>
      <c r="G893" s="35">
        <f>IF(B893="","",IFERROR(INDEX(Students!$A:$A,MATCH(TRIM(B893),Students!$A:$A,0)),"NOT ON LIST"))</f>
        <v/>
      </c>
      <c r="H893" s="35">
        <f>IF(OR(G893="",G893="NOT ON LIST"),"",VLOOKUP(G893,Students!$A:$C,2,FALSE))</f>
        <v/>
      </c>
      <c r="I893" s="35">
        <f>IF(OR(G893="",G893="NOT ON LIST"),"",VLOOKUP(G893,Students!$A:$C,3,FALSE)&amp;"")</f>
        <v/>
      </c>
    </row>
    <row r="894">
      <c r="A894" s="31" t="n">
        <v>46335.61458333334</v>
      </c>
      <c r="B894" s="32" t="inlineStr">
        <is>
          <t>Valentina Martinez</t>
        </is>
      </c>
      <c r="C894" s="32" t="inlineStr">
        <is>
          <t>Daniel Martinez</t>
        </is>
      </c>
      <c r="D894" s="33" t="n">
        <v>150</v>
      </c>
      <c r="E894" s="32" t="inlineStr">
        <is>
          <t>OneCause</t>
        </is>
      </c>
      <c r="F894" s="34">
        <f>IF(A894="","",IFERROR(INT(A894),"check date"))</f>
        <v/>
      </c>
      <c r="G894" s="35">
        <f>IF(B894="","",IFERROR(INDEX(Students!$A:$A,MATCH(TRIM(B894),Students!$A:$A,0)),"NOT ON LIST"))</f>
        <v/>
      </c>
      <c r="H894" s="35">
        <f>IF(OR(G894="",G894="NOT ON LIST"),"",VLOOKUP(G894,Students!$A:$C,2,FALSE))</f>
        <v/>
      </c>
      <c r="I894" s="35">
        <f>IF(OR(G894="",G894="NOT ON LIST"),"",VLOOKUP(G894,Students!$A:$C,3,FALSE)&amp;"")</f>
        <v/>
      </c>
    </row>
    <row r="895">
      <c r="A895" s="31" t="n">
        <v>46337.69791666666</v>
      </c>
      <c r="B895" s="32" t="inlineStr">
        <is>
          <t>Luna Ryan</t>
        </is>
      </c>
      <c r="C895" s="32" t="inlineStr">
        <is>
          <t>Diego Ryan</t>
        </is>
      </c>
      <c r="D895" s="33" t="n">
        <v>50</v>
      </c>
      <c r="E895" s="32" t="inlineStr">
        <is>
          <t>OneCause</t>
        </is>
      </c>
      <c r="F895" s="34">
        <f>IF(A895="","",IFERROR(INT(A895),"check date"))</f>
        <v/>
      </c>
      <c r="G895" s="35">
        <f>IF(B895="","",IFERROR(INDEX(Students!$A:$A,MATCH(TRIM(B895),Students!$A:$A,0)),"NOT ON LIST"))</f>
        <v/>
      </c>
      <c r="H895" s="35">
        <f>IF(OR(G895="",G895="NOT ON LIST"),"",VLOOKUP(G895,Students!$A:$C,2,FALSE))</f>
        <v/>
      </c>
      <c r="I895" s="35">
        <f>IF(OR(G895="",G895="NOT ON LIST"),"",VLOOKUP(G895,Students!$A:$C,3,FALSE)&amp;"")</f>
        <v/>
      </c>
    </row>
    <row r="896">
      <c r="A896" s="31" t="n">
        <v>46332.48958333334</v>
      </c>
      <c r="B896" s="32" t="inlineStr">
        <is>
          <t>Ava Brown</t>
        </is>
      </c>
      <c r="C896" s="32" t="inlineStr">
        <is>
          <t>Mateo Brown</t>
        </is>
      </c>
      <c r="D896" s="33" t="n">
        <v>20</v>
      </c>
      <c r="E896" s="32" t="inlineStr">
        <is>
          <t>OneCause</t>
        </is>
      </c>
      <c r="F896" s="34">
        <f>IF(A896="","",IFERROR(INT(A896),"check date"))</f>
        <v/>
      </c>
      <c r="G896" s="35">
        <f>IF(B896="","",IFERROR(INDEX(Students!$A:$A,MATCH(TRIM(B896),Students!$A:$A,0)),"NOT ON LIST"))</f>
        <v/>
      </c>
      <c r="H896" s="35">
        <f>IF(OR(G896="",G896="NOT ON LIST"),"",VLOOKUP(G896,Students!$A:$C,2,FALSE))</f>
        <v/>
      </c>
      <c r="I896" s="35">
        <f>IF(OR(G896="",G896="NOT ON LIST"),"",VLOOKUP(G896,Students!$A:$C,3,FALSE)&amp;"")</f>
        <v/>
      </c>
    </row>
    <row r="897">
      <c r="A897" s="31" t="n">
        <v>46339.36458333334</v>
      </c>
      <c r="B897" s="32" t="inlineStr">
        <is>
          <t>Elijah Vasquez</t>
        </is>
      </c>
      <c r="C897" s="32" t="inlineStr">
        <is>
          <t>Maya Vasquez</t>
        </is>
      </c>
      <c r="D897" s="33" t="n">
        <v>40</v>
      </c>
      <c r="E897" s="32" t="inlineStr">
        <is>
          <t>OneCause</t>
        </is>
      </c>
      <c r="F897" s="34">
        <f>IF(A897="","",IFERROR(INT(A897),"check date"))</f>
        <v/>
      </c>
      <c r="G897" s="35">
        <f>IF(B897="","",IFERROR(INDEX(Students!$A:$A,MATCH(TRIM(B897),Students!$A:$A,0)),"NOT ON LIST"))</f>
        <v/>
      </c>
      <c r="H897" s="35">
        <f>IF(OR(G897="",G897="NOT ON LIST"),"",VLOOKUP(G897,Students!$A:$C,2,FALSE))</f>
        <v/>
      </c>
      <c r="I897" s="35">
        <f>IF(OR(G897="",G897="NOT ON LIST"),"",VLOOKUP(G897,Students!$A:$C,3,FALSE)&amp;"")</f>
        <v/>
      </c>
    </row>
    <row r="898">
      <c r="A898" s="31" t="n">
        <v>46326.45833333334</v>
      </c>
      <c r="B898" s="32" t="inlineStr">
        <is>
          <t>Olivia Martinez</t>
        </is>
      </c>
      <c r="C898" s="32" t="inlineStr">
        <is>
          <t>Henry Martinez</t>
        </is>
      </c>
      <c r="D898" s="33" t="n">
        <v>25</v>
      </c>
      <c r="E898" s="32" t="inlineStr">
        <is>
          <t>OneCause</t>
        </is>
      </c>
      <c r="F898" s="34">
        <f>IF(A898="","",IFERROR(INT(A898),"check date"))</f>
        <v/>
      </c>
      <c r="G898" s="35">
        <f>IF(B898="","",IFERROR(INDEX(Students!$A:$A,MATCH(TRIM(B898),Students!$A:$A,0)),"NOT ON LIST"))</f>
        <v/>
      </c>
      <c r="H898" s="35">
        <f>IF(OR(G898="",G898="NOT ON LIST"),"",VLOOKUP(G898,Students!$A:$C,2,FALSE))</f>
        <v/>
      </c>
      <c r="I898" s="35">
        <f>IF(OR(G898="",G898="NOT ON LIST"),"",VLOOKUP(G898,Students!$A:$C,3,FALSE)&amp;"")</f>
        <v/>
      </c>
    </row>
    <row r="899">
      <c r="A899" s="31" t="n">
        <v>46326.72916666666</v>
      </c>
      <c r="B899" s="32" t="inlineStr">
        <is>
          <t>Thomas Ruiz</t>
        </is>
      </c>
      <c r="C899" s="32" t="inlineStr">
        <is>
          <t>Nora Ruiz</t>
        </is>
      </c>
      <c r="D899" s="33" t="n">
        <v>40</v>
      </c>
      <c r="E899" s="32" t="inlineStr">
        <is>
          <t>OneCause</t>
        </is>
      </c>
      <c r="F899" s="34">
        <f>IF(A899="","",IFERROR(INT(A899),"check date"))</f>
        <v/>
      </c>
      <c r="G899" s="35">
        <f>IF(B899="","",IFERROR(INDEX(Students!$A:$A,MATCH(TRIM(B899),Students!$A:$A,0)),"NOT ON LIST"))</f>
        <v/>
      </c>
      <c r="H899" s="35">
        <f>IF(OR(G899="",G899="NOT ON LIST"),"",VLOOKUP(G899,Students!$A:$C,2,FALSE))</f>
        <v/>
      </c>
      <c r="I899" s="35">
        <f>IF(OR(G899="",G899="NOT ON LIST"),"",VLOOKUP(G899,Students!$A:$C,3,FALSE)&amp;"")</f>
        <v/>
      </c>
    </row>
    <row r="900">
      <c r="A900" s="31" t="n">
        <v>46330.33333333334</v>
      </c>
      <c r="B900" s="32" t="inlineStr">
        <is>
          <t>David Chavez</t>
        </is>
      </c>
      <c r="C900" s="32" t="inlineStr">
        <is>
          <t>Sofia Chavez</t>
        </is>
      </c>
      <c r="D900" s="33" t="n">
        <v>20</v>
      </c>
      <c r="E900" s="32" t="inlineStr">
        <is>
          <t>OneCause</t>
        </is>
      </c>
      <c r="F900" s="34">
        <f>IF(A900="","",IFERROR(INT(A900),"check date"))</f>
        <v/>
      </c>
      <c r="G900" s="35">
        <f>IF(B900="","",IFERROR(INDEX(Students!$A:$A,MATCH(TRIM(B900),Students!$A:$A,0)),"NOT ON LIST"))</f>
        <v/>
      </c>
      <c r="H900" s="35">
        <f>IF(OR(G900="",G900="NOT ON LIST"),"",VLOOKUP(G900,Students!$A:$C,2,FALSE))</f>
        <v/>
      </c>
      <c r="I900" s="35">
        <f>IF(OR(G900="",G900="NOT ON LIST"),"",VLOOKUP(G900,Students!$A:$C,3,FALSE)&amp;"")</f>
        <v/>
      </c>
    </row>
    <row r="901">
      <c r="A901" s="31" t="n">
        <v>46339.625</v>
      </c>
      <c r="B901" s="32" t="inlineStr">
        <is>
          <t>Luna Sanchez</t>
        </is>
      </c>
      <c r="C901" s="32" t="inlineStr">
        <is>
          <t>Benjamin Sanchez</t>
        </is>
      </c>
      <c r="D901" s="33" t="n">
        <v>25</v>
      </c>
      <c r="E901" s="32" t="inlineStr">
        <is>
          <t>OneCause</t>
        </is>
      </c>
      <c r="F901" s="34">
        <f>IF(A901="","",IFERROR(INT(A901),"check date"))</f>
        <v/>
      </c>
      <c r="G901" s="35">
        <f>IF(B901="","",IFERROR(INDEX(Students!$A:$A,MATCH(TRIM(B901),Students!$A:$A,0)),"NOT ON LIST"))</f>
        <v/>
      </c>
      <c r="H901" s="35">
        <f>IF(OR(G901="",G901="NOT ON LIST"),"",VLOOKUP(G901,Students!$A:$C,2,FALSE))</f>
        <v/>
      </c>
      <c r="I901" s="35">
        <f>IF(OR(G901="",G901="NOT ON LIST"),"",VLOOKUP(G901,Students!$A:$C,3,FALSE)&amp;"")</f>
        <v/>
      </c>
    </row>
    <row r="902">
      <c r="A902" s="31" t="n">
        <v>46330.875</v>
      </c>
      <c r="B902" s="32" t="inlineStr">
        <is>
          <t>Joseph Mendoza</t>
        </is>
      </c>
      <c r="C902" s="32" t="inlineStr">
        <is>
          <t>Isabella Mendoza</t>
        </is>
      </c>
      <c r="D902" s="33" t="n">
        <v>50</v>
      </c>
      <c r="E902" s="32" t="inlineStr">
        <is>
          <t>OneCause</t>
        </is>
      </c>
      <c r="F902" s="34">
        <f>IF(A902="","",IFERROR(INT(A902),"check date"))</f>
        <v/>
      </c>
      <c r="G902" s="35">
        <f>IF(B902="","",IFERROR(INDEX(Students!$A:$A,MATCH(TRIM(B902),Students!$A:$A,0)),"NOT ON LIST"))</f>
        <v/>
      </c>
      <c r="H902" s="35">
        <f>IF(OR(G902="",G902="NOT ON LIST"),"",VLOOKUP(G902,Students!$A:$C,2,FALSE))</f>
        <v/>
      </c>
      <c r="I902" s="35">
        <f>IF(OR(G902="",G902="NOT ON LIST"),"",VLOOKUP(G902,Students!$A:$C,3,FALSE)&amp;"")</f>
        <v/>
      </c>
    </row>
    <row r="903">
      <c r="A903" s="31" t="n">
        <v>46329.375</v>
      </c>
      <c r="B903" s="32" t="inlineStr">
        <is>
          <t>Thomas Ruiz</t>
        </is>
      </c>
      <c r="C903" s="32" t="inlineStr">
        <is>
          <t>Santiago Ruiz</t>
        </is>
      </c>
      <c r="D903" s="33" t="n">
        <v>50</v>
      </c>
      <c r="E903" s="32" t="inlineStr">
        <is>
          <t>OneCause</t>
        </is>
      </c>
      <c r="F903" s="34">
        <f>IF(A903="","",IFERROR(INT(A903),"check date"))</f>
        <v/>
      </c>
      <c r="G903" s="35">
        <f>IF(B903="","",IFERROR(INDEX(Students!$A:$A,MATCH(TRIM(B903),Students!$A:$A,0)),"NOT ON LIST"))</f>
        <v/>
      </c>
      <c r="H903" s="35">
        <f>IF(OR(G903="",G903="NOT ON LIST"),"",VLOOKUP(G903,Students!$A:$C,2,FALSE))</f>
        <v/>
      </c>
      <c r="I903" s="35">
        <f>IF(OR(G903="",G903="NOT ON LIST"),"",VLOOKUP(G903,Students!$A:$C,3,FALSE)&amp;"")</f>
        <v/>
      </c>
    </row>
    <row r="904">
      <c r="A904" s="31" t="n">
        <v>46329.88541666666</v>
      </c>
      <c r="B904" s="32" t="inlineStr">
        <is>
          <t>Lucas Vasquez</t>
        </is>
      </c>
      <c r="C904" s="32" t="inlineStr">
        <is>
          <t>Camila Vasquez</t>
        </is>
      </c>
      <c r="D904" s="33" t="n">
        <v>40</v>
      </c>
      <c r="E904" s="32" t="inlineStr">
        <is>
          <t>OneCause</t>
        </is>
      </c>
      <c r="F904" s="34">
        <f>IF(A904="","",IFERROR(INT(A904),"check date"))</f>
        <v/>
      </c>
      <c r="G904" s="35">
        <f>IF(B904="","",IFERROR(INDEX(Students!$A:$A,MATCH(TRIM(B904),Students!$A:$A,0)),"NOT ON LIST"))</f>
        <v/>
      </c>
      <c r="H904" s="35">
        <f>IF(OR(G904="",G904="NOT ON LIST"),"",VLOOKUP(G904,Students!$A:$C,2,FALSE))</f>
        <v/>
      </c>
      <c r="I904" s="35">
        <f>IF(OR(G904="",G904="NOT ON LIST"),"",VLOOKUP(G904,Students!$A:$C,3,FALSE)&amp;"")</f>
        <v/>
      </c>
    </row>
    <row r="905">
      <c r="A905" s="31" t="n">
        <v>46334.36458333334</v>
      </c>
      <c r="B905" s="32" t="inlineStr">
        <is>
          <t>Aria Ryan</t>
        </is>
      </c>
      <c r="C905" s="32" t="inlineStr">
        <is>
          <t>Daniel Ryan</t>
        </is>
      </c>
      <c r="D905" s="33" t="n">
        <v>100</v>
      </c>
      <c r="E905" s="32" t="inlineStr">
        <is>
          <t>OneCause</t>
        </is>
      </c>
      <c r="F905" s="34">
        <f>IF(A905="","",IFERROR(INT(A905),"check date"))</f>
        <v/>
      </c>
      <c r="G905" s="35">
        <f>IF(B905="","",IFERROR(INDEX(Students!$A:$A,MATCH(TRIM(B905),Students!$A:$A,0)),"NOT ON LIST"))</f>
        <v/>
      </c>
      <c r="H905" s="35">
        <f>IF(OR(G905="",G905="NOT ON LIST"),"",VLOOKUP(G905,Students!$A:$C,2,FALSE))</f>
        <v/>
      </c>
      <c r="I905" s="35">
        <f>IF(OR(G905="",G905="NOT ON LIST"),"",VLOOKUP(G905,Students!$A:$C,3,FALSE)&amp;"")</f>
        <v/>
      </c>
    </row>
    <row r="906">
      <c r="A906" s="31" t="n">
        <v>46328.47916666666</v>
      </c>
      <c r="B906" s="32" t="inlineStr">
        <is>
          <t>Thomas Patel</t>
        </is>
      </c>
      <c r="C906" s="32" t="inlineStr">
        <is>
          <t>Benjamin Patel</t>
        </is>
      </c>
      <c r="D906" s="33" t="n">
        <v>40</v>
      </c>
      <c r="E906" s="32" t="inlineStr">
        <is>
          <t>OneCause</t>
        </is>
      </c>
      <c r="F906" s="34">
        <f>IF(A906="","",IFERROR(INT(A906),"check date"))</f>
        <v/>
      </c>
      <c r="G906" s="35">
        <f>IF(B906="","",IFERROR(INDEX(Students!$A:$A,MATCH(TRIM(B906),Students!$A:$A,0)),"NOT ON LIST"))</f>
        <v/>
      </c>
      <c r="H906" s="35">
        <f>IF(OR(G906="",G906="NOT ON LIST"),"",VLOOKUP(G906,Students!$A:$C,2,FALSE))</f>
        <v/>
      </c>
      <c r="I906" s="35">
        <f>IF(OR(G906="",G906="NOT ON LIST"),"",VLOOKUP(G906,Students!$A:$C,3,FALSE)&amp;"")</f>
        <v/>
      </c>
    </row>
    <row r="907">
      <c r="A907" s="31" t="n">
        <v>46326.51041666666</v>
      </c>
      <c r="B907" s="32" t="inlineStr">
        <is>
          <t>Luna Kim</t>
        </is>
      </c>
      <c r="C907" s="32" t="inlineStr">
        <is>
          <t>Harper Kim</t>
        </is>
      </c>
      <c r="D907" s="33" t="n">
        <v>40</v>
      </c>
      <c r="E907" s="32" t="inlineStr">
        <is>
          <t>OneCause</t>
        </is>
      </c>
      <c r="F907" s="34">
        <f>IF(A907="","",IFERROR(INT(A907),"check date"))</f>
        <v/>
      </c>
      <c r="G907" s="35">
        <f>IF(B907="","",IFERROR(INDEX(Students!$A:$A,MATCH(TRIM(B907),Students!$A:$A,0)),"NOT ON LIST"))</f>
        <v/>
      </c>
      <c r="H907" s="35">
        <f>IF(OR(G907="",G907="NOT ON LIST"),"",VLOOKUP(G907,Students!$A:$C,2,FALSE))</f>
        <v/>
      </c>
      <c r="I907" s="35">
        <f>IF(OR(G907="",G907="NOT ON LIST"),"",VLOOKUP(G907,Students!$A:$C,3,FALSE)&amp;"")</f>
        <v/>
      </c>
    </row>
    <row r="908">
      <c r="A908" s="31" t="n">
        <v>46334.52083333334</v>
      </c>
      <c r="B908" s="32" t="inlineStr">
        <is>
          <t>Isaac O'Brien</t>
        </is>
      </c>
      <c r="C908" s="32" t="inlineStr">
        <is>
          <t>Santiago O'Brien</t>
        </is>
      </c>
      <c r="D908" s="33" t="n">
        <v>100</v>
      </c>
      <c r="E908" s="32" t="inlineStr">
        <is>
          <t>OneCause</t>
        </is>
      </c>
      <c r="F908" s="34">
        <f>IF(A908="","",IFERROR(INT(A908),"check date"))</f>
        <v/>
      </c>
      <c r="G908" s="35">
        <f>IF(B908="","",IFERROR(INDEX(Students!$A:$A,MATCH(TRIM(B908),Students!$A:$A,0)),"NOT ON LIST"))</f>
        <v/>
      </c>
      <c r="H908" s="35">
        <f>IF(OR(G908="",G908="NOT ON LIST"),"",VLOOKUP(G908,Students!$A:$C,2,FALSE))</f>
        <v/>
      </c>
      <c r="I908" s="35">
        <f>IF(OR(G908="",G908="NOT ON LIST"),"",VLOOKUP(G908,Students!$A:$C,3,FALSE)&amp;"")</f>
        <v/>
      </c>
    </row>
    <row r="909">
      <c r="A909" s="31" t="n">
        <v>46330.4375</v>
      </c>
      <c r="B909" s="32" t="inlineStr">
        <is>
          <t>Olivia Cruz</t>
        </is>
      </c>
      <c r="C909" s="32" t="inlineStr">
        <is>
          <t>Aria Cruz</t>
        </is>
      </c>
      <c r="D909" s="33" t="n">
        <v>50</v>
      </c>
      <c r="E909" s="32" t="inlineStr">
        <is>
          <t>OneCause</t>
        </is>
      </c>
      <c r="F909" s="34">
        <f>IF(A909="","",IFERROR(INT(A909),"check date"))</f>
        <v/>
      </c>
      <c r="G909" s="35">
        <f>IF(B909="","",IFERROR(INDEX(Students!$A:$A,MATCH(TRIM(B909),Students!$A:$A,0)),"NOT ON LIST"))</f>
        <v/>
      </c>
      <c r="H909" s="35">
        <f>IF(OR(G909="",G909="NOT ON LIST"),"",VLOOKUP(G909,Students!$A:$C,2,FALSE))</f>
        <v/>
      </c>
      <c r="I909" s="35">
        <f>IF(OR(G909="",G909="NOT ON LIST"),"",VLOOKUP(G909,Students!$A:$C,3,FALSE)&amp;"")</f>
        <v/>
      </c>
    </row>
    <row r="910">
      <c r="A910" s="31" t="n">
        <v>46331.36458333334</v>
      </c>
      <c r="B910" s="32" t="inlineStr">
        <is>
          <t>Sofia Nguyen</t>
        </is>
      </c>
      <c r="C910" s="32" t="inlineStr">
        <is>
          <t>Thomas Nguyen</t>
        </is>
      </c>
      <c r="D910" s="33" t="n">
        <v>100</v>
      </c>
      <c r="E910" s="32" t="inlineStr">
        <is>
          <t>OneCause</t>
        </is>
      </c>
      <c r="F910" s="34">
        <f>IF(A910="","",IFERROR(INT(A910),"check date"))</f>
        <v/>
      </c>
      <c r="G910" s="35">
        <f>IF(B910="","",IFERROR(INDEX(Students!$A:$A,MATCH(TRIM(B910),Students!$A:$A,0)),"NOT ON LIST"))</f>
        <v/>
      </c>
      <c r="H910" s="35">
        <f>IF(OR(G910="",G910="NOT ON LIST"),"",VLOOKUP(G910,Students!$A:$C,2,FALSE))</f>
        <v/>
      </c>
      <c r="I910" s="35">
        <f>IF(OR(G910="",G910="NOT ON LIST"),"",VLOOKUP(G910,Students!$A:$C,3,FALSE)&amp;"")</f>
        <v/>
      </c>
    </row>
    <row r="911">
      <c r="A911" s="31" t="n">
        <v>46328.88541666666</v>
      </c>
      <c r="B911" s="32" t="inlineStr">
        <is>
          <t>Mateo Williams</t>
        </is>
      </c>
      <c r="C911" s="32" t="inlineStr">
        <is>
          <t>Diego Williams</t>
        </is>
      </c>
      <c r="D911" s="33" t="n">
        <v>150</v>
      </c>
      <c r="E911" s="32" t="inlineStr">
        <is>
          <t>OneCause</t>
        </is>
      </c>
      <c r="F911" s="34">
        <f>IF(A911="","",IFERROR(INT(A911),"check date"))</f>
        <v/>
      </c>
      <c r="G911" s="35">
        <f>IF(B911="","",IFERROR(INDEX(Students!$A:$A,MATCH(TRIM(B911),Students!$A:$A,0)),"NOT ON LIST"))</f>
        <v/>
      </c>
      <c r="H911" s="35">
        <f>IF(OR(G911="",G911="NOT ON LIST"),"",VLOOKUP(G911,Students!$A:$C,2,FALSE))</f>
        <v/>
      </c>
      <c r="I911" s="35">
        <f>IF(OR(G911="",G911="NOT ON LIST"),"",VLOOKUP(G911,Students!$A:$C,3,FALSE)&amp;"")</f>
        <v/>
      </c>
    </row>
    <row r="912">
      <c r="A912" s="31" t="n">
        <v>46331.61458333334</v>
      </c>
      <c r="B912" s="32" t="inlineStr">
        <is>
          <t>Sofia Lopez</t>
        </is>
      </c>
      <c r="C912" s="32" t="inlineStr">
        <is>
          <t>Mateo Lopez</t>
        </is>
      </c>
      <c r="D912" s="33" t="n">
        <v>25</v>
      </c>
      <c r="E912" s="32" t="inlineStr">
        <is>
          <t>OneCause</t>
        </is>
      </c>
      <c r="F912" s="34">
        <f>IF(A912="","",IFERROR(INT(A912),"check date"))</f>
        <v/>
      </c>
      <c r="G912" s="35">
        <f>IF(B912="","",IFERROR(INDEX(Students!$A:$A,MATCH(TRIM(B912),Students!$A:$A,0)),"NOT ON LIST"))</f>
        <v/>
      </c>
      <c r="H912" s="35">
        <f>IF(OR(G912="",G912="NOT ON LIST"),"",VLOOKUP(G912,Students!$A:$C,2,FALSE))</f>
        <v/>
      </c>
      <c r="I912" s="35">
        <f>IF(OR(G912="",G912="NOT ON LIST"),"",VLOOKUP(G912,Students!$A:$C,3,FALSE)&amp;"")</f>
        <v/>
      </c>
    </row>
    <row r="913">
      <c r="A913" s="31" t="n">
        <v>46327.39583333334</v>
      </c>
      <c r="B913" s="32" t="inlineStr">
        <is>
          <t>David Morales</t>
        </is>
      </c>
      <c r="C913" s="32" t="inlineStr">
        <is>
          <t>Joseph Morales</t>
        </is>
      </c>
      <c r="D913" s="33" t="n">
        <v>40</v>
      </c>
      <c r="E913" s="32" t="inlineStr">
        <is>
          <t>OneCause</t>
        </is>
      </c>
      <c r="F913" s="34">
        <f>IF(A913="","",IFERROR(INT(A913),"check date"))</f>
        <v/>
      </c>
      <c r="G913" s="35">
        <f>IF(B913="","",IFERROR(INDEX(Students!$A:$A,MATCH(TRIM(B913),Students!$A:$A,0)),"NOT ON LIST"))</f>
        <v/>
      </c>
      <c r="H913" s="35">
        <f>IF(OR(G913="",G913="NOT ON LIST"),"",VLOOKUP(G913,Students!$A:$C,2,FALSE))</f>
        <v/>
      </c>
      <c r="I913" s="35">
        <f>IF(OR(G913="",G913="NOT ON LIST"),"",VLOOKUP(G913,Students!$A:$C,3,FALSE)&amp;"")</f>
        <v/>
      </c>
    </row>
    <row r="914">
      <c r="A914" s="31" t="n">
        <v>46326.375</v>
      </c>
      <c r="B914" s="32" t="inlineStr">
        <is>
          <t>Nicolas Ramirez</t>
        </is>
      </c>
      <c r="C914" s="32" t="inlineStr">
        <is>
          <t>Benjamin Ramirez</t>
        </is>
      </c>
      <c r="D914" s="33" t="n">
        <v>150</v>
      </c>
      <c r="E914" s="32" t="inlineStr">
        <is>
          <t>OneCause</t>
        </is>
      </c>
      <c r="F914" s="34">
        <f>IF(A914="","",IFERROR(INT(A914),"check date"))</f>
        <v/>
      </c>
      <c r="G914" s="35">
        <f>IF(B914="","",IFERROR(INDEX(Students!$A:$A,MATCH(TRIM(B914),Students!$A:$A,0)),"NOT ON LIST"))</f>
        <v/>
      </c>
      <c r="H914" s="35">
        <f>IF(OR(G914="",G914="NOT ON LIST"),"",VLOOKUP(G914,Students!$A:$C,2,FALSE))</f>
        <v/>
      </c>
      <c r="I914" s="35">
        <f>IF(OR(G914="",G914="NOT ON LIST"),"",VLOOKUP(G914,Students!$A:$C,3,FALSE)&amp;"")</f>
        <v/>
      </c>
    </row>
    <row r="915">
      <c r="A915" s="31" t="n">
        <v>46339.65625</v>
      </c>
      <c r="B915" s="32" t="inlineStr">
        <is>
          <t>Maya Ryan</t>
        </is>
      </c>
      <c r="C915" s="32" t="inlineStr">
        <is>
          <t>Elijah Ryan</t>
        </is>
      </c>
      <c r="D915" s="33" t="n">
        <v>25</v>
      </c>
      <c r="E915" s="32" t="inlineStr">
        <is>
          <t>OneCause</t>
        </is>
      </c>
      <c r="F915" s="34">
        <f>IF(A915="","",IFERROR(INT(A915),"check date"))</f>
        <v/>
      </c>
      <c r="G915" s="35">
        <f>IF(B915="","",IFERROR(INDEX(Students!$A:$A,MATCH(TRIM(B915),Students!$A:$A,0)),"NOT ON LIST"))</f>
        <v/>
      </c>
      <c r="H915" s="35">
        <f>IF(OR(G915="",G915="NOT ON LIST"),"",VLOOKUP(G915,Students!$A:$C,2,FALSE))</f>
        <v/>
      </c>
      <c r="I915" s="35">
        <f>IF(OR(G915="",G915="NOT ON LIST"),"",VLOOKUP(G915,Students!$A:$C,3,FALSE)&amp;"")</f>
        <v/>
      </c>
    </row>
    <row r="916">
      <c r="A916" s="31" t="n">
        <v>46328.52083333334</v>
      </c>
      <c r="B916" s="32" t="inlineStr">
        <is>
          <t>Adrian Byrne</t>
        </is>
      </c>
      <c r="C916" s="32" t="inlineStr">
        <is>
          <t>Lucas Byrne</t>
        </is>
      </c>
      <c r="D916" s="33" t="n">
        <v>100</v>
      </c>
      <c r="E916" s="32" t="inlineStr">
        <is>
          <t>OneCause</t>
        </is>
      </c>
      <c r="F916" s="34">
        <f>IF(A916="","",IFERROR(INT(A916),"check date"))</f>
        <v/>
      </c>
      <c r="G916" s="35">
        <f>IF(B916="","",IFERROR(INDEX(Students!$A:$A,MATCH(TRIM(B916),Students!$A:$A,0)),"NOT ON LIST"))</f>
        <v/>
      </c>
      <c r="H916" s="35">
        <f>IF(OR(G916="",G916="NOT ON LIST"),"",VLOOKUP(G916,Students!$A:$C,2,FALSE))</f>
        <v/>
      </c>
      <c r="I916" s="35">
        <f>IF(OR(G916="",G916="NOT ON LIST"),"",VLOOKUP(G916,Students!$A:$C,3,FALSE)&amp;"")</f>
        <v/>
      </c>
    </row>
    <row r="917">
      <c r="A917" s="31" t="n">
        <v>46331</v>
      </c>
      <c r="B917" s="32" t="inlineStr">
        <is>
          <t>Elijah Murphy</t>
        </is>
      </c>
      <c r="C917" s="32" t="inlineStr">
        <is>
          <t>Emma Murphy</t>
        </is>
      </c>
      <c r="D917" s="33" t="n">
        <v>40</v>
      </c>
      <c r="E917" s="32" t="inlineStr">
        <is>
          <t>Cash</t>
        </is>
      </c>
      <c r="F917" s="34">
        <f>IF(A917="","",IFERROR(INT(A917),"check date"))</f>
        <v/>
      </c>
      <c r="G917" s="35">
        <f>IF(B917="","",IFERROR(INDEX(Students!$A:$A,MATCH(TRIM(B917),Students!$A:$A,0)),"NOT ON LIST"))</f>
        <v/>
      </c>
      <c r="H917" s="35">
        <f>IF(OR(G917="",G917="NOT ON LIST"),"",VLOOKUP(G917,Students!$A:$C,2,FALSE))</f>
        <v/>
      </c>
      <c r="I917" s="35">
        <f>IF(OR(G917="",G917="NOT ON LIST"),"",VLOOKUP(G917,Students!$A:$C,3,FALSE)&amp;"")</f>
        <v/>
      </c>
    </row>
    <row r="918">
      <c r="A918" s="31" t="n">
        <v>46338.86458333334</v>
      </c>
      <c r="B918" s="32" t="inlineStr">
        <is>
          <t>Leo Ramirez</t>
        </is>
      </c>
      <c r="C918" s="32" t="inlineStr">
        <is>
          <t>Chloe Ramirez</t>
        </is>
      </c>
      <c r="D918" s="33" t="n">
        <v>50</v>
      </c>
      <c r="E918" s="32" t="inlineStr">
        <is>
          <t>OneCause</t>
        </is>
      </c>
      <c r="F918" s="34">
        <f>IF(A918="","",IFERROR(INT(A918),"check date"))</f>
        <v/>
      </c>
      <c r="G918" s="35">
        <f>IF(B918="","",IFERROR(INDEX(Students!$A:$A,MATCH(TRIM(B918),Students!$A:$A,0)),"NOT ON LIST"))</f>
        <v/>
      </c>
      <c r="H918" s="35">
        <f>IF(OR(G918="",G918="NOT ON LIST"),"",VLOOKUP(G918,Students!$A:$C,2,FALSE))</f>
        <v/>
      </c>
      <c r="I918" s="35">
        <f>IF(OR(G918="",G918="NOT ON LIST"),"",VLOOKUP(G918,Students!$A:$C,3,FALSE)&amp;"")</f>
        <v/>
      </c>
    </row>
    <row r="919">
      <c r="A919" s="31" t="n">
        <v>46331.53125</v>
      </c>
      <c r="B919" s="32" t="inlineStr">
        <is>
          <t>Grace Garcia</t>
        </is>
      </c>
      <c r="C919" s="32" t="inlineStr">
        <is>
          <t>Luna Garcia</t>
        </is>
      </c>
      <c r="D919" s="33" t="n">
        <v>75</v>
      </c>
      <c r="E919" s="32" t="inlineStr">
        <is>
          <t>OneCause</t>
        </is>
      </c>
      <c r="F919" s="34">
        <f>IF(A919="","",IFERROR(INT(A919),"check date"))</f>
        <v/>
      </c>
      <c r="G919" s="35">
        <f>IF(B919="","",IFERROR(INDEX(Students!$A:$A,MATCH(TRIM(B919),Students!$A:$A,0)),"NOT ON LIST"))</f>
        <v/>
      </c>
      <c r="H919" s="35">
        <f>IF(OR(G919="",G919="NOT ON LIST"),"",VLOOKUP(G919,Students!$A:$C,2,FALSE))</f>
        <v/>
      </c>
      <c r="I919" s="35">
        <f>IF(OR(G919="",G919="NOT ON LIST"),"",VLOOKUP(G919,Students!$A:$C,3,FALSE)&amp;"")</f>
        <v/>
      </c>
    </row>
    <row r="920">
      <c r="A920" s="31" t="n">
        <v>46331.44791666666</v>
      </c>
      <c r="B920" s="32" t="inlineStr">
        <is>
          <t>Evelyn O'Brien</t>
        </is>
      </c>
      <c r="C920" s="32" t="inlineStr">
        <is>
          <t>Joseph O'Brien</t>
        </is>
      </c>
      <c r="D920" s="33" t="n">
        <v>75</v>
      </c>
      <c r="E920" s="32" t="inlineStr">
        <is>
          <t>OneCause</t>
        </is>
      </c>
      <c r="F920" s="34">
        <f>IF(A920="","",IFERROR(INT(A920),"check date"))</f>
        <v/>
      </c>
      <c r="G920" s="35">
        <f>IF(B920="","",IFERROR(INDEX(Students!$A:$A,MATCH(TRIM(B920),Students!$A:$A,0)),"NOT ON LIST"))</f>
        <v/>
      </c>
      <c r="H920" s="35">
        <f>IF(OR(G920="",G920="NOT ON LIST"),"",VLOOKUP(G920,Students!$A:$C,2,FALSE))</f>
        <v/>
      </c>
      <c r="I920" s="35">
        <f>IF(OR(G920="",G920="NOT ON LIST"),"",VLOOKUP(G920,Students!$A:$C,3,FALSE)&amp;"")</f>
        <v/>
      </c>
    </row>
    <row r="921">
      <c r="A921" s="31" t="n">
        <v>46339.79166666666</v>
      </c>
      <c r="B921" s="32" t="inlineStr">
        <is>
          <t>Evelyn Martinez</t>
        </is>
      </c>
      <c r="C921" s="32" t="inlineStr">
        <is>
          <t>Zoe Martinez</t>
        </is>
      </c>
      <c r="D921" s="33" t="n">
        <v>10</v>
      </c>
      <c r="E921" s="32" t="inlineStr">
        <is>
          <t>OneCause</t>
        </is>
      </c>
      <c r="F921" s="34">
        <f>IF(A921="","",IFERROR(INT(A921),"check date"))</f>
        <v/>
      </c>
      <c r="G921" s="35">
        <f>IF(B921="","",IFERROR(INDEX(Students!$A:$A,MATCH(TRIM(B921),Students!$A:$A,0)),"NOT ON LIST"))</f>
        <v/>
      </c>
      <c r="H921" s="35">
        <f>IF(OR(G921="",G921="NOT ON LIST"),"",VLOOKUP(G921,Students!$A:$C,2,FALSE))</f>
        <v/>
      </c>
      <c r="I921" s="35">
        <f>IF(OR(G921="",G921="NOT ON LIST"),"",VLOOKUP(G921,Students!$A:$C,3,FALSE)&amp;"")</f>
        <v/>
      </c>
    </row>
    <row r="922">
      <c r="A922" s="31" t="n">
        <v>46333.55208333334</v>
      </c>
      <c r="B922" s="32" t="inlineStr">
        <is>
          <t>Emma Walsh</t>
        </is>
      </c>
      <c r="C922" s="32" t="inlineStr">
        <is>
          <t>Lucas Walsh</t>
        </is>
      </c>
      <c r="D922" s="33" t="n">
        <v>20</v>
      </c>
      <c r="E922" s="32" t="inlineStr">
        <is>
          <t>OneCause</t>
        </is>
      </c>
      <c r="F922" s="34">
        <f>IF(A922="","",IFERROR(INT(A922),"check date"))</f>
        <v/>
      </c>
      <c r="G922" s="35">
        <f>IF(B922="","",IFERROR(INDEX(Students!$A:$A,MATCH(TRIM(B922),Students!$A:$A,0)),"NOT ON LIST"))</f>
        <v/>
      </c>
      <c r="H922" s="35">
        <f>IF(OR(G922="",G922="NOT ON LIST"),"",VLOOKUP(G922,Students!$A:$C,2,FALSE))</f>
        <v/>
      </c>
      <c r="I922" s="35">
        <f>IF(OR(G922="",G922="NOT ON LIST"),"",VLOOKUP(G922,Students!$A:$C,3,FALSE)&amp;"")</f>
        <v/>
      </c>
    </row>
    <row r="923">
      <c r="A923" s="31" t="n">
        <v>46335.47916666666</v>
      </c>
      <c r="B923" s="32" t="inlineStr">
        <is>
          <t>Zoe Hernandez</t>
        </is>
      </c>
      <c r="C923" s="32" t="inlineStr">
        <is>
          <t>Amelia Hernandez</t>
        </is>
      </c>
      <c r="D923" s="33" t="n">
        <v>50</v>
      </c>
      <c r="E923" s="32" t="inlineStr">
        <is>
          <t>OneCause</t>
        </is>
      </c>
      <c r="F923" s="34">
        <f>IF(A923="","",IFERROR(INT(A923),"check date"))</f>
        <v/>
      </c>
      <c r="G923" s="35">
        <f>IF(B923="","",IFERROR(INDEX(Students!$A:$A,MATCH(TRIM(B923),Students!$A:$A,0)),"NOT ON LIST"))</f>
        <v/>
      </c>
      <c r="H923" s="35">
        <f>IF(OR(G923="",G923="NOT ON LIST"),"",VLOOKUP(G923,Students!$A:$C,2,FALSE))</f>
        <v/>
      </c>
      <c r="I923" s="35">
        <f>IF(OR(G923="",G923="NOT ON LIST"),"",VLOOKUP(G923,Students!$A:$C,3,FALSE)&amp;"")</f>
        <v/>
      </c>
    </row>
    <row r="924">
      <c r="A924" s="31" t="n">
        <v>46339.53125</v>
      </c>
      <c r="B924" s="32" t="inlineStr">
        <is>
          <t>Ava Brown</t>
        </is>
      </c>
      <c r="C924" s="32" t="inlineStr">
        <is>
          <t>Daniel Brown</t>
        </is>
      </c>
      <c r="D924" s="33" t="n">
        <v>20</v>
      </c>
      <c r="E924" s="32" t="inlineStr">
        <is>
          <t>OneCause</t>
        </is>
      </c>
      <c r="F924" s="34">
        <f>IF(A924="","",IFERROR(INT(A924),"check date"))</f>
        <v/>
      </c>
      <c r="G924" s="35">
        <f>IF(B924="","",IFERROR(INDEX(Students!$A:$A,MATCH(TRIM(B924),Students!$A:$A,0)),"NOT ON LIST"))</f>
        <v/>
      </c>
      <c r="H924" s="35">
        <f>IF(OR(G924="",G924="NOT ON LIST"),"",VLOOKUP(G924,Students!$A:$C,2,FALSE))</f>
        <v/>
      </c>
      <c r="I924" s="35">
        <f>IF(OR(G924="",G924="NOT ON LIST"),"",VLOOKUP(G924,Students!$A:$C,3,FALSE)&amp;"")</f>
        <v/>
      </c>
    </row>
    <row r="925">
      <c r="A925" s="31" t="n">
        <v>46330.67708333334</v>
      </c>
      <c r="B925" s="32" t="inlineStr">
        <is>
          <t>Gabriel Cruz</t>
        </is>
      </c>
      <c r="C925" s="32" t="inlineStr">
        <is>
          <t>Ella Cruz</t>
        </is>
      </c>
      <c r="D925" s="33" t="n">
        <v>25</v>
      </c>
      <c r="E925" s="32" t="inlineStr">
        <is>
          <t>OneCause</t>
        </is>
      </c>
      <c r="F925" s="34">
        <f>IF(A925="","",IFERROR(INT(A925),"check date"))</f>
        <v/>
      </c>
      <c r="G925" s="35">
        <f>IF(B925="","",IFERROR(INDEX(Students!$A:$A,MATCH(TRIM(B925),Students!$A:$A,0)),"NOT ON LIST"))</f>
        <v/>
      </c>
      <c r="H925" s="35">
        <f>IF(OR(G925="",G925="NOT ON LIST"),"",VLOOKUP(G925,Students!$A:$C,2,FALSE))</f>
        <v/>
      </c>
      <c r="I925" s="35">
        <f>IF(OR(G925="",G925="NOT ON LIST"),"",VLOOKUP(G925,Students!$A:$C,3,FALSE)&amp;"")</f>
        <v/>
      </c>
    </row>
    <row r="926">
      <c r="A926" s="31" t="n">
        <v>46339.75</v>
      </c>
      <c r="B926" s="32" t="inlineStr">
        <is>
          <t>Leo Ramirez</t>
        </is>
      </c>
      <c r="C926" s="32" t="inlineStr">
        <is>
          <t>Thomas Ramirez</t>
        </is>
      </c>
      <c r="D926" s="33" t="n">
        <v>50</v>
      </c>
      <c r="E926" s="32" t="inlineStr">
        <is>
          <t>OneCause</t>
        </is>
      </c>
      <c r="F926" s="34">
        <f>IF(A926="","",IFERROR(INT(A926),"check date"))</f>
        <v/>
      </c>
      <c r="G926" s="35">
        <f>IF(B926="","",IFERROR(INDEX(Students!$A:$A,MATCH(TRIM(B926),Students!$A:$A,0)),"NOT ON LIST"))</f>
        <v/>
      </c>
      <c r="H926" s="35">
        <f>IF(OR(G926="",G926="NOT ON LIST"),"",VLOOKUP(G926,Students!$A:$C,2,FALSE))</f>
        <v/>
      </c>
      <c r="I926" s="35">
        <f>IF(OR(G926="",G926="NOT ON LIST"),"",VLOOKUP(G926,Students!$A:$C,3,FALSE)&amp;"")</f>
        <v/>
      </c>
    </row>
    <row r="927">
      <c r="A927" s="31" t="n">
        <v>46331.71875</v>
      </c>
      <c r="B927" s="32" t="inlineStr">
        <is>
          <t>Isaac Rodriguez</t>
        </is>
      </c>
      <c r="C927" s="32" t="inlineStr">
        <is>
          <t>Nicolas Rodriguez</t>
        </is>
      </c>
      <c r="D927" s="33" t="n">
        <v>75</v>
      </c>
      <c r="E927" s="32" t="inlineStr">
        <is>
          <t>OneCause</t>
        </is>
      </c>
      <c r="F927" s="34">
        <f>IF(A927="","",IFERROR(INT(A927),"check date"))</f>
        <v/>
      </c>
      <c r="G927" s="35">
        <f>IF(B927="","",IFERROR(INDEX(Students!$A:$A,MATCH(TRIM(B927),Students!$A:$A,0)),"NOT ON LIST"))</f>
        <v/>
      </c>
      <c r="H927" s="35">
        <f>IF(OR(G927="",G927="NOT ON LIST"),"",VLOOKUP(G927,Students!$A:$C,2,FALSE))</f>
        <v/>
      </c>
      <c r="I927" s="35">
        <f>IF(OR(G927="",G927="NOT ON LIST"),"",VLOOKUP(G927,Students!$A:$C,3,FALSE)&amp;"")</f>
        <v/>
      </c>
    </row>
    <row r="928">
      <c r="A928" s="31" t="n">
        <v>46329.83333333334</v>
      </c>
      <c r="B928" s="32" t="inlineStr">
        <is>
          <t>Mateo Murphy</t>
        </is>
      </c>
      <c r="C928" s="32" t="inlineStr">
        <is>
          <t>Adrian Murphy</t>
        </is>
      </c>
      <c r="D928" s="33" t="n">
        <v>100</v>
      </c>
      <c r="E928" s="32" t="inlineStr">
        <is>
          <t>OneCause</t>
        </is>
      </c>
      <c r="F928" s="34">
        <f>IF(A928="","",IFERROR(INT(A928),"check date"))</f>
        <v/>
      </c>
      <c r="G928" s="35">
        <f>IF(B928="","",IFERROR(INDEX(Students!$A:$A,MATCH(TRIM(B928),Students!$A:$A,0)),"NOT ON LIST"))</f>
        <v/>
      </c>
      <c r="H928" s="35">
        <f>IF(OR(G928="",G928="NOT ON LIST"),"",VLOOKUP(G928,Students!$A:$C,2,FALSE))</f>
        <v/>
      </c>
      <c r="I928" s="35">
        <f>IF(OR(G928="",G928="NOT ON LIST"),"",VLOOKUP(G928,Students!$A:$C,3,FALSE)&amp;"")</f>
        <v/>
      </c>
    </row>
    <row r="929">
      <c r="A929" s="31" t="n">
        <v>46338.33333333334</v>
      </c>
      <c r="B929" s="32" t="inlineStr">
        <is>
          <t>Sofia Nguyen</t>
        </is>
      </c>
      <c r="C929" s="32" t="inlineStr">
        <is>
          <t>Ella Nguyen</t>
        </is>
      </c>
      <c r="D929" s="33" t="n">
        <v>20</v>
      </c>
      <c r="E929" s="32" t="inlineStr">
        <is>
          <t>OneCause</t>
        </is>
      </c>
      <c r="F929" s="34">
        <f>IF(A929="","",IFERROR(INT(A929),"check date"))</f>
        <v/>
      </c>
      <c r="G929" s="35">
        <f>IF(B929="","",IFERROR(INDEX(Students!$A:$A,MATCH(TRIM(B929),Students!$A:$A,0)),"NOT ON LIST"))</f>
        <v/>
      </c>
      <c r="H929" s="35">
        <f>IF(OR(G929="",G929="NOT ON LIST"),"",VLOOKUP(G929,Students!$A:$C,2,FALSE))</f>
        <v/>
      </c>
      <c r="I929" s="35">
        <f>IF(OR(G929="",G929="NOT ON LIST"),"",VLOOKUP(G929,Students!$A:$C,3,FALSE)&amp;"")</f>
        <v/>
      </c>
    </row>
    <row r="930">
      <c r="A930" s="31" t="n">
        <v>46327.82291666666</v>
      </c>
      <c r="B930" s="32" t="inlineStr">
        <is>
          <t>Nora Williams</t>
        </is>
      </c>
      <c r="C930" s="32" t="inlineStr">
        <is>
          <t>Olivia Williams</t>
        </is>
      </c>
      <c r="D930" s="33" t="n">
        <v>20</v>
      </c>
      <c r="E930" s="32" t="inlineStr">
        <is>
          <t>OneCause</t>
        </is>
      </c>
      <c r="F930" s="34">
        <f>IF(A930="","",IFERROR(INT(A930),"check date"))</f>
        <v/>
      </c>
      <c r="G930" s="35">
        <f>IF(B930="","",IFERROR(INDEX(Students!$A:$A,MATCH(TRIM(B930),Students!$A:$A,0)),"NOT ON LIST"))</f>
        <v/>
      </c>
      <c r="H930" s="35">
        <f>IF(OR(G930="",G930="NOT ON LIST"),"",VLOOKUP(G930,Students!$A:$C,2,FALSE))</f>
        <v/>
      </c>
      <c r="I930" s="35">
        <f>IF(OR(G930="",G930="NOT ON LIST"),"",VLOOKUP(G930,Students!$A:$C,3,FALSE)&amp;"")</f>
        <v/>
      </c>
    </row>
    <row r="931">
      <c r="A931" s="31" t="n">
        <v>46336.3125</v>
      </c>
      <c r="B931" s="32" t="inlineStr">
        <is>
          <t>Luna Byrne</t>
        </is>
      </c>
      <c r="C931" s="32" t="inlineStr">
        <is>
          <t>Lily Byrne</t>
        </is>
      </c>
      <c r="D931" s="33" t="n">
        <v>20</v>
      </c>
      <c r="E931" s="32" t="inlineStr">
        <is>
          <t>OneCause</t>
        </is>
      </c>
      <c r="F931" s="34">
        <f>IF(A931="","",IFERROR(INT(A931),"check date"))</f>
        <v/>
      </c>
      <c r="G931" s="35">
        <f>IF(B931="","",IFERROR(INDEX(Students!$A:$A,MATCH(TRIM(B931),Students!$A:$A,0)),"NOT ON LIST"))</f>
        <v/>
      </c>
      <c r="H931" s="35">
        <f>IF(OR(G931="",G931="NOT ON LIST"),"",VLOOKUP(G931,Students!$A:$C,2,FALSE))</f>
        <v/>
      </c>
      <c r="I931" s="35">
        <f>IF(OR(G931="",G931="NOT ON LIST"),"",VLOOKUP(G931,Students!$A:$C,3,FALSE)&amp;"")</f>
        <v/>
      </c>
    </row>
    <row r="932">
      <c r="A932" s="31" t="n">
        <v>46339.54166666666</v>
      </c>
      <c r="B932" s="32" t="inlineStr">
        <is>
          <t>Benjamin Sullivan</t>
        </is>
      </c>
      <c r="C932" s="32" t="inlineStr">
        <is>
          <t>Benjamin Sullivan</t>
        </is>
      </c>
      <c r="D932" s="33" t="n">
        <v>25</v>
      </c>
      <c r="E932" s="32" t="inlineStr">
        <is>
          <t>OneCause</t>
        </is>
      </c>
      <c r="F932" s="34">
        <f>IF(A932="","",IFERROR(INT(A932),"check date"))</f>
        <v/>
      </c>
      <c r="G932" s="35">
        <f>IF(B932="","",IFERROR(INDEX(Students!$A:$A,MATCH(TRIM(B932),Students!$A:$A,0)),"NOT ON LIST"))</f>
        <v/>
      </c>
      <c r="H932" s="35">
        <f>IF(OR(G932="",G932="NOT ON LIST"),"",VLOOKUP(G932,Students!$A:$C,2,FALSE))</f>
        <v/>
      </c>
      <c r="I932" s="35">
        <f>IF(OR(G932="",G932="NOT ON LIST"),"",VLOOKUP(G932,Students!$A:$C,3,FALSE)&amp;"")</f>
        <v/>
      </c>
    </row>
    <row r="933">
      <c r="A933" s="31" t="n">
        <v>46327.67708333334</v>
      </c>
      <c r="B933" s="32" t="inlineStr">
        <is>
          <t>Nicolas Johnson</t>
        </is>
      </c>
      <c r="C933" s="32" t="inlineStr">
        <is>
          <t>Mia Johnson</t>
        </is>
      </c>
      <c r="D933" s="33" t="n">
        <v>100</v>
      </c>
      <c r="E933" s="32" t="inlineStr">
        <is>
          <t>OneCause</t>
        </is>
      </c>
      <c r="F933" s="34">
        <f>IF(A933="","",IFERROR(INT(A933),"check date"))</f>
        <v/>
      </c>
      <c r="G933" s="35">
        <f>IF(B933="","",IFERROR(INDEX(Students!$A:$A,MATCH(TRIM(B933),Students!$A:$A,0)),"NOT ON LIST"))</f>
        <v/>
      </c>
      <c r="H933" s="35">
        <f>IF(OR(G933="",G933="NOT ON LIST"),"",VLOOKUP(G933,Students!$A:$C,2,FALSE))</f>
        <v/>
      </c>
      <c r="I933" s="35">
        <f>IF(OR(G933="",G933="NOT ON LIST"),"",VLOOKUP(G933,Students!$A:$C,3,FALSE)&amp;"")</f>
        <v/>
      </c>
    </row>
    <row r="934">
      <c r="A934" s="31" t="n">
        <v>46334.45833333334</v>
      </c>
      <c r="B934" s="32" t="inlineStr">
        <is>
          <t>David Cruz</t>
        </is>
      </c>
      <c r="C934" s="32" t="inlineStr">
        <is>
          <t>Harper Cruz</t>
        </is>
      </c>
      <c r="D934" s="33" t="n">
        <v>75</v>
      </c>
      <c r="E934" s="32" t="inlineStr">
        <is>
          <t>OneCause</t>
        </is>
      </c>
      <c r="F934" s="34">
        <f>IF(A934="","",IFERROR(INT(A934),"check date"))</f>
        <v/>
      </c>
      <c r="G934" s="35">
        <f>IF(B934="","",IFERROR(INDEX(Students!$A:$A,MATCH(TRIM(B934),Students!$A:$A,0)),"NOT ON LIST"))</f>
        <v/>
      </c>
      <c r="H934" s="35">
        <f>IF(OR(G934="",G934="NOT ON LIST"),"",VLOOKUP(G934,Students!$A:$C,2,FALSE))</f>
        <v/>
      </c>
      <c r="I934" s="35">
        <f>IF(OR(G934="",G934="NOT ON LIST"),"",VLOOKUP(G934,Students!$A:$C,3,FALSE)&amp;"")</f>
        <v/>
      </c>
    </row>
    <row r="935">
      <c r="A935" s="31" t="n">
        <v>46334.4375</v>
      </c>
      <c r="B935" s="32" t="inlineStr">
        <is>
          <t>James Ruiz</t>
        </is>
      </c>
      <c r="C935" s="32" t="inlineStr">
        <is>
          <t>Nicolas Ruiz</t>
        </is>
      </c>
      <c r="D935" s="33" t="n">
        <v>50</v>
      </c>
      <c r="E935" s="32" t="inlineStr">
        <is>
          <t>OneCause</t>
        </is>
      </c>
      <c r="F935" s="34">
        <f>IF(A935="","",IFERROR(INT(A935),"check date"))</f>
        <v/>
      </c>
      <c r="G935" s="35">
        <f>IF(B935="","",IFERROR(INDEX(Students!$A:$A,MATCH(TRIM(B935),Students!$A:$A,0)),"NOT ON LIST"))</f>
        <v/>
      </c>
      <c r="H935" s="35">
        <f>IF(OR(G935="",G935="NOT ON LIST"),"",VLOOKUP(G935,Students!$A:$C,2,FALSE))</f>
        <v/>
      </c>
      <c r="I935" s="35">
        <f>IF(OR(G935="",G935="NOT ON LIST"),"",VLOOKUP(G935,Students!$A:$C,3,FALSE)&amp;"")</f>
        <v/>
      </c>
    </row>
    <row r="936">
      <c r="A936" s="31" t="n">
        <v>46327.64583333334</v>
      </c>
      <c r="B936" s="32" t="inlineStr">
        <is>
          <t>Nicolas Cruz</t>
        </is>
      </c>
      <c r="C936" s="32" t="inlineStr">
        <is>
          <t>Julian Cruz</t>
        </is>
      </c>
      <c r="D936" s="33" t="n">
        <v>50</v>
      </c>
      <c r="E936" s="32" t="inlineStr">
        <is>
          <t>OneCause</t>
        </is>
      </c>
      <c r="F936" s="34">
        <f>IF(A936="","",IFERROR(INT(A936),"check date"))</f>
        <v/>
      </c>
      <c r="G936" s="35">
        <f>IF(B936="","",IFERROR(INDEX(Students!$A:$A,MATCH(TRIM(B936),Students!$A:$A,0)),"NOT ON LIST"))</f>
        <v/>
      </c>
      <c r="H936" s="35">
        <f>IF(OR(G936="",G936="NOT ON LIST"),"",VLOOKUP(G936,Students!$A:$C,2,FALSE))</f>
        <v/>
      </c>
      <c r="I936" s="35">
        <f>IF(OR(G936="",G936="NOT ON LIST"),"",VLOOKUP(G936,Students!$A:$C,3,FALSE)&amp;"")</f>
        <v/>
      </c>
    </row>
    <row r="937">
      <c r="A937" s="31" t="n">
        <v>46336.79166666666</v>
      </c>
      <c r="B937" s="32" t="inlineStr">
        <is>
          <t>Elena O'Brien</t>
        </is>
      </c>
      <c r="C937" s="32" t="inlineStr">
        <is>
          <t>Isaac O'Brien</t>
        </is>
      </c>
      <c r="D937" s="33" t="n">
        <v>50</v>
      </c>
      <c r="E937" s="32" t="inlineStr">
        <is>
          <t>OneCause</t>
        </is>
      </c>
      <c r="F937" s="34">
        <f>IF(A937="","",IFERROR(INT(A937),"check date"))</f>
        <v/>
      </c>
      <c r="G937" s="35">
        <f>IF(B937="","",IFERROR(INDEX(Students!$A:$A,MATCH(TRIM(B937),Students!$A:$A,0)),"NOT ON LIST"))</f>
        <v/>
      </c>
      <c r="H937" s="35">
        <f>IF(OR(G937="",G937="NOT ON LIST"),"",VLOOKUP(G937,Students!$A:$C,2,FALSE))</f>
        <v/>
      </c>
      <c r="I937" s="35">
        <f>IF(OR(G937="",G937="NOT ON LIST"),"",VLOOKUP(G937,Students!$A:$C,3,FALSE)&amp;"")</f>
        <v/>
      </c>
    </row>
    <row r="938">
      <c r="A938" s="31" t="n">
        <v>46338</v>
      </c>
      <c r="B938" s="32" t="inlineStr">
        <is>
          <t>Mia Garcia</t>
        </is>
      </c>
      <c r="C938" s="32" t="inlineStr">
        <is>
          <t>Evelyn Garcia</t>
        </is>
      </c>
      <c r="D938" s="33" t="n">
        <v>25</v>
      </c>
      <c r="E938" s="32" t="inlineStr">
        <is>
          <t>Check</t>
        </is>
      </c>
      <c r="F938" s="34">
        <f>IF(A938="","",IFERROR(INT(A938),"check date"))</f>
        <v/>
      </c>
      <c r="G938" s="35">
        <f>IF(B938="","",IFERROR(INDEX(Students!$A:$A,MATCH(TRIM(B938),Students!$A:$A,0)),"NOT ON LIST"))</f>
        <v/>
      </c>
      <c r="H938" s="35">
        <f>IF(OR(G938="",G938="NOT ON LIST"),"",VLOOKUP(G938,Students!$A:$C,2,FALSE))</f>
        <v/>
      </c>
      <c r="I938" s="35">
        <f>IF(OR(G938="",G938="NOT ON LIST"),"",VLOOKUP(G938,Students!$A:$C,3,FALSE)&amp;"")</f>
        <v/>
      </c>
    </row>
    <row r="939">
      <c r="A939" s="31" t="n">
        <v>46331.80208333334</v>
      </c>
      <c r="B939" s="32" t="inlineStr">
        <is>
          <t>Diego Lopez</t>
        </is>
      </c>
      <c r="C939" s="32" t="inlineStr">
        <is>
          <t>Evelyn Lopez</t>
        </is>
      </c>
      <c r="D939" s="33" t="n">
        <v>150</v>
      </c>
      <c r="E939" s="32" t="inlineStr">
        <is>
          <t>OneCause</t>
        </is>
      </c>
      <c r="F939" s="34">
        <f>IF(A939="","",IFERROR(INT(A939),"check date"))</f>
        <v/>
      </c>
      <c r="G939" s="35">
        <f>IF(B939="","",IFERROR(INDEX(Students!$A:$A,MATCH(TRIM(B939),Students!$A:$A,0)),"NOT ON LIST"))</f>
        <v/>
      </c>
      <c r="H939" s="35">
        <f>IF(OR(G939="",G939="NOT ON LIST"),"",VLOOKUP(G939,Students!$A:$C,2,FALSE))</f>
        <v/>
      </c>
      <c r="I939" s="35">
        <f>IF(OR(G939="",G939="NOT ON LIST"),"",VLOOKUP(G939,Students!$A:$C,3,FALSE)&amp;"")</f>
        <v/>
      </c>
    </row>
    <row r="940">
      <c r="A940" s="31" t="n">
        <v>46329.33333333334</v>
      </c>
      <c r="B940" s="32" t="inlineStr">
        <is>
          <t>Elena Castillo</t>
        </is>
      </c>
      <c r="C940" s="32" t="inlineStr">
        <is>
          <t>Evelyn Castillo</t>
        </is>
      </c>
      <c r="D940" s="33" t="n">
        <v>50</v>
      </c>
      <c r="E940" s="32" t="inlineStr">
        <is>
          <t>OneCause</t>
        </is>
      </c>
      <c r="F940" s="34">
        <f>IF(A940="","",IFERROR(INT(A940),"check date"))</f>
        <v/>
      </c>
      <c r="G940" s="35">
        <f>IF(B940="","",IFERROR(INDEX(Students!$A:$A,MATCH(TRIM(B940),Students!$A:$A,0)),"NOT ON LIST"))</f>
        <v/>
      </c>
      <c r="H940" s="35">
        <f>IF(OR(G940="",G940="NOT ON LIST"),"",VLOOKUP(G940,Students!$A:$C,2,FALSE))</f>
        <v/>
      </c>
      <c r="I940" s="35">
        <f>IF(OR(G940="",G940="NOT ON LIST"),"",VLOOKUP(G940,Students!$A:$C,3,FALSE)&amp;"")</f>
        <v/>
      </c>
    </row>
    <row r="941">
      <c r="A941" s="31" t="n">
        <v>46330.53125</v>
      </c>
      <c r="B941" s="32" t="inlineStr">
        <is>
          <t>Aria Cruz</t>
        </is>
      </c>
      <c r="C941" s="32" t="inlineStr">
        <is>
          <t>Harper Cruz</t>
        </is>
      </c>
      <c r="D941" s="33" t="n">
        <v>100</v>
      </c>
      <c r="E941" s="32" t="inlineStr">
        <is>
          <t>OneCause</t>
        </is>
      </c>
      <c r="F941" s="34">
        <f>IF(A941="","",IFERROR(INT(A941),"check date"))</f>
        <v/>
      </c>
      <c r="G941" s="35">
        <f>IF(B941="","",IFERROR(INDEX(Students!$A:$A,MATCH(TRIM(B941),Students!$A:$A,0)),"NOT ON LIST"))</f>
        <v/>
      </c>
      <c r="H941" s="35">
        <f>IF(OR(G941="",G941="NOT ON LIST"),"",VLOOKUP(G941,Students!$A:$C,2,FALSE))</f>
        <v/>
      </c>
      <c r="I941" s="35">
        <f>IF(OR(G941="",G941="NOT ON LIST"),"",VLOOKUP(G941,Students!$A:$C,3,FALSE)&amp;"")</f>
        <v/>
      </c>
    </row>
    <row r="942">
      <c r="A942" s="31" t="n">
        <v>46335.82291666666</v>
      </c>
      <c r="B942" s="32" t="inlineStr">
        <is>
          <t>Noah Sullivan</t>
        </is>
      </c>
      <c r="C942" s="32" t="inlineStr">
        <is>
          <t>Olivia Sullivan</t>
        </is>
      </c>
      <c r="D942" s="33" t="n">
        <v>20</v>
      </c>
      <c r="E942" s="32" t="inlineStr">
        <is>
          <t>OneCause</t>
        </is>
      </c>
      <c r="F942" s="34">
        <f>IF(A942="","",IFERROR(INT(A942),"check date"))</f>
        <v/>
      </c>
      <c r="G942" s="35">
        <f>IF(B942="","",IFERROR(INDEX(Students!$A:$A,MATCH(TRIM(B942),Students!$A:$A,0)),"NOT ON LIST"))</f>
        <v/>
      </c>
      <c r="H942" s="35">
        <f>IF(OR(G942="",G942="NOT ON LIST"),"",VLOOKUP(G942,Students!$A:$C,2,FALSE))</f>
        <v/>
      </c>
      <c r="I942" s="35">
        <f>IF(OR(G942="",G942="NOT ON LIST"),"",VLOOKUP(G942,Students!$A:$C,3,FALSE)&amp;"")</f>
        <v/>
      </c>
    </row>
    <row r="943">
      <c r="A943" s="31" t="n">
        <v>46334.5625</v>
      </c>
      <c r="B943" s="32" t="inlineStr">
        <is>
          <t>Diego Lopez</t>
        </is>
      </c>
      <c r="C943" s="32" t="inlineStr">
        <is>
          <t>Elena Lopez</t>
        </is>
      </c>
      <c r="D943" s="33" t="n">
        <v>50</v>
      </c>
      <c r="E943" s="32" t="inlineStr">
        <is>
          <t>OneCause</t>
        </is>
      </c>
      <c r="F943" s="34">
        <f>IF(A943="","",IFERROR(INT(A943),"check date"))</f>
        <v/>
      </c>
      <c r="G943" s="35">
        <f>IF(B943="","",IFERROR(INDEX(Students!$A:$A,MATCH(TRIM(B943),Students!$A:$A,0)),"NOT ON LIST"))</f>
        <v/>
      </c>
      <c r="H943" s="35">
        <f>IF(OR(G943="",G943="NOT ON LIST"),"",VLOOKUP(G943,Students!$A:$C,2,FALSE))</f>
        <v/>
      </c>
      <c r="I943" s="35">
        <f>IF(OR(G943="",G943="NOT ON LIST"),"",VLOOKUP(G943,Students!$A:$C,3,FALSE)&amp;"")</f>
        <v/>
      </c>
    </row>
    <row r="944">
      <c r="A944" s="31" t="n">
        <v>46336.33333333334</v>
      </c>
      <c r="B944" s="32" t="inlineStr">
        <is>
          <t>Valentina Smith</t>
        </is>
      </c>
      <c r="C944" s="32" t="inlineStr">
        <is>
          <t>Aria Smith</t>
        </is>
      </c>
      <c r="D944" s="33" t="n">
        <v>25</v>
      </c>
      <c r="E944" s="32" t="inlineStr">
        <is>
          <t>OneCause</t>
        </is>
      </c>
      <c r="F944" s="34">
        <f>IF(A944="","",IFERROR(INT(A944),"check date"))</f>
        <v/>
      </c>
      <c r="G944" s="35">
        <f>IF(B944="","",IFERROR(INDEX(Students!$A:$A,MATCH(TRIM(B944),Students!$A:$A,0)),"NOT ON LIST"))</f>
        <v/>
      </c>
      <c r="H944" s="35">
        <f>IF(OR(G944="",G944="NOT ON LIST"),"",VLOOKUP(G944,Students!$A:$C,2,FALSE))</f>
        <v/>
      </c>
      <c r="I944" s="35">
        <f>IF(OR(G944="",G944="NOT ON LIST"),"",VLOOKUP(G944,Students!$A:$C,3,FALSE)&amp;"")</f>
        <v/>
      </c>
    </row>
    <row r="945">
      <c r="A945" s="31" t="n">
        <v>46329.63541666666</v>
      </c>
      <c r="B945" s="32" t="inlineStr">
        <is>
          <t>Daniel Ramos</t>
        </is>
      </c>
      <c r="C945" s="32" t="inlineStr">
        <is>
          <t>Chloe Ramos</t>
        </is>
      </c>
      <c r="D945" s="33" t="n">
        <v>100</v>
      </c>
      <c r="E945" s="32" t="inlineStr">
        <is>
          <t>OneCause</t>
        </is>
      </c>
      <c r="F945" s="34">
        <f>IF(A945="","",IFERROR(INT(A945),"check date"))</f>
        <v/>
      </c>
      <c r="G945" s="35">
        <f>IF(B945="","",IFERROR(INDEX(Students!$A:$A,MATCH(TRIM(B945),Students!$A:$A,0)),"NOT ON LIST"))</f>
        <v/>
      </c>
      <c r="H945" s="35">
        <f>IF(OR(G945="",G945="NOT ON LIST"),"",VLOOKUP(G945,Students!$A:$C,2,FALSE))</f>
        <v/>
      </c>
      <c r="I945" s="35">
        <f>IF(OR(G945="",G945="NOT ON LIST"),"",VLOOKUP(G945,Students!$A:$C,3,FALSE)&amp;"")</f>
        <v/>
      </c>
    </row>
    <row r="946">
      <c r="A946" s="31" t="n">
        <v>46335.48958333334</v>
      </c>
      <c r="B946" s="32" t="inlineStr">
        <is>
          <t>Chloe Torres</t>
        </is>
      </c>
      <c r="C946" s="32" t="inlineStr">
        <is>
          <t>Henry Torres</t>
        </is>
      </c>
      <c r="D946" s="33" t="n">
        <v>100</v>
      </c>
      <c r="E946" s="32" t="inlineStr">
        <is>
          <t>OneCause</t>
        </is>
      </c>
      <c r="F946" s="34">
        <f>IF(A946="","",IFERROR(INT(A946),"check date"))</f>
        <v/>
      </c>
      <c r="G946" s="35">
        <f>IF(B946="","",IFERROR(INDEX(Students!$A:$A,MATCH(TRIM(B946),Students!$A:$A,0)),"NOT ON LIST"))</f>
        <v/>
      </c>
      <c r="H946" s="35">
        <f>IF(OR(G946="",G946="NOT ON LIST"),"",VLOOKUP(G946,Students!$A:$C,2,FALSE))</f>
        <v/>
      </c>
      <c r="I946" s="35">
        <f>IF(OR(G946="",G946="NOT ON LIST"),"",VLOOKUP(G946,Students!$A:$C,3,FALSE)&amp;"")</f>
        <v/>
      </c>
    </row>
    <row r="947">
      <c r="A947" s="31" t="n">
        <v>46336.48958333334</v>
      </c>
      <c r="B947" s="32" t="inlineStr">
        <is>
          <t>Santiago Sullivan</t>
        </is>
      </c>
      <c r="C947" s="32" t="inlineStr">
        <is>
          <t>Isabella Sullivan</t>
        </is>
      </c>
      <c r="D947" s="33" t="n">
        <v>150</v>
      </c>
      <c r="E947" s="32" t="inlineStr">
        <is>
          <t>OneCause</t>
        </is>
      </c>
      <c r="F947" s="34">
        <f>IF(A947="","",IFERROR(INT(A947),"check date"))</f>
        <v/>
      </c>
      <c r="G947" s="35">
        <f>IF(B947="","",IFERROR(INDEX(Students!$A:$A,MATCH(TRIM(B947),Students!$A:$A,0)),"NOT ON LIST"))</f>
        <v/>
      </c>
      <c r="H947" s="35">
        <f>IF(OR(G947="",G947="NOT ON LIST"),"",VLOOKUP(G947,Students!$A:$C,2,FALSE))</f>
        <v/>
      </c>
      <c r="I947" s="35">
        <f>IF(OR(G947="",G947="NOT ON LIST"),"",VLOOKUP(G947,Students!$A:$C,3,FALSE)&amp;"")</f>
        <v/>
      </c>
    </row>
    <row r="948">
      <c r="A948" s="31" t="n">
        <v>46327.65625</v>
      </c>
      <c r="B948" s="32" t="inlineStr">
        <is>
          <t>James Brown</t>
        </is>
      </c>
      <c r="C948" s="32" t="inlineStr">
        <is>
          <t>Valentina Brown</t>
        </is>
      </c>
      <c r="D948" s="33" t="n">
        <v>25</v>
      </c>
      <c r="E948" s="32" t="inlineStr">
        <is>
          <t>OneCause</t>
        </is>
      </c>
      <c r="F948" s="34">
        <f>IF(A948="","",IFERROR(INT(A948),"check date"))</f>
        <v/>
      </c>
      <c r="G948" s="35">
        <f>IF(B948="","",IFERROR(INDEX(Students!$A:$A,MATCH(TRIM(B948),Students!$A:$A,0)),"NOT ON LIST"))</f>
        <v/>
      </c>
      <c r="H948" s="35">
        <f>IF(OR(G948="",G948="NOT ON LIST"),"",VLOOKUP(G948,Students!$A:$C,2,FALSE))</f>
        <v/>
      </c>
      <c r="I948" s="35">
        <f>IF(OR(G948="",G948="NOT ON LIST"),"",VLOOKUP(G948,Students!$A:$C,3,FALSE)&amp;"")</f>
        <v/>
      </c>
    </row>
    <row r="949">
      <c r="A949" s="31" t="n">
        <v>46338</v>
      </c>
      <c r="B949" s="32" t="inlineStr">
        <is>
          <t>Joseph Walsh</t>
        </is>
      </c>
      <c r="C949" s="32" t="inlineStr">
        <is>
          <t>Lucas Walsh</t>
        </is>
      </c>
      <c r="D949" s="33" t="n">
        <v>10</v>
      </c>
      <c r="E949" s="32" t="inlineStr">
        <is>
          <t>Cash</t>
        </is>
      </c>
      <c r="F949" s="34">
        <f>IF(A949="","",IFERROR(INT(A949),"check date"))</f>
        <v/>
      </c>
      <c r="G949" s="35">
        <f>IF(B949="","",IFERROR(INDEX(Students!$A:$A,MATCH(TRIM(B949),Students!$A:$A,0)),"NOT ON LIST"))</f>
        <v/>
      </c>
      <c r="H949" s="35">
        <f>IF(OR(G949="",G949="NOT ON LIST"),"",VLOOKUP(G949,Students!$A:$C,2,FALSE))</f>
        <v/>
      </c>
      <c r="I949" s="35">
        <f>IF(OR(G949="",G949="NOT ON LIST"),"",VLOOKUP(G949,Students!$A:$C,3,FALSE)&amp;"")</f>
        <v/>
      </c>
    </row>
    <row r="950">
      <c r="A950" s="31" t="n">
        <v>46331.42708333334</v>
      </c>
      <c r="B950" s="32" t="inlineStr">
        <is>
          <t>Lucas Vasquez</t>
        </is>
      </c>
      <c r="C950" s="32" t="inlineStr">
        <is>
          <t>Thomas Vasquez</t>
        </is>
      </c>
      <c r="D950" s="33" t="n">
        <v>20</v>
      </c>
      <c r="E950" s="32" t="inlineStr">
        <is>
          <t>OneCause</t>
        </is>
      </c>
      <c r="F950" s="34">
        <f>IF(A950="","",IFERROR(INT(A950),"check date"))</f>
        <v/>
      </c>
      <c r="G950" s="35">
        <f>IF(B950="","",IFERROR(INDEX(Students!$A:$A,MATCH(TRIM(B950),Students!$A:$A,0)),"NOT ON LIST"))</f>
        <v/>
      </c>
      <c r="H950" s="35">
        <f>IF(OR(G950="",G950="NOT ON LIST"),"",VLOOKUP(G950,Students!$A:$C,2,FALSE))</f>
        <v/>
      </c>
      <c r="I950" s="35">
        <f>IF(OR(G950="",G950="NOT ON LIST"),"",VLOOKUP(G950,Students!$A:$C,3,FALSE)&amp;"")</f>
        <v/>
      </c>
    </row>
    <row r="951">
      <c r="A951" s="31" t="n">
        <v>46335.44791666666</v>
      </c>
      <c r="B951" s="32" t="inlineStr">
        <is>
          <t>Nora Nguyen</t>
        </is>
      </c>
      <c r="C951" s="32" t="inlineStr">
        <is>
          <t>Harper Nguyen</t>
        </is>
      </c>
      <c r="D951" s="33" t="n">
        <v>100</v>
      </c>
      <c r="E951" s="32" t="inlineStr">
        <is>
          <t>OneCause</t>
        </is>
      </c>
      <c r="F951" s="34">
        <f>IF(A951="","",IFERROR(INT(A951),"check date"))</f>
        <v/>
      </c>
      <c r="G951" s="35">
        <f>IF(B951="","",IFERROR(INDEX(Students!$A:$A,MATCH(TRIM(B951),Students!$A:$A,0)),"NOT ON LIST"))</f>
        <v/>
      </c>
      <c r="H951" s="35">
        <f>IF(OR(G951="",G951="NOT ON LIST"),"",VLOOKUP(G951,Students!$A:$C,2,FALSE))</f>
        <v/>
      </c>
      <c r="I951" s="35">
        <f>IF(OR(G951="",G951="NOT ON LIST"),"",VLOOKUP(G951,Students!$A:$C,3,FALSE)&amp;"")</f>
        <v/>
      </c>
    </row>
    <row r="952">
      <c r="A952" s="31" t="n">
        <v>46328.375</v>
      </c>
      <c r="B952" s="32" t="inlineStr">
        <is>
          <t>Camila Patel</t>
        </is>
      </c>
      <c r="C952" s="32" t="inlineStr">
        <is>
          <t>Joseph Patel</t>
        </is>
      </c>
      <c r="D952" s="33" t="n">
        <v>10</v>
      </c>
      <c r="E952" s="32" t="inlineStr">
        <is>
          <t>OneCause</t>
        </is>
      </c>
      <c r="F952" s="34">
        <f>IF(A952="","",IFERROR(INT(A952),"check date"))</f>
        <v/>
      </c>
      <c r="G952" s="35">
        <f>IF(B952="","",IFERROR(INDEX(Students!$A:$A,MATCH(TRIM(B952),Students!$A:$A,0)),"NOT ON LIST"))</f>
        <v/>
      </c>
      <c r="H952" s="35">
        <f>IF(OR(G952="",G952="NOT ON LIST"),"",VLOOKUP(G952,Students!$A:$C,2,FALSE))</f>
        <v/>
      </c>
      <c r="I952" s="35">
        <f>IF(OR(G952="",G952="NOT ON LIST"),"",VLOOKUP(G952,Students!$A:$C,3,FALSE)&amp;"")</f>
        <v/>
      </c>
    </row>
    <row r="953">
      <c r="A953" s="31" t="n">
        <v>46325.42708333334</v>
      </c>
      <c r="B953" s="32" t="inlineStr">
        <is>
          <t>Adrian O'Brien</t>
        </is>
      </c>
      <c r="C953" s="32" t="inlineStr">
        <is>
          <t>David O'Brien</t>
        </is>
      </c>
      <c r="D953" s="33" t="n">
        <v>10</v>
      </c>
      <c r="E953" s="32" t="inlineStr">
        <is>
          <t>OneCause</t>
        </is>
      </c>
      <c r="F953" s="34">
        <f>IF(A953="","",IFERROR(INT(A953),"check date"))</f>
        <v/>
      </c>
      <c r="G953" s="35">
        <f>IF(B953="","",IFERROR(INDEX(Students!$A:$A,MATCH(TRIM(B953),Students!$A:$A,0)),"NOT ON LIST"))</f>
        <v/>
      </c>
      <c r="H953" s="35">
        <f>IF(OR(G953="",G953="NOT ON LIST"),"",VLOOKUP(G953,Students!$A:$C,2,FALSE))</f>
        <v/>
      </c>
      <c r="I953" s="35">
        <f>IF(OR(G953="",G953="NOT ON LIST"),"",VLOOKUP(G953,Students!$A:$C,3,FALSE)&amp;"")</f>
        <v/>
      </c>
    </row>
    <row r="954">
      <c r="A954" s="31" t="n">
        <v>46331.75</v>
      </c>
      <c r="B954" s="32" t="inlineStr">
        <is>
          <t>Nora Lopez</t>
        </is>
      </c>
      <c r="C954" s="32" t="inlineStr">
        <is>
          <t>James Lopez</t>
        </is>
      </c>
      <c r="D954" s="33" t="n">
        <v>100</v>
      </c>
      <c r="E954" s="32" t="inlineStr">
        <is>
          <t>OneCause</t>
        </is>
      </c>
      <c r="F954" s="34">
        <f>IF(A954="","",IFERROR(INT(A954),"check date"))</f>
        <v/>
      </c>
      <c r="G954" s="35">
        <f>IF(B954="","",IFERROR(INDEX(Students!$A:$A,MATCH(TRIM(B954),Students!$A:$A,0)),"NOT ON LIST"))</f>
        <v/>
      </c>
      <c r="H954" s="35">
        <f>IF(OR(G954="",G954="NOT ON LIST"),"",VLOOKUP(G954,Students!$A:$C,2,FALSE))</f>
        <v/>
      </c>
      <c r="I954" s="35">
        <f>IF(OR(G954="",G954="NOT ON LIST"),"",VLOOKUP(G954,Students!$A:$C,3,FALSE)&amp;"")</f>
        <v/>
      </c>
    </row>
    <row r="955">
      <c r="A955" s="31" t="n">
        <v>46336.72916666666</v>
      </c>
      <c r="B955" s="32" t="inlineStr">
        <is>
          <t>Clara Lopez</t>
        </is>
      </c>
      <c r="C955" s="32" t="inlineStr">
        <is>
          <t>Olivia Lopez</t>
        </is>
      </c>
      <c r="D955" s="33" t="n">
        <v>20</v>
      </c>
      <c r="E955" s="32" t="inlineStr">
        <is>
          <t>OneCause</t>
        </is>
      </c>
      <c r="F955" s="34">
        <f>IF(A955="","",IFERROR(INT(A955),"check date"))</f>
        <v/>
      </c>
      <c r="G955" s="35">
        <f>IF(B955="","",IFERROR(INDEX(Students!$A:$A,MATCH(TRIM(B955),Students!$A:$A,0)),"NOT ON LIST"))</f>
        <v/>
      </c>
      <c r="H955" s="35">
        <f>IF(OR(G955="",G955="NOT ON LIST"),"",VLOOKUP(G955,Students!$A:$C,2,FALSE))</f>
        <v/>
      </c>
      <c r="I955" s="35">
        <f>IF(OR(G955="",G955="NOT ON LIST"),"",VLOOKUP(G955,Students!$A:$C,3,FALSE)&amp;"")</f>
        <v/>
      </c>
    </row>
    <row r="956">
      <c r="A956" s="31" t="n">
        <v>46335.85416666666</v>
      </c>
      <c r="B956" s="32" t="inlineStr">
        <is>
          <t>Zoe Ortiz</t>
        </is>
      </c>
      <c r="C956" s="32" t="inlineStr">
        <is>
          <t>Mateo Ortiz</t>
        </is>
      </c>
      <c r="D956" s="33" t="n">
        <v>100</v>
      </c>
      <c r="E956" s="32" t="inlineStr">
        <is>
          <t>OneCause</t>
        </is>
      </c>
      <c r="F956" s="34">
        <f>IF(A956="","",IFERROR(INT(A956),"check date"))</f>
        <v/>
      </c>
      <c r="G956" s="35">
        <f>IF(B956="","",IFERROR(INDEX(Students!$A:$A,MATCH(TRIM(B956),Students!$A:$A,0)),"NOT ON LIST"))</f>
        <v/>
      </c>
      <c r="H956" s="35">
        <f>IF(OR(G956="",G956="NOT ON LIST"),"",VLOOKUP(G956,Students!$A:$C,2,FALSE))</f>
        <v/>
      </c>
      <c r="I956" s="35">
        <f>IF(OR(G956="",G956="NOT ON LIST"),"",VLOOKUP(G956,Students!$A:$C,3,FALSE)&amp;"")</f>
        <v/>
      </c>
    </row>
    <row r="957">
      <c r="A957" s="31" t="n">
        <v>46329</v>
      </c>
      <c r="B957" s="32" t="inlineStr">
        <is>
          <t>Mateo Nguyen</t>
        </is>
      </c>
      <c r="C957" s="32" t="inlineStr">
        <is>
          <t>Diego Nguyen</t>
        </is>
      </c>
      <c r="D957" s="33" t="n">
        <v>50</v>
      </c>
      <c r="E957" s="32" t="inlineStr">
        <is>
          <t>Cash</t>
        </is>
      </c>
      <c r="F957" s="34">
        <f>IF(A957="","",IFERROR(INT(A957),"check date"))</f>
        <v/>
      </c>
      <c r="G957" s="35">
        <f>IF(B957="","",IFERROR(INDEX(Students!$A:$A,MATCH(TRIM(B957),Students!$A:$A,0)),"NOT ON LIST"))</f>
        <v/>
      </c>
      <c r="H957" s="35">
        <f>IF(OR(G957="",G957="NOT ON LIST"),"",VLOOKUP(G957,Students!$A:$C,2,FALSE))</f>
        <v/>
      </c>
      <c r="I957" s="35">
        <f>IF(OR(G957="",G957="NOT ON LIST"),"",VLOOKUP(G957,Students!$A:$C,3,FALSE)&amp;"")</f>
        <v/>
      </c>
    </row>
    <row r="958">
      <c r="A958" s="31" t="n">
        <v>46339.46875</v>
      </c>
      <c r="B958" s="32" t="inlineStr">
        <is>
          <t>Samuel Diaz</t>
        </is>
      </c>
      <c r="C958" s="32" t="inlineStr">
        <is>
          <t>Isabella Diaz</t>
        </is>
      </c>
      <c r="D958" s="33" t="n">
        <v>20</v>
      </c>
      <c r="E958" s="32" t="inlineStr">
        <is>
          <t>OneCause</t>
        </is>
      </c>
      <c r="F958" s="34">
        <f>IF(A958="","",IFERROR(INT(A958),"check date"))</f>
        <v/>
      </c>
      <c r="G958" s="35">
        <f>IF(B958="","",IFERROR(INDEX(Students!$A:$A,MATCH(TRIM(B958),Students!$A:$A,0)),"NOT ON LIST"))</f>
        <v/>
      </c>
      <c r="H958" s="35">
        <f>IF(OR(G958="",G958="NOT ON LIST"),"",VLOOKUP(G958,Students!$A:$C,2,FALSE))</f>
        <v/>
      </c>
      <c r="I958" s="35">
        <f>IF(OR(G958="",G958="NOT ON LIST"),"",VLOOKUP(G958,Students!$A:$C,3,FALSE)&amp;"")</f>
        <v/>
      </c>
    </row>
    <row r="959">
      <c r="A959" s="31" t="n">
        <v>46327.89583333334</v>
      </c>
      <c r="B959" s="32" t="inlineStr">
        <is>
          <t>Nicolas Brown</t>
        </is>
      </c>
      <c r="C959" s="32" t="inlineStr">
        <is>
          <t>Maya Brown</t>
        </is>
      </c>
      <c r="D959" s="33" t="n">
        <v>50</v>
      </c>
      <c r="E959" s="32" t="inlineStr">
        <is>
          <t>OneCause</t>
        </is>
      </c>
      <c r="F959" s="34">
        <f>IF(A959="","",IFERROR(INT(A959),"check date"))</f>
        <v/>
      </c>
      <c r="G959" s="35">
        <f>IF(B959="","",IFERROR(INDEX(Students!$A:$A,MATCH(TRIM(B959),Students!$A:$A,0)),"NOT ON LIST"))</f>
        <v/>
      </c>
      <c r="H959" s="35">
        <f>IF(OR(G959="",G959="NOT ON LIST"),"",VLOOKUP(G959,Students!$A:$C,2,FALSE))</f>
        <v/>
      </c>
      <c r="I959" s="35">
        <f>IF(OR(G959="",G959="NOT ON LIST"),"",VLOOKUP(G959,Students!$A:$C,3,FALSE)&amp;"")</f>
        <v/>
      </c>
    </row>
    <row r="960">
      <c r="A960" s="31" t="n">
        <v>46338.83333333334</v>
      </c>
      <c r="B960" s="32" t="inlineStr">
        <is>
          <t>Maya O'Brien</t>
        </is>
      </c>
      <c r="C960" s="32" t="inlineStr">
        <is>
          <t>Julian O'Brien</t>
        </is>
      </c>
      <c r="D960" s="33" t="n">
        <v>50</v>
      </c>
      <c r="E960" s="32" t="inlineStr">
        <is>
          <t>OneCause</t>
        </is>
      </c>
      <c r="F960" s="34">
        <f>IF(A960="","",IFERROR(INT(A960),"check date"))</f>
        <v/>
      </c>
      <c r="G960" s="35">
        <f>IF(B960="","",IFERROR(INDEX(Students!$A:$A,MATCH(TRIM(B960),Students!$A:$A,0)),"NOT ON LIST"))</f>
        <v/>
      </c>
      <c r="H960" s="35">
        <f>IF(OR(G960="",G960="NOT ON LIST"),"",VLOOKUP(G960,Students!$A:$C,2,FALSE))</f>
        <v/>
      </c>
      <c r="I960" s="35">
        <f>IF(OR(G960="",G960="NOT ON LIST"),"",VLOOKUP(G960,Students!$A:$C,3,FALSE)&amp;"")</f>
        <v/>
      </c>
    </row>
    <row r="961">
      <c r="A961" s="31" t="n">
        <v>46331.5</v>
      </c>
      <c r="B961" s="32" t="inlineStr">
        <is>
          <t>David Vasquez</t>
        </is>
      </c>
      <c r="C961" s="32" t="inlineStr">
        <is>
          <t>Lucas Vasquez</t>
        </is>
      </c>
      <c r="D961" s="33" t="n">
        <v>25</v>
      </c>
      <c r="E961" s="32" t="inlineStr">
        <is>
          <t>OneCause</t>
        </is>
      </c>
      <c r="F961" s="34">
        <f>IF(A961="","",IFERROR(INT(A961),"check date"))</f>
        <v/>
      </c>
      <c r="G961" s="35">
        <f>IF(B961="","",IFERROR(INDEX(Students!$A:$A,MATCH(TRIM(B961),Students!$A:$A,0)),"NOT ON LIST"))</f>
        <v/>
      </c>
      <c r="H961" s="35">
        <f>IF(OR(G961="",G961="NOT ON LIST"),"",VLOOKUP(G961,Students!$A:$C,2,FALSE))</f>
        <v/>
      </c>
      <c r="I961" s="35">
        <f>IF(OR(G961="",G961="NOT ON LIST"),"",VLOOKUP(G961,Students!$A:$C,3,FALSE)&amp;"")</f>
        <v/>
      </c>
    </row>
    <row r="962">
      <c r="A962" s="31" t="n">
        <v>46331.53125</v>
      </c>
      <c r="B962" s="32" t="inlineStr">
        <is>
          <t>Maya Nguyen</t>
        </is>
      </c>
      <c r="C962" s="32" t="inlineStr">
        <is>
          <t>Gabriel Nguyen</t>
        </is>
      </c>
      <c r="D962" s="33" t="n">
        <v>50</v>
      </c>
      <c r="E962" s="32" t="inlineStr">
        <is>
          <t>OneCause</t>
        </is>
      </c>
      <c r="F962" s="34">
        <f>IF(A962="","",IFERROR(INT(A962),"check date"))</f>
        <v/>
      </c>
      <c r="G962" s="35">
        <f>IF(B962="","",IFERROR(INDEX(Students!$A:$A,MATCH(TRIM(B962),Students!$A:$A,0)),"NOT ON LIST"))</f>
        <v/>
      </c>
      <c r="H962" s="35">
        <f>IF(OR(G962="",G962="NOT ON LIST"),"",VLOOKUP(G962,Students!$A:$C,2,FALSE))</f>
        <v/>
      </c>
      <c r="I962" s="35">
        <f>IF(OR(G962="",G962="NOT ON LIST"),"",VLOOKUP(G962,Students!$A:$C,3,FALSE)&amp;"")</f>
        <v/>
      </c>
    </row>
    <row r="963">
      <c r="A963" s="31" t="n">
        <v>46325.4375</v>
      </c>
      <c r="B963" s="32" t="inlineStr">
        <is>
          <t>James Martinez</t>
        </is>
      </c>
      <c r="C963" s="32" t="inlineStr">
        <is>
          <t>Valentina Martinez</t>
        </is>
      </c>
      <c r="D963" s="33" t="n">
        <v>25</v>
      </c>
      <c r="E963" s="32" t="inlineStr">
        <is>
          <t>OneCause</t>
        </is>
      </c>
      <c r="F963" s="34">
        <f>IF(A963="","",IFERROR(INT(A963),"check date"))</f>
        <v/>
      </c>
      <c r="G963" s="35">
        <f>IF(B963="","",IFERROR(INDEX(Students!$A:$A,MATCH(TRIM(B963),Students!$A:$A,0)),"NOT ON LIST"))</f>
        <v/>
      </c>
      <c r="H963" s="35">
        <f>IF(OR(G963="",G963="NOT ON LIST"),"",VLOOKUP(G963,Students!$A:$C,2,FALSE))</f>
        <v/>
      </c>
      <c r="I963" s="35">
        <f>IF(OR(G963="",G963="NOT ON LIST"),"",VLOOKUP(G963,Students!$A:$C,3,FALSE)&amp;"")</f>
        <v/>
      </c>
    </row>
    <row r="964">
      <c r="A964" s="31" t="n">
        <v>46329.5</v>
      </c>
      <c r="B964" s="32" t="inlineStr">
        <is>
          <t>Mia Byrne</t>
        </is>
      </c>
      <c r="C964" s="32" t="inlineStr">
        <is>
          <t>Nicolas Byrne</t>
        </is>
      </c>
      <c r="D964" s="33" t="n">
        <v>20</v>
      </c>
      <c r="E964" s="32" t="inlineStr">
        <is>
          <t>OneCause</t>
        </is>
      </c>
      <c r="F964" s="34">
        <f>IF(A964="","",IFERROR(INT(A964),"check date"))</f>
        <v/>
      </c>
      <c r="G964" s="35">
        <f>IF(B964="","",IFERROR(INDEX(Students!$A:$A,MATCH(TRIM(B964),Students!$A:$A,0)),"NOT ON LIST"))</f>
        <v/>
      </c>
      <c r="H964" s="35">
        <f>IF(OR(G964="",G964="NOT ON LIST"),"",VLOOKUP(G964,Students!$A:$C,2,FALSE))</f>
        <v/>
      </c>
      <c r="I964" s="35">
        <f>IF(OR(G964="",G964="NOT ON LIST"),"",VLOOKUP(G964,Students!$A:$C,3,FALSE)&amp;"")</f>
        <v/>
      </c>
    </row>
    <row r="965">
      <c r="A965" s="31" t="n">
        <v>46329</v>
      </c>
      <c r="B965" s="32" t="inlineStr">
        <is>
          <t>Lily Walsh</t>
        </is>
      </c>
      <c r="C965" s="32" t="inlineStr">
        <is>
          <t>Chloe Walsh</t>
        </is>
      </c>
      <c r="D965" s="33" t="n">
        <v>20</v>
      </c>
      <c r="E965" s="32" t="inlineStr">
        <is>
          <t>Cash</t>
        </is>
      </c>
      <c r="F965" s="34">
        <f>IF(A965="","",IFERROR(INT(A965),"check date"))</f>
        <v/>
      </c>
      <c r="G965" s="35">
        <f>IF(B965="","",IFERROR(INDEX(Students!$A:$A,MATCH(TRIM(B965),Students!$A:$A,0)),"NOT ON LIST"))</f>
        <v/>
      </c>
      <c r="H965" s="35">
        <f>IF(OR(G965="",G965="NOT ON LIST"),"",VLOOKUP(G965,Students!$A:$C,2,FALSE))</f>
        <v/>
      </c>
      <c r="I965" s="35">
        <f>IF(OR(G965="",G965="NOT ON LIST"),"",VLOOKUP(G965,Students!$A:$C,3,FALSE)&amp;"")</f>
        <v/>
      </c>
    </row>
    <row r="966">
      <c r="A966" s="31" t="n">
        <v>46338.78125</v>
      </c>
      <c r="B966" s="32" t="inlineStr">
        <is>
          <t>Diego Johnson</t>
        </is>
      </c>
      <c r="C966" s="32" t="inlineStr">
        <is>
          <t>Olivia Johnson</t>
        </is>
      </c>
      <c r="D966" s="33" t="n">
        <v>25</v>
      </c>
      <c r="E966" s="32" t="inlineStr">
        <is>
          <t>OneCause</t>
        </is>
      </c>
      <c r="F966" s="34">
        <f>IF(A966="","",IFERROR(INT(A966),"check date"))</f>
        <v/>
      </c>
      <c r="G966" s="35">
        <f>IF(B966="","",IFERROR(INDEX(Students!$A:$A,MATCH(TRIM(B966),Students!$A:$A,0)),"NOT ON LIST"))</f>
        <v/>
      </c>
      <c r="H966" s="35">
        <f>IF(OR(G966="",G966="NOT ON LIST"),"",VLOOKUP(G966,Students!$A:$C,2,FALSE))</f>
        <v/>
      </c>
      <c r="I966" s="35">
        <f>IF(OR(G966="",G966="NOT ON LIST"),"",VLOOKUP(G966,Students!$A:$C,3,FALSE)&amp;"")</f>
        <v/>
      </c>
    </row>
    <row r="967">
      <c r="A967" s="31" t="n">
        <v>46326.55208333334</v>
      </c>
      <c r="B967" s="32" t="inlineStr">
        <is>
          <t>Emma Sullivan</t>
        </is>
      </c>
      <c r="C967" s="32" t="inlineStr">
        <is>
          <t>Maya Sullivan</t>
        </is>
      </c>
      <c r="D967" s="33" t="n">
        <v>25</v>
      </c>
      <c r="E967" s="32" t="inlineStr">
        <is>
          <t>OneCause</t>
        </is>
      </c>
      <c r="F967" s="34">
        <f>IF(A967="","",IFERROR(INT(A967),"check date"))</f>
        <v/>
      </c>
      <c r="G967" s="35">
        <f>IF(B967="","",IFERROR(INDEX(Students!$A:$A,MATCH(TRIM(B967),Students!$A:$A,0)),"NOT ON LIST"))</f>
        <v/>
      </c>
      <c r="H967" s="35">
        <f>IF(OR(G967="",G967="NOT ON LIST"),"",VLOOKUP(G967,Students!$A:$C,2,FALSE))</f>
        <v/>
      </c>
      <c r="I967" s="35">
        <f>IF(OR(G967="",G967="NOT ON LIST"),"",VLOOKUP(G967,Students!$A:$C,3,FALSE)&amp;"")</f>
        <v/>
      </c>
    </row>
    <row r="968">
      <c r="A968" s="31" t="n">
        <v>46336</v>
      </c>
      <c r="B968" s="32" t="inlineStr">
        <is>
          <t>Lucas Sullivan</t>
        </is>
      </c>
      <c r="C968" s="32" t="inlineStr">
        <is>
          <t>Ava Sullivan</t>
        </is>
      </c>
      <c r="D968" s="33" t="n">
        <v>25</v>
      </c>
      <c r="E968" s="32" t="inlineStr">
        <is>
          <t>Cash</t>
        </is>
      </c>
      <c r="F968" s="34">
        <f>IF(A968="","",IFERROR(INT(A968),"check date"))</f>
        <v/>
      </c>
      <c r="G968" s="35">
        <f>IF(B968="","",IFERROR(INDEX(Students!$A:$A,MATCH(TRIM(B968),Students!$A:$A,0)),"NOT ON LIST"))</f>
        <v/>
      </c>
      <c r="H968" s="35">
        <f>IF(OR(G968="",G968="NOT ON LIST"),"",VLOOKUP(G968,Students!$A:$C,2,FALSE))</f>
        <v/>
      </c>
      <c r="I968" s="35">
        <f>IF(OR(G968="",G968="NOT ON LIST"),"",VLOOKUP(G968,Students!$A:$C,3,FALSE)&amp;"")</f>
        <v/>
      </c>
    </row>
    <row r="969">
      <c r="A969" s="31" t="n">
        <v>46338.29166666666</v>
      </c>
      <c r="B969" s="32" t="inlineStr">
        <is>
          <t>Harper Diaz</t>
        </is>
      </c>
      <c r="C969" s="32" t="inlineStr">
        <is>
          <t>Harper Diaz</t>
        </is>
      </c>
      <c r="D969" s="33" t="n">
        <v>50</v>
      </c>
      <c r="E969" s="32" t="inlineStr">
        <is>
          <t>OneCause</t>
        </is>
      </c>
      <c r="F969" s="34">
        <f>IF(A969="","",IFERROR(INT(A969),"check date"))</f>
        <v/>
      </c>
      <c r="G969" s="35">
        <f>IF(B969="","",IFERROR(INDEX(Students!$A:$A,MATCH(TRIM(B969),Students!$A:$A,0)),"NOT ON LIST"))</f>
        <v/>
      </c>
      <c r="H969" s="35">
        <f>IF(OR(G969="",G969="NOT ON LIST"),"",VLOOKUP(G969,Students!$A:$C,2,FALSE))</f>
        <v/>
      </c>
      <c r="I969" s="35">
        <f>IF(OR(G969="",G969="NOT ON LIST"),"",VLOOKUP(G969,Students!$A:$C,3,FALSE)&amp;"")</f>
        <v/>
      </c>
    </row>
    <row r="970">
      <c r="A970" s="31" t="n">
        <v>46325.40625</v>
      </c>
      <c r="B970" s="32" t="inlineStr">
        <is>
          <t>Elijah Walsh</t>
        </is>
      </c>
      <c r="C970" s="32" t="inlineStr">
        <is>
          <t>Olivia Walsh</t>
        </is>
      </c>
      <c r="D970" s="33" t="n">
        <v>100</v>
      </c>
      <c r="E970" s="32" t="inlineStr">
        <is>
          <t>OneCause</t>
        </is>
      </c>
      <c r="F970" s="34">
        <f>IF(A970="","",IFERROR(INT(A970),"check date"))</f>
        <v/>
      </c>
      <c r="G970" s="35">
        <f>IF(B970="","",IFERROR(INDEX(Students!$A:$A,MATCH(TRIM(B970),Students!$A:$A,0)),"NOT ON LIST"))</f>
        <v/>
      </c>
      <c r="H970" s="35">
        <f>IF(OR(G970="",G970="NOT ON LIST"),"",VLOOKUP(G970,Students!$A:$C,2,FALSE))</f>
        <v/>
      </c>
      <c r="I970" s="35">
        <f>IF(OR(G970="",G970="NOT ON LIST"),"",VLOOKUP(G970,Students!$A:$C,3,FALSE)&amp;"")</f>
        <v/>
      </c>
    </row>
    <row r="971">
      <c r="A971" s="31" t="n">
        <v>46339.5</v>
      </c>
      <c r="B971" s="32" t="inlineStr">
        <is>
          <t>Julian Kim</t>
        </is>
      </c>
      <c r="C971" s="32" t="inlineStr">
        <is>
          <t>Elena Kim</t>
        </is>
      </c>
      <c r="D971" s="33" t="n">
        <v>100</v>
      </c>
      <c r="E971" s="32" t="inlineStr">
        <is>
          <t>OneCause</t>
        </is>
      </c>
      <c r="F971" s="34">
        <f>IF(A971="","",IFERROR(INT(A971),"check date"))</f>
        <v/>
      </c>
      <c r="G971" s="35">
        <f>IF(B971="","",IFERROR(INDEX(Students!$A:$A,MATCH(TRIM(B971),Students!$A:$A,0)),"NOT ON LIST"))</f>
        <v/>
      </c>
      <c r="H971" s="35">
        <f>IF(OR(G971="",G971="NOT ON LIST"),"",VLOOKUP(G971,Students!$A:$C,2,FALSE))</f>
        <v/>
      </c>
      <c r="I971" s="35">
        <f>IF(OR(G971="",G971="NOT ON LIST"),"",VLOOKUP(G971,Students!$A:$C,3,FALSE)&amp;"")</f>
        <v/>
      </c>
    </row>
    <row r="972">
      <c r="A972" s="31" t="n">
        <v>46327.58333333334</v>
      </c>
      <c r="B972" s="32" t="inlineStr">
        <is>
          <t>Aria Perez</t>
        </is>
      </c>
      <c r="C972" s="32" t="inlineStr">
        <is>
          <t>Benjamin Perez</t>
        </is>
      </c>
      <c r="D972" s="33" t="n">
        <v>50</v>
      </c>
      <c r="E972" s="32" t="inlineStr">
        <is>
          <t>OneCause</t>
        </is>
      </c>
      <c r="F972" s="34">
        <f>IF(A972="","",IFERROR(INT(A972),"check date"))</f>
        <v/>
      </c>
      <c r="G972" s="35">
        <f>IF(B972="","",IFERROR(INDEX(Students!$A:$A,MATCH(TRIM(B972),Students!$A:$A,0)),"NOT ON LIST"))</f>
        <v/>
      </c>
      <c r="H972" s="35">
        <f>IF(OR(G972="",G972="NOT ON LIST"),"",VLOOKUP(G972,Students!$A:$C,2,FALSE))</f>
        <v/>
      </c>
      <c r="I972" s="35">
        <f>IF(OR(G972="",G972="NOT ON LIST"),"",VLOOKUP(G972,Students!$A:$C,3,FALSE)&amp;"")</f>
        <v/>
      </c>
    </row>
    <row r="973">
      <c r="A973" s="31" t="n">
        <v>46336.64583333334</v>
      </c>
      <c r="B973" s="32" t="inlineStr">
        <is>
          <t>Mateo Sullivan</t>
        </is>
      </c>
      <c r="C973" s="32" t="inlineStr">
        <is>
          <t>Lucas Sullivan</t>
        </is>
      </c>
      <c r="D973" s="33" t="n">
        <v>50</v>
      </c>
      <c r="E973" s="32" t="inlineStr">
        <is>
          <t>OneCause</t>
        </is>
      </c>
      <c r="F973" s="34">
        <f>IF(A973="","",IFERROR(INT(A973),"check date"))</f>
        <v/>
      </c>
      <c r="G973" s="35">
        <f>IF(B973="","",IFERROR(INDEX(Students!$A:$A,MATCH(TRIM(B973),Students!$A:$A,0)),"NOT ON LIST"))</f>
        <v/>
      </c>
      <c r="H973" s="35">
        <f>IF(OR(G973="",G973="NOT ON LIST"),"",VLOOKUP(G973,Students!$A:$C,2,FALSE))</f>
        <v/>
      </c>
      <c r="I973" s="35">
        <f>IF(OR(G973="",G973="NOT ON LIST"),"",VLOOKUP(G973,Students!$A:$C,3,FALSE)&amp;"")</f>
        <v/>
      </c>
    </row>
    <row r="974">
      <c r="A974" s="31" t="n">
        <v>46339.38541666666</v>
      </c>
      <c r="B974" s="32" t="inlineStr">
        <is>
          <t>Ava Mendoza</t>
        </is>
      </c>
      <c r="C974" s="32" t="inlineStr">
        <is>
          <t>Ella Mendoza</t>
        </is>
      </c>
      <c r="D974" s="33" t="n">
        <v>10</v>
      </c>
      <c r="E974" s="32" t="inlineStr">
        <is>
          <t>OneCause</t>
        </is>
      </c>
      <c r="F974" s="34">
        <f>IF(A974="","",IFERROR(INT(A974),"check date"))</f>
        <v/>
      </c>
      <c r="G974" s="35">
        <f>IF(B974="","",IFERROR(INDEX(Students!$A:$A,MATCH(TRIM(B974),Students!$A:$A,0)),"NOT ON LIST"))</f>
        <v/>
      </c>
      <c r="H974" s="35">
        <f>IF(OR(G974="",G974="NOT ON LIST"),"",VLOOKUP(G974,Students!$A:$C,2,FALSE))</f>
        <v/>
      </c>
      <c r="I974" s="35">
        <f>IF(OR(G974="",G974="NOT ON LIST"),"",VLOOKUP(G974,Students!$A:$C,3,FALSE)&amp;"")</f>
        <v/>
      </c>
    </row>
    <row r="975">
      <c r="A975" s="31" t="n">
        <v>46334.5</v>
      </c>
      <c r="B975" s="32" t="inlineStr">
        <is>
          <t>Aria Ryan</t>
        </is>
      </c>
      <c r="C975" s="32" t="inlineStr">
        <is>
          <t>Joseph Ryan</t>
        </is>
      </c>
      <c r="D975" s="33" t="n">
        <v>100</v>
      </c>
      <c r="E975" s="32" t="inlineStr">
        <is>
          <t>OneCause</t>
        </is>
      </c>
      <c r="F975" s="34">
        <f>IF(A975="","",IFERROR(INT(A975),"check date"))</f>
        <v/>
      </c>
      <c r="G975" s="35">
        <f>IF(B975="","",IFERROR(INDEX(Students!$A:$A,MATCH(TRIM(B975),Students!$A:$A,0)),"NOT ON LIST"))</f>
        <v/>
      </c>
      <c r="H975" s="35">
        <f>IF(OR(G975="",G975="NOT ON LIST"),"",VLOOKUP(G975,Students!$A:$C,2,FALSE))</f>
        <v/>
      </c>
      <c r="I975" s="35">
        <f>IF(OR(G975="",G975="NOT ON LIST"),"",VLOOKUP(G975,Students!$A:$C,3,FALSE)&amp;"")</f>
        <v/>
      </c>
    </row>
    <row r="976">
      <c r="A976" s="31" t="n">
        <v>46330.86458333334</v>
      </c>
      <c r="B976" s="32" t="inlineStr">
        <is>
          <t>Aria Kim</t>
        </is>
      </c>
      <c r="C976" s="32" t="inlineStr">
        <is>
          <t>Evelyn Kim</t>
        </is>
      </c>
      <c r="D976" s="33" t="n">
        <v>10</v>
      </c>
      <c r="E976" s="32" t="inlineStr">
        <is>
          <t>OneCause</t>
        </is>
      </c>
      <c r="F976" s="34">
        <f>IF(A976="","",IFERROR(INT(A976),"check date"))</f>
        <v/>
      </c>
      <c r="G976" s="35">
        <f>IF(B976="","",IFERROR(INDEX(Students!$A:$A,MATCH(TRIM(B976),Students!$A:$A,0)),"NOT ON LIST"))</f>
        <v/>
      </c>
      <c r="H976" s="35">
        <f>IF(OR(G976="",G976="NOT ON LIST"),"",VLOOKUP(G976,Students!$A:$C,2,FALSE))</f>
        <v/>
      </c>
      <c r="I976" s="35">
        <f>IF(OR(G976="",G976="NOT ON LIST"),"",VLOOKUP(G976,Students!$A:$C,3,FALSE)&amp;"")</f>
        <v/>
      </c>
    </row>
    <row r="977">
      <c r="A977" s="31" t="n">
        <v>46335</v>
      </c>
      <c r="B977" s="32" t="inlineStr">
        <is>
          <t>Liam Castillo</t>
        </is>
      </c>
      <c r="C977" s="32" t="inlineStr">
        <is>
          <t>Aria Castillo</t>
        </is>
      </c>
      <c r="D977" s="33" t="n">
        <v>150</v>
      </c>
      <c r="E977" s="32" t="inlineStr">
        <is>
          <t>Cash</t>
        </is>
      </c>
      <c r="F977" s="34">
        <f>IF(A977="","",IFERROR(INT(A977),"check date"))</f>
        <v/>
      </c>
      <c r="G977" s="35">
        <f>IF(B977="","",IFERROR(INDEX(Students!$A:$A,MATCH(TRIM(B977),Students!$A:$A,0)),"NOT ON LIST"))</f>
        <v/>
      </c>
      <c r="H977" s="35">
        <f>IF(OR(G977="",G977="NOT ON LIST"),"",VLOOKUP(G977,Students!$A:$C,2,FALSE))</f>
        <v/>
      </c>
      <c r="I977" s="35">
        <f>IF(OR(G977="",G977="NOT ON LIST"),"",VLOOKUP(G977,Students!$A:$C,3,FALSE)&amp;"")</f>
        <v/>
      </c>
    </row>
    <row r="978">
      <c r="A978" s="31" t="n">
        <v>46330.875</v>
      </c>
      <c r="B978" s="32" t="inlineStr">
        <is>
          <t>Ella Kim</t>
        </is>
      </c>
      <c r="C978" s="32" t="inlineStr">
        <is>
          <t>Adrian Kim</t>
        </is>
      </c>
      <c r="D978" s="33" t="n">
        <v>20</v>
      </c>
      <c r="E978" s="32" t="inlineStr">
        <is>
          <t>OneCause</t>
        </is>
      </c>
      <c r="F978" s="34">
        <f>IF(A978="","",IFERROR(INT(A978),"check date"))</f>
        <v/>
      </c>
      <c r="G978" s="35">
        <f>IF(B978="","",IFERROR(INDEX(Students!$A:$A,MATCH(TRIM(B978),Students!$A:$A,0)),"NOT ON LIST"))</f>
        <v/>
      </c>
      <c r="H978" s="35">
        <f>IF(OR(G978="",G978="NOT ON LIST"),"",VLOOKUP(G978,Students!$A:$C,2,FALSE))</f>
        <v/>
      </c>
      <c r="I978" s="35">
        <f>IF(OR(G978="",G978="NOT ON LIST"),"",VLOOKUP(G978,Students!$A:$C,3,FALSE)&amp;"")</f>
        <v/>
      </c>
    </row>
    <row r="979">
      <c r="A979" s="31" t="n">
        <v>46331.63541666666</v>
      </c>
      <c r="B979" s="32" t="inlineStr">
        <is>
          <t>Adrian Kelly</t>
        </is>
      </c>
      <c r="C979" s="32" t="inlineStr">
        <is>
          <t>Valentina Kelly</t>
        </is>
      </c>
      <c r="D979" s="33" t="n">
        <v>50</v>
      </c>
      <c r="E979" s="32" t="inlineStr">
        <is>
          <t>OneCause</t>
        </is>
      </c>
      <c r="F979" s="34">
        <f>IF(A979="","",IFERROR(INT(A979),"check date"))</f>
        <v/>
      </c>
      <c r="G979" s="35">
        <f>IF(B979="","",IFERROR(INDEX(Students!$A:$A,MATCH(TRIM(B979),Students!$A:$A,0)),"NOT ON LIST"))</f>
        <v/>
      </c>
      <c r="H979" s="35">
        <f>IF(OR(G979="",G979="NOT ON LIST"),"",VLOOKUP(G979,Students!$A:$C,2,FALSE))</f>
        <v/>
      </c>
      <c r="I979" s="35">
        <f>IF(OR(G979="",G979="NOT ON LIST"),"",VLOOKUP(G979,Students!$A:$C,3,FALSE)&amp;"")</f>
        <v/>
      </c>
    </row>
    <row r="980">
      <c r="A980" s="31" t="n">
        <v>46339</v>
      </c>
      <c r="B980" s="32" t="inlineStr">
        <is>
          <t>Adrian Murphy</t>
        </is>
      </c>
      <c r="C980" s="32" t="inlineStr">
        <is>
          <t>Noah Murphy</t>
        </is>
      </c>
      <c r="D980" s="33" t="n">
        <v>100</v>
      </c>
      <c r="E980" s="32" t="inlineStr">
        <is>
          <t>Cash</t>
        </is>
      </c>
      <c r="F980" s="34">
        <f>IF(A980="","",IFERROR(INT(A980),"check date"))</f>
        <v/>
      </c>
      <c r="G980" s="35">
        <f>IF(B980="","",IFERROR(INDEX(Students!$A:$A,MATCH(TRIM(B980),Students!$A:$A,0)),"NOT ON LIST"))</f>
        <v/>
      </c>
      <c r="H980" s="35">
        <f>IF(OR(G980="",G980="NOT ON LIST"),"",VLOOKUP(G980,Students!$A:$C,2,FALSE))</f>
        <v/>
      </c>
      <c r="I980" s="35">
        <f>IF(OR(G980="",G980="NOT ON LIST"),"",VLOOKUP(G980,Students!$A:$C,3,FALSE)&amp;"")</f>
        <v/>
      </c>
    </row>
    <row r="981">
      <c r="A981" s="31" t="n">
        <v>46335.83333333334</v>
      </c>
      <c r="B981" s="32" t="inlineStr">
        <is>
          <t>Valentina Torres</t>
        </is>
      </c>
      <c r="C981" s="32" t="inlineStr">
        <is>
          <t>Henry Torres</t>
        </is>
      </c>
      <c r="D981" s="33" t="n">
        <v>75</v>
      </c>
      <c r="E981" s="32" t="inlineStr">
        <is>
          <t>OneCause</t>
        </is>
      </c>
      <c r="F981" s="34">
        <f>IF(A981="","",IFERROR(INT(A981),"check date"))</f>
        <v/>
      </c>
      <c r="G981" s="35">
        <f>IF(B981="","",IFERROR(INDEX(Students!$A:$A,MATCH(TRIM(B981),Students!$A:$A,0)),"NOT ON LIST"))</f>
        <v/>
      </c>
      <c r="H981" s="35">
        <f>IF(OR(G981="",G981="NOT ON LIST"),"",VLOOKUP(G981,Students!$A:$C,2,FALSE))</f>
        <v/>
      </c>
      <c r="I981" s="35">
        <f>IF(OR(G981="",G981="NOT ON LIST"),"",VLOOKUP(G981,Students!$A:$C,3,FALSE)&amp;"")</f>
        <v/>
      </c>
    </row>
    <row r="982">
      <c r="A982" s="31" t="n">
        <v>46335</v>
      </c>
      <c r="B982" s="32" t="inlineStr">
        <is>
          <t>Elijah Byrne</t>
        </is>
      </c>
      <c r="C982" s="32" t="inlineStr">
        <is>
          <t>Evelyn Byrne</t>
        </is>
      </c>
      <c r="D982" s="33" t="n">
        <v>150</v>
      </c>
      <c r="E982" s="32" t="inlineStr">
        <is>
          <t>Cash</t>
        </is>
      </c>
      <c r="F982" s="34">
        <f>IF(A982="","",IFERROR(INT(A982),"check date"))</f>
        <v/>
      </c>
      <c r="G982" s="35">
        <f>IF(B982="","",IFERROR(INDEX(Students!$A:$A,MATCH(TRIM(B982),Students!$A:$A,0)),"NOT ON LIST"))</f>
        <v/>
      </c>
      <c r="H982" s="35">
        <f>IF(OR(G982="",G982="NOT ON LIST"),"",VLOOKUP(G982,Students!$A:$C,2,FALSE))</f>
        <v/>
      </c>
      <c r="I982" s="35">
        <f>IF(OR(G982="",G982="NOT ON LIST"),"",VLOOKUP(G982,Students!$A:$C,3,FALSE)&amp;"")</f>
        <v/>
      </c>
    </row>
    <row r="983">
      <c r="A983" s="31" t="n">
        <v>46332.73958333334</v>
      </c>
      <c r="B983" s="32" t="inlineStr">
        <is>
          <t>Mateo Murphy</t>
        </is>
      </c>
      <c r="C983" s="32" t="inlineStr">
        <is>
          <t>Chloe Murphy</t>
        </is>
      </c>
      <c r="D983" s="33" t="n">
        <v>25</v>
      </c>
      <c r="E983" s="32" t="inlineStr">
        <is>
          <t>OneCause</t>
        </is>
      </c>
      <c r="F983" s="34">
        <f>IF(A983="","",IFERROR(INT(A983),"check date"))</f>
        <v/>
      </c>
      <c r="G983" s="35">
        <f>IF(B983="","",IFERROR(INDEX(Students!$A:$A,MATCH(TRIM(B983),Students!$A:$A,0)),"NOT ON LIST"))</f>
        <v/>
      </c>
      <c r="H983" s="35">
        <f>IF(OR(G983="",G983="NOT ON LIST"),"",VLOOKUP(G983,Students!$A:$C,2,FALSE))</f>
        <v/>
      </c>
      <c r="I983" s="35">
        <f>IF(OR(G983="",G983="NOT ON LIST"),"",VLOOKUP(G983,Students!$A:$C,3,FALSE)&amp;"")</f>
        <v/>
      </c>
    </row>
    <row r="984">
      <c r="A984" s="31" t="n">
        <v>46330.46875</v>
      </c>
      <c r="B984" s="32" t="inlineStr">
        <is>
          <t>Adrian Kim</t>
        </is>
      </c>
      <c r="C984" s="32" t="inlineStr">
        <is>
          <t>Amelia Kim</t>
        </is>
      </c>
      <c r="D984" s="33" t="n">
        <v>25</v>
      </c>
      <c r="E984" s="32" t="inlineStr">
        <is>
          <t>OneCause</t>
        </is>
      </c>
      <c r="F984" s="34">
        <f>IF(A984="","",IFERROR(INT(A984),"check date"))</f>
        <v/>
      </c>
      <c r="G984" s="35">
        <f>IF(B984="","",IFERROR(INDEX(Students!$A:$A,MATCH(TRIM(B984),Students!$A:$A,0)),"NOT ON LIST"))</f>
        <v/>
      </c>
      <c r="H984" s="35">
        <f>IF(OR(G984="",G984="NOT ON LIST"),"",VLOOKUP(G984,Students!$A:$C,2,FALSE))</f>
        <v/>
      </c>
      <c r="I984" s="35">
        <f>IF(OR(G984="",G984="NOT ON LIST"),"",VLOOKUP(G984,Students!$A:$C,3,FALSE)&amp;"")</f>
        <v/>
      </c>
    </row>
    <row r="985">
      <c r="A985" s="31" t="n">
        <v>46335.875</v>
      </c>
      <c r="B985" s="32" t="inlineStr">
        <is>
          <t>Clara Sullivan</t>
        </is>
      </c>
      <c r="C985" s="32" t="inlineStr">
        <is>
          <t>Henry Sullivan</t>
        </is>
      </c>
      <c r="D985" s="33" t="n">
        <v>20</v>
      </c>
      <c r="E985" s="32" t="inlineStr">
        <is>
          <t>OneCause</t>
        </is>
      </c>
      <c r="F985" s="34">
        <f>IF(A985="","",IFERROR(INT(A985),"check date"))</f>
        <v/>
      </c>
      <c r="G985" s="35">
        <f>IF(B985="","",IFERROR(INDEX(Students!$A:$A,MATCH(TRIM(B985),Students!$A:$A,0)),"NOT ON LIST"))</f>
        <v/>
      </c>
      <c r="H985" s="35">
        <f>IF(OR(G985="",G985="NOT ON LIST"),"",VLOOKUP(G985,Students!$A:$C,2,FALSE))</f>
        <v/>
      </c>
      <c r="I985" s="35">
        <f>IF(OR(G985="",G985="NOT ON LIST"),"",VLOOKUP(G985,Students!$A:$C,3,FALSE)&amp;"")</f>
        <v/>
      </c>
    </row>
    <row r="986">
      <c r="A986" s="31" t="n">
        <v>46331.35416666666</v>
      </c>
      <c r="B986" s="32" t="inlineStr">
        <is>
          <t>Thomas Cruz</t>
        </is>
      </c>
      <c r="C986" s="32" t="inlineStr">
        <is>
          <t>Valentina Cruz</t>
        </is>
      </c>
      <c r="D986" s="33" t="n">
        <v>40</v>
      </c>
      <c r="E986" s="32" t="inlineStr">
        <is>
          <t>OneCause</t>
        </is>
      </c>
      <c r="F986" s="34">
        <f>IF(A986="","",IFERROR(INT(A986),"check date"))</f>
        <v/>
      </c>
      <c r="G986" s="35">
        <f>IF(B986="","",IFERROR(INDEX(Students!$A:$A,MATCH(TRIM(B986),Students!$A:$A,0)),"NOT ON LIST"))</f>
        <v/>
      </c>
      <c r="H986" s="35">
        <f>IF(OR(G986="",G986="NOT ON LIST"),"",VLOOKUP(G986,Students!$A:$C,2,FALSE))</f>
        <v/>
      </c>
      <c r="I986" s="35">
        <f>IF(OR(G986="",G986="NOT ON LIST"),"",VLOOKUP(G986,Students!$A:$C,3,FALSE)&amp;"")</f>
        <v/>
      </c>
    </row>
    <row r="987">
      <c r="A987" s="31" t="n">
        <v>46335.32291666666</v>
      </c>
      <c r="B987" s="32" t="inlineStr">
        <is>
          <t>Clara Flores</t>
        </is>
      </c>
      <c r="C987" s="32" t="inlineStr">
        <is>
          <t>Elijah Flores</t>
        </is>
      </c>
      <c r="D987" s="33" t="n">
        <v>100</v>
      </c>
      <c r="E987" s="32" t="inlineStr">
        <is>
          <t>OneCause</t>
        </is>
      </c>
      <c r="F987" s="34">
        <f>IF(A987="","",IFERROR(INT(A987),"check date"))</f>
        <v/>
      </c>
      <c r="G987" s="35">
        <f>IF(B987="","",IFERROR(INDEX(Students!$A:$A,MATCH(TRIM(B987),Students!$A:$A,0)),"NOT ON LIST"))</f>
        <v/>
      </c>
      <c r="H987" s="35">
        <f>IF(OR(G987="",G987="NOT ON LIST"),"",VLOOKUP(G987,Students!$A:$C,2,FALSE))</f>
        <v/>
      </c>
      <c r="I987" s="35">
        <f>IF(OR(G987="",G987="NOT ON LIST"),"",VLOOKUP(G987,Students!$A:$C,3,FALSE)&amp;"")</f>
        <v/>
      </c>
    </row>
    <row r="988">
      <c r="A988" s="31" t="n">
        <v>46334.38541666666</v>
      </c>
      <c r="B988" s="32" t="inlineStr">
        <is>
          <t>Adrian Ruiz</t>
        </is>
      </c>
      <c r="C988" s="32" t="inlineStr">
        <is>
          <t>Noah Ruiz</t>
        </is>
      </c>
      <c r="D988" s="33" t="n">
        <v>100</v>
      </c>
      <c r="E988" s="32" t="inlineStr">
        <is>
          <t>OneCause</t>
        </is>
      </c>
      <c r="F988" s="34">
        <f>IF(A988="","",IFERROR(INT(A988),"check date"))</f>
        <v/>
      </c>
      <c r="G988" s="35">
        <f>IF(B988="","",IFERROR(INDEX(Students!$A:$A,MATCH(TRIM(B988),Students!$A:$A,0)),"NOT ON LIST"))</f>
        <v/>
      </c>
      <c r="H988" s="35">
        <f>IF(OR(G988="",G988="NOT ON LIST"),"",VLOOKUP(G988,Students!$A:$C,2,FALSE))</f>
        <v/>
      </c>
      <c r="I988" s="35">
        <f>IF(OR(G988="",G988="NOT ON LIST"),"",VLOOKUP(G988,Students!$A:$C,3,FALSE)&amp;"")</f>
        <v/>
      </c>
    </row>
    <row r="989">
      <c r="A989" s="31" t="n">
        <v>46332.89583333334</v>
      </c>
      <c r="B989" s="32" t="inlineStr">
        <is>
          <t>Adrian Nguyen</t>
        </is>
      </c>
      <c r="C989" s="32" t="inlineStr">
        <is>
          <t>Emma Nguyen</t>
        </is>
      </c>
      <c r="D989" s="33" t="n">
        <v>20</v>
      </c>
      <c r="E989" s="32" t="inlineStr">
        <is>
          <t>OneCause</t>
        </is>
      </c>
      <c r="F989" s="34">
        <f>IF(A989="","",IFERROR(INT(A989),"check date"))</f>
        <v/>
      </c>
      <c r="G989" s="35">
        <f>IF(B989="","",IFERROR(INDEX(Students!$A:$A,MATCH(TRIM(B989),Students!$A:$A,0)),"NOT ON LIST"))</f>
        <v/>
      </c>
      <c r="H989" s="35">
        <f>IF(OR(G989="",G989="NOT ON LIST"),"",VLOOKUP(G989,Students!$A:$C,2,FALSE))</f>
        <v/>
      </c>
      <c r="I989" s="35">
        <f>IF(OR(G989="",G989="NOT ON LIST"),"",VLOOKUP(G989,Students!$A:$C,3,FALSE)&amp;"")</f>
        <v/>
      </c>
    </row>
    <row r="990">
      <c r="A990" s="31" t="n">
        <v>46333.625</v>
      </c>
      <c r="B990" s="32" t="inlineStr">
        <is>
          <t>Luna Walsh</t>
        </is>
      </c>
      <c r="C990" s="32" t="inlineStr">
        <is>
          <t>Emma Walsh</t>
        </is>
      </c>
      <c r="D990" s="33" t="n">
        <v>10</v>
      </c>
      <c r="E990" s="32" t="inlineStr">
        <is>
          <t>OneCause</t>
        </is>
      </c>
      <c r="F990" s="34">
        <f>IF(A990="","",IFERROR(INT(A990),"check date"))</f>
        <v/>
      </c>
      <c r="G990" s="35">
        <f>IF(B990="","",IFERROR(INDEX(Students!$A:$A,MATCH(TRIM(B990),Students!$A:$A,0)),"NOT ON LIST"))</f>
        <v/>
      </c>
      <c r="H990" s="35">
        <f>IF(OR(G990="",G990="NOT ON LIST"),"",VLOOKUP(G990,Students!$A:$C,2,FALSE))</f>
        <v/>
      </c>
      <c r="I990" s="35">
        <f>IF(OR(G990="",G990="NOT ON LIST"),"",VLOOKUP(G990,Students!$A:$C,3,FALSE)&amp;"")</f>
        <v/>
      </c>
    </row>
    <row r="991">
      <c r="A991" s="31" t="n">
        <v>46326.4375</v>
      </c>
      <c r="B991" s="32" t="inlineStr">
        <is>
          <t>Aria Ryan</t>
        </is>
      </c>
      <c r="C991" s="32" t="inlineStr">
        <is>
          <t>Amelia Ryan</t>
        </is>
      </c>
      <c r="D991" s="33" t="n">
        <v>20</v>
      </c>
      <c r="E991" s="32" t="inlineStr">
        <is>
          <t>OneCause</t>
        </is>
      </c>
      <c r="F991" s="34">
        <f>IF(A991="","",IFERROR(INT(A991),"check date"))</f>
        <v/>
      </c>
      <c r="G991" s="35">
        <f>IF(B991="","",IFERROR(INDEX(Students!$A:$A,MATCH(TRIM(B991),Students!$A:$A,0)),"NOT ON LIST"))</f>
        <v/>
      </c>
      <c r="H991" s="35">
        <f>IF(OR(G991="",G991="NOT ON LIST"),"",VLOOKUP(G991,Students!$A:$C,2,FALSE))</f>
        <v/>
      </c>
      <c r="I991" s="35">
        <f>IF(OR(G991="",G991="NOT ON LIST"),"",VLOOKUP(G991,Students!$A:$C,3,FALSE)&amp;"")</f>
        <v/>
      </c>
    </row>
    <row r="992">
      <c r="A992" s="31" t="n">
        <v>46338.30208333334</v>
      </c>
      <c r="B992" s="32" t="inlineStr">
        <is>
          <t>Ava Sanchez</t>
        </is>
      </c>
      <c r="C992" s="32" t="inlineStr">
        <is>
          <t>Adrian Sanchez</t>
        </is>
      </c>
      <c r="D992" s="33" t="n">
        <v>25</v>
      </c>
      <c r="E992" s="32" t="inlineStr">
        <is>
          <t>OneCause</t>
        </is>
      </c>
      <c r="F992" s="34">
        <f>IF(A992="","",IFERROR(INT(A992),"check date"))</f>
        <v/>
      </c>
      <c r="G992" s="35">
        <f>IF(B992="","",IFERROR(INDEX(Students!$A:$A,MATCH(TRIM(B992),Students!$A:$A,0)),"NOT ON LIST"))</f>
        <v/>
      </c>
      <c r="H992" s="35">
        <f>IF(OR(G992="",G992="NOT ON LIST"),"",VLOOKUP(G992,Students!$A:$C,2,FALSE))</f>
        <v/>
      </c>
      <c r="I992" s="35">
        <f>IF(OR(G992="",G992="NOT ON LIST"),"",VLOOKUP(G992,Students!$A:$C,3,FALSE)&amp;"")</f>
        <v/>
      </c>
    </row>
    <row r="993">
      <c r="A993" s="31" t="n">
        <v>46332.3125</v>
      </c>
      <c r="B993" s="32" t="inlineStr">
        <is>
          <t>Joseph Walsh</t>
        </is>
      </c>
      <c r="C993" s="32" t="inlineStr">
        <is>
          <t>Isabella Walsh</t>
        </is>
      </c>
      <c r="D993" s="33" t="n">
        <v>20</v>
      </c>
      <c r="E993" s="32" t="inlineStr">
        <is>
          <t>OneCause</t>
        </is>
      </c>
      <c r="F993" s="34">
        <f>IF(A993="","",IFERROR(INT(A993),"check date"))</f>
        <v/>
      </c>
      <c r="G993" s="35">
        <f>IF(B993="","",IFERROR(INDEX(Students!$A:$A,MATCH(TRIM(B993),Students!$A:$A,0)),"NOT ON LIST"))</f>
        <v/>
      </c>
      <c r="H993" s="35">
        <f>IF(OR(G993="",G993="NOT ON LIST"),"",VLOOKUP(G993,Students!$A:$C,2,FALSE))</f>
        <v/>
      </c>
      <c r="I993" s="35">
        <f>IF(OR(G993="",G993="NOT ON LIST"),"",VLOOKUP(G993,Students!$A:$C,3,FALSE)&amp;"")</f>
        <v/>
      </c>
    </row>
    <row r="994">
      <c r="A994" s="31" t="n">
        <v>46330.30208333334</v>
      </c>
      <c r="B994" s="32" t="inlineStr">
        <is>
          <t>Liam Castillo</t>
        </is>
      </c>
      <c r="C994" s="32" t="inlineStr">
        <is>
          <t>Ella Castillo</t>
        </is>
      </c>
      <c r="D994" s="33" t="n">
        <v>25</v>
      </c>
      <c r="E994" s="32" t="inlineStr">
        <is>
          <t>OneCause</t>
        </is>
      </c>
      <c r="F994" s="34">
        <f>IF(A994="","",IFERROR(INT(A994),"check date"))</f>
        <v/>
      </c>
      <c r="G994" s="35">
        <f>IF(B994="","",IFERROR(INDEX(Students!$A:$A,MATCH(TRIM(B994),Students!$A:$A,0)),"NOT ON LIST"))</f>
        <v/>
      </c>
      <c r="H994" s="35">
        <f>IF(OR(G994="",G994="NOT ON LIST"),"",VLOOKUP(G994,Students!$A:$C,2,FALSE))</f>
        <v/>
      </c>
      <c r="I994" s="35">
        <f>IF(OR(G994="",G994="NOT ON LIST"),"",VLOOKUP(G994,Students!$A:$C,3,FALSE)&amp;"")</f>
        <v/>
      </c>
    </row>
    <row r="995">
      <c r="A995" s="31" t="n">
        <v>46326.84375</v>
      </c>
      <c r="B995" s="32" t="inlineStr">
        <is>
          <t>Santiago Lopez</t>
        </is>
      </c>
      <c r="C995" s="32" t="inlineStr">
        <is>
          <t>Lucas Lopez</t>
        </is>
      </c>
      <c r="D995" s="33" t="n">
        <v>75</v>
      </c>
      <c r="E995" s="32" t="inlineStr">
        <is>
          <t>OneCause</t>
        </is>
      </c>
      <c r="F995" s="34">
        <f>IF(A995="","",IFERROR(INT(A995),"check date"))</f>
        <v/>
      </c>
      <c r="G995" s="35">
        <f>IF(B995="","",IFERROR(INDEX(Students!$A:$A,MATCH(TRIM(B995),Students!$A:$A,0)),"NOT ON LIST"))</f>
        <v/>
      </c>
      <c r="H995" s="35">
        <f>IF(OR(G995="",G995="NOT ON LIST"),"",VLOOKUP(G995,Students!$A:$C,2,FALSE))</f>
        <v/>
      </c>
      <c r="I995" s="35">
        <f>IF(OR(G995="",G995="NOT ON LIST"),"",VLOOKUP(G995,Students!$A:$C,3,FALSE)&amp;"")</f>
        <v/>
      </c>
    </row>
    <row r="996">
      <c r="A996" s="31" t="n">
        <v>46331.89583333334</v>
      </c>
      <c r="B996" s="32" t="inlineStr">
        <is>
          <t>Maya Walsh</t>
        </is>
      </c>
      <c r="C996" s="32" t="inlineStr">
        <is>
          <t>Liam Walsh</t>
        </is>
      </c>
      <c r="D996" s="33" t="n">
        <v>25</v>
      </c>
      <c r="E996" s="32" t="inlineStr">
        <is>
          <t>OneCause</t>
        </is>
      </c>
      <c r="F996" s="34">
        <f>IF(A996="","",IFERROR(INT(A996),"check date"))</f>
        <v/>
      </c>
      <c r="G996" s="35">
        <f>IF(B996="","",IFERROR(INDEX(Students!$A:$A,MATCH(TRIM(B996),Students!$A:$A,0)),"NOT ON LIST"))</f>
        <v/>
      </c>
      <c r="H996" s="35">
        <f>IF(OR(G996="",G996="NOT ON LIST"),"",VLOOKUP(G996,Students!$A:$C,2,FALSE))</f>
        <v/>
      </c>
      <c r="I996" s="35">
        <f>IF(OR(G996="",G996="NOT ON LIST"),"",VLOOKUP(G996,Students!$A:$C,3,FALSE)&amp;"")</f>
        <v/>
      </c>
    </row>
    <row r="997">
      <c r="A997" s="31" t="n">
        <v>46325.64583333334</v>
      </c>
      <c r="B997" s="32" t="inlineStr">
        <is>
          <t>Luna Ryan</t>
        </is>
      </c>
      <c r="C997" s="32" t="inlineStr">
        <is>
          <t>James Ryan</t>
        </is>
      </c>
      <c r="D997" s="33" t="n">
        <v>50</v>
      </c>
      <c r="E997" s="32" t="inlineStr">
        <is>
          <t>OneCause</t>
        </is>
      </c>
      <c r="F997" s="34">
        <f>IF(A997="","",IFERROR(INT(A997),"check date"))</f>
        <v/>
      </c>
      <c r="G997" s="35">
        <f>IF(B997="","",IFERROR(INDEX(Students!$A:$A,MATCH(TRIM(B997),Students!$A:$A,0)),"NOT ON LIST"))</f>
        <v/>
      </c>
      <c r="H997" s="35">
        <f>IF(OR(G997="",G997="NOT ON LIST"),"",VLOOKUP(G997,Students!$A:$C,2,FALSE))</f>
        <v/>
      </c>
      <c r="I997" s="35">
        <f>IF(OR(G997="",G997="NOT ON LIST"),"",VLOOKUP(G997,Students!$A:$C,3,FALSE)&amp;"")</f>
        <v/>
      </c>
    </row>
    <row r="998">
      <c r="A998" s="31" t="n">
        <v>46328.40625</v>
      </c>
      <c r="B998" s="32" t="inlineStr">
        <is>
          <t>Luna Byrne</t>
        </is>
      </c>
      <c r="C998" s="32" t="inlineStr">
        <is>
          <t>Elena Byrne</t>
        </is>
      </c>
      <c r="D998" s="33" t="n">
        <v>10</v>
      </c>
      <c r="E998" s="32" t="inlineStr">
        <is>
          <t>OneCause</t>
        </is>
      </c>
      <c r="F998" s="34">
        <f>IF(A998="","",IFERROR(INT(A998),"check date"))</f>
        <v/>
      </c>
      <c r="G998" s="35">
        <f>IF(B998="","",IFERROR(INDEX(Students!$A:$A,MATCH(TRIM(B998),Students!$A:$A,0)),"NOT ON LIST"))</f>
        <v/>
      </c>
      <c r="H998" s="35">
        <f>IF(OR(G998="",G998="NOT ON LIST"),"",VLOOKUP(G998,Students!$A:$C,2,FALSE))</f>
        <v/>
      </c>
      <c r="I998" s="35">
        <f>IF(OR(G998="",G998="NOT ON LIST"),"",VLOOKUP(G998,Students!$A:$C,3,FALSE)&amp;"")</f>
        <v/>
      </c>
    </row>
    <row r="999">
      <c r="A999" s="31" t="n">
        <v>46325.875</v>
      </c>
      <c r="B999" s="32" t="inlineStr">
        <is>
          <t>Joseph Sanchez</t>
        </is>
      </c>
      <c r="C999" s="32" t="inlineStr">
        <is>
          <t>Benjamin Sanchez</t>
        </is>
      </c>
      <c r="D999" s="33" t="n">
        <v>25</v>
      </c>
      <c r="E999" s="32" t="inlineStr">
        <is>
          <t>OneCause</t>
        </is>
      </c>
      <c r="F999" s="34">
        <f>IF(A999="","",IFERROR(INT(A999),"check date"))</f>
        <v/>
      </c>
      <c r="G999" s="35">
        <f>IF(B999="","",IFERROR(INDEX(Students!$A:$A,MATCH(TRIM(B999),Students!$A:$A,0)),"NOT ON LIST"))</f>
        <v/>
      </c>
      <c r="H999" s="35">
        <f>IF(OR(G999="",G999="NOT ON LIST"),"",VLOOKUP(G999,Students!$A:$C,2,FALSE))</f>
        <v/>
      </c>
      <c r="I999" s="35">
        <f>IF(OR(G999="",G999="NOT ON LIST"),"",VLOOKUP(G999,Students!$A:$C,3,FALSE)&amp;"")</f>
        <v/>
      </c>
    </row>
    <row r="1000">
      <c r="A1000" s="31" t="n">
        <v>46339.45833333334</v>
      </c>
      <c r="B1000" s="32" t="inlineStr">
        <is>
          <t>Grace Walsh</t>
        </is>
      </c>
      <c r="C1000" s="32" t="inlineStr">
        <is>
          <t>Nora Walsh</t>
        </is>
      </c>
      <c r="D1000" s="33" t="n">
        <v>25</v>
      </c>
      <c r="E1000" s="32" t="inlineStr">
        <is>
          <t>OneCause</t>
        </is>
      </c>
      <c r="F1000" s="34">
        <f>IF(A1000="","",IFERROR(INT(A1000),"check date"))</f>
        <v/>
      </c>
      <c r="G1000" s="35">
        <f>IF(B1000="","",IFERROR(INDEX(Students!$A:$A,MATCH(TRIM(B1000),Students!$A:$A,0)),"NOT ON LIST"))</f>
        <v/>
      </c>
      <c r="H1000" s="35">
        <f>IF(OR(G1000="",G1000="NOT ON LIST"),"",VLOOKUP(G1000,Students!$A:$C,2,FALSE))</f>
        <v/>
      </c>
      <c r="I1000" s="35">
        <f>IF(OR(G1000="",G1000="NOT ON LIST"),"",VLOOKUP(G1000,Students!$A:$C,3,FALSE)&amp;"")</f>
        <v/>
      </c>
    </row>
    <row r="1001">
      <c r="A1001" s="31" t="n">
        <v>46338.86458333334</v>
      </c>
      <c r="B1001" s="32" t="inlineStr">
        <is>
          <t>Valentina Smith</t>
        </is>
      </c>
      <c r="C1001" s="32" t="inlineStr">
        <is>
          <t>James Smith</t>
        </is>
      </c>
      <c r="D1001" s="33" t="n">
        <v>50</v>
      </c>
      <c r="E1001" s="32" t="inlineStr">
        <is>
          <t>OneCause</t>
        </is>
      </c>
      <c r="F1001" s="34">
        <f>IF(A1001="","",IFERROR(INT(A1001),"check date"))</f>
        <v/>
      </c>
      <c r="G1001" s="35">
        <f>IF(B1001="","",IFERROR(INDEX(Students!$A:$A,MATCH(TRIM(B1001),Students!$A:$A,0)),"NOT ON LIST"))</f>
        <v/>
      </c>
      <c r="H1001" s="35">
        <f>IF(OR(G1001="",G1001="NOT ON LIST"),"",VLOOKUP(G1001,Students!$A:$C,2,FALSE))</f>
        <v/>
      </c>
      <c r="I1001" s="35">
        <f>IF(OR(G1001="",G1001="NOT ON LIST"),"",VLOOKUP(G1001,Students!$A:$C,3,FALSE)&amp;"")</f>
        <v/>
      </c>
    </row>
    <row r="1002">
      <c r="A1002" s="31" t="n">
        <v>46339</v>
      </c>
      <c r="B1002" s="32" t="inlineStr">
        <is>
          <t>Grace Garcia</t>
        </is>
      </c>
      <c r="C1002" s="32" t="inlineStr">
        <is>
          <t>Henry Garcia</t>
        </is>
      </c>
      <c r="D1002" s="33" t="n">
        <v>100</v>
      </c>
      <c r="E1002" s="32" t="inlineStr">
        <is>
          <t>Cash</t>
        </is>
      </c>
      <c r="F1002" s="34">
        <f>IF(A1002="","",IFERROR(INT(A1002),"check date"))</f>
        <v/>
      </c>
      <c r="G1002" s="35">
        <f>IF(B1002="","",IFERROR(INDEX(Students!$A:$A,MATCH(TRIM(B1002),Students!$A:$A,0)),"NOT ON LIST"))</f>
        <v/>
      </c>
      <c r="H1002" s="35">
        <f>IF(OR(G1002="",G1002="NOT ON LIST"),"",VLOOKUP(G1002,Students!$A:$C,2,FALSE))</f>
        <v/>
      </c>
      <c r="I1002" s="35">
        <f>IF(OR(G1002="",G1002="NOT ON LIST"),"",VLOOKUP(G1002,Students!$A:$C,3,FALSE)&amp;"")</f>
        <v/>
      </c>
    </row>
    <row r="1003">
      <c r="A1003" s="31" t="n">
        <v>46327.58333333334</v>
      </c>
      <c r="B1003" s="32" t="inlineStr">
        <is>
          <t>Nicolas Chavez</t>
        </is>
      </c>
      <c r="C1003" s="32" t="inlineStr">
        <is>
          <t>Mia Chavez</t>
        </is>
      </c>
      <c r="D1003" s="33" t="n">
        <v>50</v>
      </c>
      <c r="E1003" s="32" t="inlineStr">
        <is>
          <t>OneCause</t>
        </is>
      </c>
      <c r="F1003" s="34">
        <f>IF(A1003="","",IFERROR(INT(A1003),"check date"))</f>
        <v/>
      </c>
      <c r="G1003" s="35">
        <f>IF(B1003="","",IFERROR(INDEX(Students!$A:$A,MATCH(TRIM(B1003),Students!$A:$A,0)),"NOT ON LIST"))</f>
        <v/>
      </c>
      <c r="H1003" s="35">
        <f>IF(OR(G1003="",G1003="NOT ON LIST"),"",VLOOKUP(G1003,Students!$A:$C,2,FALSE))</f>
        <v/>
      </c>
      <c r="I1003" s="35">
        <f>IF(OR(G1003="",G1003="NOT ON LIST"),"",VLOOKUP(G1003,Students!$A:$C,3,FALSE)&amp;"")</f>
        <v/>
      </c>
    </row>
    <row r="1004">
      <c r="A1004" s="31" t="n">
        <v>46337.84375</v>
      </c>
      <c r="B1004" s="32" t="inlineStr">
        <is>
          <t>Chloe Diaz</t>
        </is>
      </c>
      <c r="C1004" s="32" t="inlineStr">
        <is>
          <t>Chloe Diaz</t>
        </is>
      </c>
      <c r="D1004" s="33" t="n">
        <v>50</v>
      </c>
      <c r="E1004" s="32" t="inlineStr">
        <is>
          <t>OneCause</t>
        </is>
      </c>
      <c r="F1004" s="34">
        <f>IF(A1004="","",IFERROR(INT(A1004),"check date"))</f>
        <v/>
      </c>
      <c r="G1004" s="35">
        <f>IF(B1004="","",IFERROR(INDEX(Students!$A:$A,MATCH(TRIM(B1004),Students!$A:$A,0)),"NOT ON LIST"))</f>
        <v/>
      </c>
      <c r="H1004" s="35">
        <f>IF(OR(G1004="",G1004="NOT ON LIST"),"",VLOOKUP(G1004,Students!$A:$C,2,FALSE))</f>
        <v/>
      </c>
      <c r="I1004" s="35">
        <f>IF(OR(G1004="",G1004="NOT ON LIST"),"",VLOOKUP(G1004,Students!$A:$C,3,FALSE)&amp;"")</f>
        <v/>
      </c>
    </row>
    <row r="1005">
      <c r="A1005" s="31" t="n">
        <v>46331.55208333334</v>
      </c>
      <c r="B1005" s="32" t="inlineStr">
        <is>
          <t>Gabriel Flores</t>
        </is>
      </c>
      <c r="C1005" s="32" t="inlineStr">
        <is>
          <t>Luna Flores</t>
        </is>
      </c>
      <c r="D1005" s="33" t="n">
        <v>25</v>
      </c>
      <c r="E1005" s="32" t="inlineStr">
        <is>
          <t>OneCause</t>
        </is>
      </c>
      <c r="F1005" s="34">
        <f>IF(A1005="","",IFERROR(INT(A1005),"check date"))</f>
        <v/>
      </c>
      <c r="G1005" s="35">
        <f>IF(B1005="","",IFERROR(INDEX(Students!$A:$A,MATCH(TRIM(B1005),Students!$A:$A,0)),"NOT ON LIST"))</f>
        <v/>
      </c>
      <c r="H1005" s="35">
        <f>IF(OR(G1005="",G1005="NOT ON LIST"),"",VLOOKUP(G1005,Students!$A:$C,2,FALSE))</f>
        <v/>
      </c>
      <c r="I1005" s="35">
        <f>IF(OR(G1005="",G1005="NOT ON LIST"),"",VLOOKUP(G1005,Students!$A:$C,3,FALSE)&amp;"")</f>
        <v/>
      </c>
    </row>
    <row r="1006">
      <c r="A1006" s="31" t="n">
        <v>46338.58333333334</v>
      </c>
      <c r="B1006" s="32" t="inlineStr">
        <is>
          <t>Clara Nguyen</t>
        </is>
      </c>
      <c r="C1006" s="32" t="inlineStr">
        <is>
          <t>David Nguyen</t>
        </is>
      </c>
      <c r="D1006" s="33" t="n">
        <v>25</v>
      </c>
      <c r="E1006" s="32" t="inlineStr">
        <is>
          <t>OneCause</t>
        </is>
      </c>
      <c r="F1006" s="34">
        <f>IF(A1006="","",IFERROR(INT(A1006),"check date"))</f>
        <v/>
      </c>
      <c r="G1006" s="35">
        <f>IF(B1006="","",IFERROR(INDEX(Students!$A:$A,MATCH(TRIM(B1006),Students!$A:$A,0)),"NOT ON LIST"))</f>
        <v/>
      </c>
      <c r="H1006" s="35">
        <f>IF(OR(G1006="",G1006="NOT ON LIST"),"",VLOOKUP(G1006,Students!$A:$C,2,FALSE))</f>
        <v/>
      </c>
      <c r="I1006" s="35">
        <f>IF(OR(G1006="",G1006="NOT ON LIST"),"",VLOOKUP(G1006,Students!$A:$C,3,FALSE)&amp;"")</f>
        <v/>
      </c>
    </row>
    <row r="1007">
      <c r="A1007" s="31" t="n">
        <v>46329.63541666666</v>
      </c>
      <c r="B1007" s="32" t="inlineStr">
        <is>
          <t>Lily Morales</t>
        </is>
      </c>
      <c r="C1007" s="32" t="inlineStr">
        <is>
          <t>Elijah Morales</t>
        </is>
      </c>
      <c r="D1007" s="33" t="n">
        <v>25</v>
      </c>
      <c r="E1007" s="32" t="inlineStr">
        <is>
          <t>OneCause</t>
        </is>
      </c>
      <c r="F1007" s="34">
        <f>IF(A1007="","",IFERROR(INT(A1007),"check date"))</f>
        <v/>
      </c>
      <c r="G1007" s="35">
        <f>IF(B1007="","",IFERROR(INDEX(Students!$A:$A,MATCH(TRIM(B1007),Students!$A:$A,0)),"NOT ON LIST"))</f>
        <v/>
      </c>
      <c r="H1007" s="35">
        <f>IF(OR(G1007="",G1007="NOT ON LIST"),"",VLOOKUP(G1007,Students!$A:$C,2,FALSE))</f>
        <v/>
      </c>
      <c r="I1007" s="35">
        <f>IF(OR(G1007="",G1007="NOT ON LIST"),"",VLOOKUP(G1007,Students!$A:$C,3,FALSE)&amp;"")</f>
        <v/>
      </c>
    </row>
    <row r="1008">
      <c r="A1008" s="31" t="n">
        <v>46336.79166666666</v>
      </c>
      <c r="B1008" s="32" t="inlineStr">
        <is>
          <t>Camila Reyes</t>
        </is>
      </c>
      <c r="C1008" s="32" t="inlineStr">
        <is>
          <t>Joseph Reyes</t>
        </is>
      </c>
      <c r="D1008" s="33" t="n">
        <v>150</v>
      </c>
      <c r="E1008" s="32" t="inlineStr">
        <is>
          <t>OneCause</t>
        </is>
      </c>
      <c r="F1008" s="34">
        <f>IF(A1008="","",IFERROR(INT(A1008),"check date"))</f>
        <v/>
      </c>
      <c r="G1008" s="35">
        <f>IF(B1008="","",IFERROR(INDEX(Students!$A:$A,MATCH(TRIM(B1008),Students!$A:$A,0)),"NOT ON LIST"))</f>
        <v/>
      </c>
      <c r="H1008" s="35">
        <f>IF(OR(G1008="",G1008="NOT ON LIST"),"",VLOOKUP(G1008,Students!$A:$C,2,FALSE))</f>
        <v/>
      </c>
      <c r="I1008" s="35">
        <f>IF(OR(G1008="",G1008="NOT ON LIST"),"",VLOOKUP(G1008,Students!$A:$C,3,FALSE)&amp;"")</f>
        <v/>
      </c>
    </row>
    <row r="1009">
      <c r="A1009" s="31" t="n">
        <v>46333.8125</v>
      </c>
      <c r="B1009" s="32" t="inlineStr">
        <is>
          <t>Santiago O'Brien</t>
        </is>
      </c>
      <c r="C1009" s="32" t="inlineStr">
        <is>
          <t>Camila O'Brien</t>
        </is>
      </c>
      <c r="D1009" s="33" t="n">
        <v>50</v>
      </c>
      <c r="E1009" s="32" t="inlineStr">
        <is>
          <t>OneCause</t>
        </is>
      </c>
      <c r="F1009" s="34">
        <f>IF(A1009="","",IFERROR(INT(A1009),"check date"))</f>
        <v/>
      </c>
      <c r="G1009" s="35">
        <f>IF(B1009="","",IFERROR(INDEX(Students!$A:$A,MATCH(TRIM(B1009),Students!$A:$A,0)),"NOT ON LIST"))</f>
        <v/>
      </c>
      <c r="H1009" s="35">
        <f>IF(OR(G1009="",G1009="NOT ON LIST"),"",VLOOKUP(G1009,Students!$A:$C,2,FALSE))</f>
        <v/>
      </c>
      <c r="I1009" s="35">
        <f>IF(OR(G1009="",G1009="NOT ON LIST"),"",VLOOKUP(G1009,Students!$A:$C,3,FALSE)&amp;"")</f>
        <v/>
      </c>
    </row>
    <row r="1010">
      <c r="A1010" s="31" t="n">
        <v>46328.33333333334</v>
      </c>
      <c r="B1010" s="32" t="inlineStr">
        <is>
          <t>Joseph Vasquez</t>
        </is>
      </c>
      <c r="C1010" s="32" t="inlineStr">
        <is>
          <t>Camila Vasquez</t>
        </is>
      </c>
      <c r="D1010" s="33" t="n">
        <v>50</v>
      </c>
      <c r="E1010" s="32" t="inlineStr">
        <is>
          <t>OneCause</t>
        </is>
      </c>
      <c r="F1010" s="34">
        <f>IF(A1010="","",IFERROR(INT(A1010),"check date"))</f>
        <v/>
      </c>
      <c r="G1010" s="35">
        <f>IF(B1010="","",IFERROR(INDEX(Students!$A:$A,MATCH(TRIM(B1010),Students!$A:$A,0)),"NOT ON LIST"))</f>
        <v/>
      </c>
      <c r="H1010" s="35">
        <f>IF(OR(G1010="",G1010="NOT ON LIST"),"",VLOOKUP(G1010,Students!$A:$C,2,FALSE))</f>
        <v/>
      </c>
      <c r="I1010" s="35">
        <f>IF(OR(G1010="",G1010="NOT ON LIST"),"",VLOOKUP(G1010,Students!$A:$C,3,FALSE)&amp;"")</f>
        <v/>
      </c>
    </row>
    <row r="1011">
      <c r="A1011" s="31" t="n">
        <v>46336.71875</v>
      </c>
      <c r="B1011" s="32" t="inlineStr">
        <is>
          <t>Clara Sullivan</t>
        </is>
      </c>
      <c r="C1011" s="32" t="inlineStr">
        <is>
          <t>James Sullivan</t>
        </is>
      </c>
      <c r="D1011" s="33" t="n">
        <v>50</v>
      </c>
      <c r="E1011" s="32" t="inlineStr">
        <is>
          <t>OneCause</t>
        </is>
      </c>
      <c r="F1011" s="34">
        <f>IF(A1011="","",IFERROR(INT(A1011),"check date"))</f>
        <v/>
      </c>
      <c r="G1011" s="35">
        <f>IF(B1011="","",IFERROR(INDEX(Students!$A:$A,MATCH(TRIM(B1011),Students!$A:$A,0)),"NOT ON LIST"))</f>
        <v/>
      </c>
      <c r="H1011" s="35">
        <f>IF(OR(G1011="",G1011="NOT ON LIST"),"",VLOOKUP(G1011,Students!$A:$C,2,FALSE))</f>
        <v/>
      </c>
      <c r="I1011" s="35">
        <f>IF(OR(G1011="",G1011="NOT ON LIST"),"",VLOOKUP(G1011,Students!$A:$C,3,FALSE)&amp;"")</f>
        <v/>
      </c>
    </row>
    <row r="1012">
      <c r="A1012" s="31" t="n">
        <v>46332</v>
      </c>
      <c r="B1012" s="32" t="inlineStr">
        <is>
          <t>Maya Walsh</t>
        </is>
      </c>
      <c r="C1012" s="32" t="inlineStr">
        <is>
          <t>Thomas Walsh</t>
        </is>
      </c>
      <c r="D1012" s="33" t="n">
        <v>50</v>
      </c>
      <c r="E1012" s="32" t="inlineStr">
        <is>
          <t>Cash</t>
        </is>
      </c>
      <c r="F1012" s="34">
        <f>IF(A1012="","",IFERROR(INT(A1012),"check date"))</f>
        <v/>
      </c>
      <c r="G1012" s="35">
        <f>IF(B1012="","",IFERROR(INDEX(Students!$A:$A,MATCH(TRIM(B1012),Students!$A:$A,0)),"NOT ON LIST"))</f>
        <v/>
      </c>
      <c r="H1012" s="35">
        <f>IF(OR(G1012="",G1012="NOT ON LIST"),"",VLOOKUP(G1012,Students!$A:$C,2,FALSE))</f>
        <v/>
      </c>
      <c r="I1012" s="35">
        <f>IF(OR(G1012="",G1012="NOT ON LIST"),"",VLOOKUP(G1012,Students!$A:$C,3,FALSE)&amp;"")</f>
        <v/>
      </c>
    </row>
    <row r="1013">
      <c r="A1013" s="31" t="n">
        <v>46339.30208333334</v>
      </c>
      <c r="B1013" s="32" t="inlineStr">
        <is>
          <t>Thomas Perez</t>
        </is>
      </c>
      <c r="C1013" s="32" t="inlineStr">
        <is>
          <t>Ava Perez</t>
        </is>
      </c>
      <c r="D1013" s="33" t="n">
        <v>25</v>
      </c>
      <c r="E1013" s="32" t="inlineStr">
        <is>
          <t>OneCause</t>
        </is>
      </c>
      <c r="F1013" s="34">
        <f>IF(A1013="","",IFERROR(INT(A1013),"check date"))</f>
        <v/>
      </c>
      <c r="G1013" s="35">
        <f>IF(B1013="","",IFERROR(INDEX(Students!$A:$A,MATCH(TRIM(B1013),Students!$A:$A,0)),"NOT ON LIST"))</f>
        <v/>
      </c>
      <c r="H1013" s="35">
        <f>IF(OR(G1013="",G1013="NOT ON LIST"),"",VLOOKUP(G1013,Students!$A:$C,2,FALSE))</f>
        <v/>
      </c>
      <c r="I1013" s="35">
        <f>IF(OR(G1013="",G1013="NOT ON LIST"),"",VLOOKUP(G1013,Students!$A:$C,3,FALSE)&amp;"")</f>
        <v/>
      </c>
    </row>
    <row r="1014">
      <c r="A1014" s="31" t="n">
        <v>46326.34375</v>
      </c>
      <c r="B1014" s="32" t="inlineStr">
        <is>
          <t>Mateo Murphy</t>
        </is>
      </c>
      <c r="C1014" s="32" t="inlineStr">
        <is>
          <t>Lily Murphy</t>
        </is>
      </c>
      <c r="D1014" s="33" t="n">
        <v>100</v>
      </c>
      <c r="E1014" s="32" t="inlineStr">
        <is>
          <t>OneCause</t>
        </is>
      </c>
      <c r="F1014" s="34">
        <f>IF(A1014="","",IFERROR(INT(A1014),"check date"))</f>
        <v/>
      </c>
      <c r="G1014" s="35">
        <f>IF(B1014="","",IFERROR(INDEX(Students!$A:$A,MATCH(TRIM(B1014),Students!$A:$A,0)),"NOT ON LIST"))</f>
        <v/>
      </c>
      <c r="H1014" s="35">
        <f>IF(OR(G1014="",G1014="NOT ON LIST"),"",VLOOKUP(G1014,Students!$A:$C,2,FALSE))</f>
        <v/>
      </c>
      <c r="I1014" s="35">
        <f>IF(OR(G1014="",G1014="NOT ON LIST"),"",VLOOKUP(G1014,Students!$A:$C,3,FALSE)&amp;"")</f>
        <v/>
      </c>
    </row>
    <row r="1015">
      <c r="A1015" s="31" t="n">
        <v>46328.34375</v>
      </c>
      <c r="B1015" s="32" t="inlineStr">
        <is>
          <t>Thomas Patel</t>
        </is>
      </c>
      <c r="C1015" s="32" t="inlineStr">
        <is>
          <t>Gabriel Patel</t>
        </is>
      </c>
      <c r="D1015" s="33" t="n">
        <v>75</v>
      </c>
      <c r="E1015" s="32" t="inlineStr">
        <is>
          <t>OneCause</t>
        </is>
      </c>
      <c r="F1015" s="34">
        <f>IF(A1015="","",IFERROR(INT(A1015),"check date"))</f>
        <v/>
      </c>
      <c r="G1015" s="35">
        <f>IF(B1015="","",IFERROR(INDEX(Students!$A:$A,MATCH(TRIM(B1015),Students!$A:$A,0)),"NOT ON LIST"))</f>
        <v/>
      </c>
      <c r="H1015" s="35">
        <f>IF(OR(G1015="",G1015="NOT ON LIST"),"",VLOOKUP(G1015,Students!$A:$C,2,FALSE))</f>
        <v/>
      </c>
      <c r="I1015" s="35">
        <f>IF(OR(G1015="",G1015="NOT ON LIST"),"",VLOOKUP(G1015,Students!$A:$C,3,FALSE)&amp;"")</f>
        <v/>
      </c>
    </row>
    <row r="1016">
      <c r="A1016" s="31" t="n">
        <v>46338.86458333334</v>
      </c>
      <c r="B1016" s="32" t="inlineStr">
        <is>
          <t>Camila O'Brien</t>
        </is>
      </c>
      <c r="C1016" s="32" t="inlineStr">
        <is>
          <t>Daniel O'Brien</t>
        </is>
      </c>
      <c r="D1016" s="33" t="n">
        <v>150</v>
      </c>
      <c r="E1016" s="32" t="inlineStr">
        <is>
          <t>OneCause</t>
        </is>
      </c>
      <c r="F1016" s="34">
        <f>IF(A1016="","",IFERROR(INT(A1016),"check date"))</f>
        <v/>
      </c>
      <c r="G1016" s="35">
        <f>IF(B1016="","",IFERROR(INDEX(Students!$A:$A,MATCH(TRIM(B1016),Students!$A:$A,0)),"NOT ON LIST"))</f>
        <v/>
      </c>
      <c r="H1016" s="35">
        <f>IF(OR(G1016="",G1016="NOT ON LIST"),"",VLOOKUP(G1016,Students!$A:$C,2,FALSE))</f>
        <v/>
      </c>
      <c r="I1016" s="35">
        <f>IF(OR(G1016="",G1016="NOT ON LIST"),"",VLOOKUP(G1016,Students!$A:$C,3,FALSE)&amp;"")</f>
        <v/>
      </c>
    </row>
    <row r="1017">
      <c r="A1017" s="31" t="n">
        <v>46338</v>
      </c>
      <c r="B1017" s="32" t="inlineStr">
        <is>
          <t>Emma Sanchez</t>
        </is>
      </c>
      <c r="C1017" s="32" t="inlineStr">
        <is>
          <t>Ava Sanchez</t>
        </is>
      </c>
      <c r="D1017" s="33" t="n">
        <v>150</v>
      </c>
      <c r="E1017" s="32" t="inlineStr">
        <is>
          <t>Check</t>
        </is>
      </c>
      <c r="F1017" s="34">
        <f>IF(A1017="","",IFERROR(INT(A1017),"check date"))</f>
        <v/>
      </c>
      <c r="G1017" s="35">
        <f>IF(B1017="","",IFERROR(INDEX(Students!$A:$A,MATCH(TRIM(B1017),Students!$A:$A,0)),"NOT ON LIST"))</f>
        <v/>
      </c>
      <c r="H1017" s="35">
        <f>IF(OR(G1017="",G1017="NOT ON LIST"),"",VLOOKUP(G1017,Students!$A:$C,2,FALSE))</f>
        <v/>
      </c>
      <c r="I1017" s="35">
        <f>IF(OR(G1017="",G1017="NOT ON LIST"),"",VLOOKUP(G1017,Students!$A:$C,3,FALSE)&amp;"")</f>
        <v/>
      </c>
    </row>
    <row r="1018">
      <c r="A1018" s="31" t="n">
        <v>46325.52083333334</v>
      </c>
      <c r="B1018" s="32" t="inlineStr">
        <is>
          <t>Benjamin Nguyen</t>
        </is>
      </c>
      <c r="C1018" s="32" t="inlineStr">
        <is>
          <t>James Nguyen</t>
        </is>
      </c>
      <c r="D1018" s="33" t="n">
        <v>25</v>
      </c>
      <c r="E1018" s="32" t="inlineStr">
        <is>
          <t>OneCause</t>
        </is>
      </c>
      <c r="F1018" s="34">
        <f>IF(A1018="","",IFERROR(INT(A1018),"check date"))</f>
        <v/>
      </c>
      <c r="G1018" s="35">
        <f>IF(B1018="","",IFERROR(INDEX(Students!$A:$A,MATCH(TRIM(B1018),Students!$A:$A,0)),"NOT ON LIST"))</f>
        <v/>
      </c>
      <c r="H1018" s="35">
        <f>IF(OR(G1018="",G1018="NOT ON LIST"),"",VLOOKUP(G1018,Students!$A:$C,2,FALSE))</f>
        <v/>
      </c>
      <c r="I1018" s="35">
        <f>IF(OR(G1018="",G1018="NOT ON LIST"),"",VLOOKUP(G1018,Students!$A:$C,3,FALSE)&amp;"")</f>
        <v/>
      </c>
    </row>
    <row r="1019">
      <c r="A1019" s="31" t="n">
        <v>46331.70833333334</v>
      </c>
      <c r="B1019" s="32" t="inlineStr">
        <is>
          <t>Adrian Lopez</t>
        </is>
      </c>
      <c r="C1019" s="32" t="inlineStr">
        <is>
          <t>Elena Lopez</t>
        </is>
      </c>
      <c r="D1019" s="33" t="n">
        <v>50</v>
      </c>
      <c r="E1019" s="32" t="inlineStr">
        <is>
          <t>OneCause</t>
        </is>
      </c>
      <c r="F1019" s="34">
        <f>IF(A1019="","",IFERROR(INT(A1019),"check date"))</f>
        <v/>
      </c>
      <c r="G1019" s="35">
        <f>IF(B1019="","",IFERROR(INDEX(Students!$A:$A,MATCH(TRIM(B1019),Students!$A:$A,0)),"NOT ON LIST"))</f>
        <v/>
      </c>
      <c r="H1019" s="35">
        <f>IF(OR(G1019="",G1019="NOT ON LIST"),"",VLOOKUP(G1019,Students!$A:$C,2,FALSE))</f>
        <v/>
      </c>
      <c r="I1019" s="35">
        <f>IF(OR(G1019="",G1019="NOT ON LIST"),"",VLOOKUP(G1019,Students!$A:$C,3,FALSE)&amp;"")</f>
        <v/>
      </c>
    </row>
    <row r="1020">
      <c r="A1020" s="31" t="n">
        <v>46338.84375</v>
      </c>
      <c r="B1020" s="32" t="inlineStr">
        <is>
          <t>Joseph Sanchez</t>
        </is>
      </c>
      <c r="C1020" s="32" t="inlineStr">
        <is>
          <t>Harper Sanchez</t>
        </is>
      </c>
      <c r="D1020" s="33" t="n">
        <v>50</v>
      </c>
      <c r="E1020" s="32" t="inlineStr">
        <is>
          <t>OneCause</t>
        </is>
      </c>
      <c r="F1020" s="34">
        <f>IF(A1020="","",IFERROR(INT(A1020),"check date"))</f>
        <v/>
      </c>
      <c r="G1020" s="35">
        <f>IF(B1020="","",IFERROR(INDEX(Students!$A:$A,MATCH(TRIM(B1020),Students!$A:$A,0)),"NOT ON LIST"))</f>
        <v/>
      </c>
      <c r="H1020" s="35">
        <f>IF(OR(G1020="",G1020="NOT ON LIST"),"",VLOOKUP(G1020,Students!$A:$C,2,FALSE))</f>
        <v/>
      </c>
      <c r="I1020" s="35">
        <f>IF(OR(G1020="",G1020="NOT ON LIST"),"",VLOOKUP(G1020,Students!$A:$C,3,FALSE)&amp;"")</f>
        <v/>
      </c>
    </row>
    <row r="1021">
      <c r="A1021" s="31" t="n">
        <v>46325.79166666666</v>
      </c>
      <c r="B1021" s="32" t="inlineStr">
        <is>
          <t>Daniel Johnson</t>
        </is>
      </c>
      <c r="C1021" s="32" t="inlineStr">
        <is>
          <t>Nicolas Johnson</t>
        </is>
      </c>
      <c r="D1021" s="33" t="n">
        <v>20</v>
      </c>
      <c r="E1021" s="32" t="inlineStr">
        <is>
          <t>OneCause</t>
        </is>
      </c>
      <c r="F1021" s="34">
        <f>IF(A1021="","",IFERROR(INT(A1021),"check date"))</f>
        <v/>
      </c>
      <c r="G1021" s="35">
        <f>IF(B1021="","",IFERROR(INDEX(Students!$A:$A,MATCH(TRIM(B1021),Students!$A:$A,0)),"NOT ON LIST"))</f>
        <v/>
      </c>
      <c r="H1021" s="35">
        <f>IF(OR(G1021="",G1021="NOT ON LIST"),"",VLOOKUP(G1021,Students!$A:$C,2,FALSE))</f>
        <v/>
      </c>
      <c r="I1021" s="35">
        <f>IF(OR(G1021="",G1021="NOT ON LIST"),"",VLOOKUP(G1021,Students!$A:$C,3,FALSE)&amp;"")</f>
        <v/>
      </c>
    </row>
    <row r="1022">
      <c r="A1022" s="31" t="n">
        <v>46328.76041666666</v>
      </c>
      <c r="B1022" s="32" t="inlineStr">
        <is>
          <t>Joseph Ryan</t>
        </is>
      </c>
      <c r="C1022" s="32" t="inlineStr">
        <is>
          <t>Isabella Ryan</t>
        </is>
      </c>
      <c r="D1022" s="33" t="n">
        <v>40</v>
      </c>
      <c r="E1022" s="32" t="inlineStr">
        <is>
          <t>OneCause</t>
        </is>
      </c>
      <c r="F1022" s="34">
        <f>IF(A1022="","",IFERROR(INT(A1022),"check date"))</f>
        <v/>
      </c>
      <c r="G1022" s="35">
        <f>IF(B1022="","",IFERROR(INDEX(Students!$A:$A,MATCH(TRIM(B1022),Students!$A:$A,0)),"NOT ON LIST"))</f>
        <v/>
      </c>
      <c r="H1022" s="35">
        <f>IF(OR(G1022="",G1022="NOT ON LIST"),"",VLOOKUP(G1022,Students!$A:$C,2,FALSE))</f>
        <v/>
      </c>
      <c r="I1022" s="35">
        <f>IF(OR(G1022="",G1022="NOT ON LIST"),"",VLOOKUP(G1022,Students!$A:$C,3,FALSE)&amp;"")</f>
        <v/>
      </c>
    </row>
    <row r="1023">
      <c r="A1023" s="31" t="n">
        <v>46338.60416666666</v>
      </c>
      <c r="B1023" s="32" t="inlineStr">
        <is>
          <t>Sofia Lopez</t>
        </is>
      </c>
      <c r="C1023" s="32" t="inlineStr">
        <is>
          <t>Daniel Lopez</t>
        </is>
      </c>
      <c r="D1023" s="33" t="n">
        <v>100</v>
      </c>
      <c r="E1023" s="32" t="inlineStr">
        <is>
          <t>OneCause</t>
        </is>
      </c>
      <c r="F1023" s="34">
        <f>IF(A1023="","",IFERROR(INT(A1023),"check date"))</f>
        <v/>
      </c>
      <c r="G1023" s="35">
        <f>IF(B1023="","",IFERROR(INDEX(Students!$A:$A,MATCH(TRIM(B1023),Students!$A:$A,0)),"NOT ON LIST"))</f>
        <v/>
      </c>
      <c r="H1023" s="35">
        <f>IF(OR(G1023="",G1023="NOT ON LIST"),"",VLOOKUP(G1023,Students!$A:$C,2,FALSE))</f>
        <v/>
      </c>
      <c r="I1023" s="35">
        <f>IF(OR(G1023="",G1023="NOT ON LIST"),"",VLOOKUP(G1023,Students!$A:$C,3,FALSE)&amp;"")</f>
        <v/>
      </c>
    </row>
    <row r="1024">
      <c r="A1024" s="31" t="n">
        <v>46337.32291666666</v>
      </c>
      <c r="B1024" s="32" t="inlineStr">
        <is>
          <t>Mateo Williams</t>
        </is>
      </c>
      <c r="C1024" s="32" t="inlineStr">
        <is>
          <t>Valentina Williams</t>
        </is>
      </c>
      <c r="D1024" s="33" t="n">
        <v>40</v>
      </c>
      <c r="E1024" s="32" t="inlineStr">
        <is>
          <t>OneCause</t>
        </is>
      </c>
      <c r="F1024" s="34">
        <f>IF(A1024="","",IFERROR(INT(A1024),"check date"))</f>
        <v/>
      </c>
      <c r="G1024" s="35">
        <f>IF(B1024="","",IFERROR(INDEX(Students!$A:$A,MATCH(TRIM(B1024),Students!$A:$A,0)),"NOT ON LIST"))</f>
        <v/>
      </c>
      <c r="H1024" s="35">
        <f>IF(OR(G1024="",G1024="NOT ON LIST"),"",VLOOKUP(G1024,Students!$A:$C,2,FALSE))</f>
        <v/>
      </c>
      <c r="I1024" s="35">
        <f>IF(OR(G1024="",G1024="NOT ON LIST"),"",VLOOKUP(G1024,Students!$A:$C,3,FALSE)&amp;"")</f>
        <v/>
      </c>
    </row>
    <row r="1025">
      <c r="A1025" s="31" t="n">
        <v>46325</v>
      </c>
      <c r="B1025" s="32" t="inlineStr">
        <is>
          <t>Clara Nguyen</t>
        </is>
      </c>
      <c r="C1025" s="32" t="inlineStr">
        <is>
          <t>Benjamin Nguyen</t>
        </is>
      </c>
      <c r="D1025" s="33" t="n">
        <v>20</v>
      </c>
      <c r="E1025" s="32" t="inlineStr">
        <is>
          <t>Check</t>
        </is>
      </c>
      <c r="F1025" s="34">
        <f>IF(A1025="","",IFERROR(INT(A1025),"check date"))</f>
        <v/>
      </c>
      <c r="G1025" s="35">
        <f>IF(B1025="","",IFERROR(INDEX(Students!$A:$A,MATCH(TRIM(B1025),Students!$A:$A,0)),"NOT ON LIST"))</f>
        <v/>
      </c>
      <c r="H1025" s="35">
        <f>IF(OR(G1025="",G1025="NOT ON LIST"),"",VLOOKUP(G1025,Students!$A:$C,2,FALSE))</f>
        <v/>
      </c>
      <c r="I1025" s="35">
        <f>IF(OR(G1025="",G1025="NOT ON LIST"),"",VLOOKUP(G1025,Students!$A:$C,3,FALSE)&amp;"")</f>
        <v/>
      </c>
    </row>
    <row r="1026">
      <c r="A1026" s="31" t="n">
        <v>46339.73958333334</v>
      </c>
      <c r="B1026" s="32" t="inlineStr">
        <is>
          <t>Aria Ramirez</t>
        </is>
      </c>
      <c r="C1026" s="32" t="inlineStr">
        <is>
          <t>Thomas Ramirez</t>
        </is>
      </c>
      <c r="D1026" s="33" t="n">
        <v>50</v>
      </c>
      <c r="E1026" s="32" t="inlineStr">
        <is>
          <t>OneCause</t>
        </is>
      </c>
      <c r="F1026" s="34">
        <f>IF(A1026="","",IFERROR(INT(A1026),"check date"))</f>
        <v/>
      </c>
      <c r="G1026" s="35">
        <f>IF(B1026="","",IFERROR(INDEX(Students!$A:$A,MATCH(TRIM(B1026),Students!$A:$A,0)),"NOT ON LIST"))</f>
        <v/>
      </c>
      <c r="H1026" s="35">
        <f>IF(OR(G1026="",G1026="NOT ON LIST"),"",VLOOKUP(G1026,Students!$A:$C,2,FALSE))</f>
        <v/>
      </c>
      <c r="I1026" s="35">
        <f>IF(OR(G1026="",G1026="NOT ON LIST"),"",VLOOKUP(G1026,Students!$A:$C,3,FALSE)&amp;"")</f>
        <v/>
      </c>
    </row>
    <row r="1027">
      <c r="A1027" s="31" t="n">
        <v>46339.78125</v>
      </c>
      <c r="B1027" s="32" t="inlineStr">
        <is>
          <t>Zoe Smith</t>
        </is>
      </c>
      <c r="C1027" s="32" t="inlineStr">
        <is>
          <t>Gabriel Smith</t>
        </is>
      </c>
      <c r="D1027" s="33" t="n">
        <v>25</v>
      </c>
      <c r="E1027" s="32" t="inlineStr">
        <is>
          <t>OneCause</t>
        </is>
      </c>
      <c r="F1027" s="34">
        <f>IF(A1027="","",IFERROR(INT(A1027),"check date"))</f>
        <v/>
      </c>
      <c r="G1027" s="35">
        <f>IF(B1027="","",IFERROR(INDEX(Students!$A:$A,MATCH(TRIM(B1027),Students!$A:$A,0)),"NOT ON LIST"))</f>
        <v/>
      </c>
      <c r="H1027" s="35">
        <f>IF(OR(G1027="",G1027="NOT ON LIST"),"",VLOOKUP(G1027,Students!$A:$C,2,FALSE))</f>
        <v/>
      </c>
      <c r="I1027" s="35">
        <f>IF(OR(G1027="",G1027="NOT ON LIST"),"",VLOOKUP(G1027,Students!$A:$C,3,FALSE)&amp;"")</f>
        <v/>
      </c>
    </row>
    <row r="1028">
      <c r="A1028" s="31" t="n">
        <v>46329.35416666666</v>
      </c>
      <c r="B1028" s="32" t="inlineStr">
        <is>
          <t>Isabella Johnson</t>
        </is>
      </c>
      <c r="C1028" s="32" t="inlineStr">
        <is>
          <t>Zoe Johnson</t>
        </is>
      </c>
      <c r="D1028" s="33" t="n">
        <v>100</v>
      </c>
      <c r="E1028" s="32" t="inlineStr">
        <is>
          <t>OneCause</t>
        </is>
      </c>
      <c r="F1028" s="34">
        <f>IF(A1028="","",IFERROR(INT(A1028),"check date"))</f>
        <v/>
      </c>
      <c r="G1028" s="35">
        <f>IF(B1028="","",IFERROR(INDEX(Students!$A:$A,MATCH(TRIM(B1028),Students!$A:$A,0)),"NOT ON LIST"))</f>
        <v/>
      </c>
      <c r="H1028" s="35">
        <f>IF(OR(G1028="",G1028="NOT ON LIST"),"",VLOOKUP(G1028,Students!$A:$C,2,FALSE))</f>
        <v/>
      </c>
      <c r="I1028" s="35">
        <f>IF(OR(G1028="",G1028="NOT ON LIST"),"",VLOOKUP(G1028,Students!$A:$C,3,FALSE)&amp;"")</f>
        <v/>
      </c>
    </row>
    <row r="1029">
      <c r="A1029" s="31" t="n">
        <v>46331.30208333334</v>
      </c>
      <c r="B1029" s="32" t="inlineStr">
        <is>
          <t>Thomas Williams</t>
        </is>
      </c>
      <c r="C1029" s="32" t="inlineStr">
        <is>
          <t>Ava Williams</t>
        </is>
      </c>
      <c r="D1029" s="33" t="n">
        <v>50</v>
      </c>
      <c r="E1029" s="32" t="inlineStr">
        <is>
          <t>OneCause</t>
        </is>
      </c>
      <c r="F1029" s="34">
        <f>IF(A1029="","",IFERROR(INT(A1029),"check date"))</f>
        <v/>
      </c>
      <c r="G1029" s="35">
        <f>IF(B1029="","",IFERROR(INDEX(Students!$A:$A,MATCH(TRIM(B1029),Students!$A:$A,0)),"NOT ON LIST"))</f>
        <v/>
      </c>
      <c r="H1029" s="35">
        <f>IF(OR(G1029="",G1029="NOT ON LIST"),"",VLOOKUP(G1029,Students!$A:$C,2,FALSE))</f>
        <v/>
      </c>
      <c r="I1029" s="35">
        <f>IF(OR(G1029="",G1029="NOT ON LIST"),"",VLOOKUP(G1029,Students!$A:$C,3,FALSE)&amp;"")</f>
        <v/>
      </c>
    </row>
    <row r="1030">
      <c r="A1030" s="31" t="n">
        <v>46325.61458333334</v>
      </c>
      <c r="B1030" s="32" t="inlineStr">
        <is>
          <t>Noah Hernandez</t>
        </is>
      </c>
      <c r="C1030" s="32" t="inlineStr">
        <is>
          <t>Chloe Hernandez</t>
        </is>
      </c>
      <c r="D1030" s="33" t="n">
        <v>25</v>
      </c>
      <c r="E1030" s="32" t="inlineStr">
        <is>
          <t>OneCause</t>
        </is>
      </c>
      <c r="F1030" s="34">
        <f>IF(A1030="","",IFERROR(INT(A1030),"check date"))</f>
        <v/>
      </c>
      <c r="G1030" s="35">
        <f>IF(B1030="","",IFERROR(INDEX(Students!$A:$A,MATCH(TRIM(B1030),Students!$A:$A,0)),"NOT ON LIST"))</f>
        <v/>
      </c>
      <c r="H1030" s="35">
        <f>IF(OR(G1030="",G1030="NOT ON LIST"),"",VLOOKUP(G1030,Students!$A:$C,2,FALSE))</f>
        <v/>
      </c>
      <c r="I1030" s="35">
        <f>IF(OR(G1030="",G1030="NOT ON LIST"),"",VLOOKUP(G1030,Students!$A:$C,3,FALSE)&amp;"")</f>
        <v/>
      </c>
    </row>
    <row r="1031">
      <c r="A1031" s="31" t="n">
        <v>46338.65625</v>
      </c>
      <c r="B1031" s="32" t="inlineStr">
        <is>
          <t>Santiago Castillo</t>
        </is>
      </c>
      <c r="C1031" s="32" t="inlineStr">
        <is>
          <t>Olivia Castillo</t>
        </is>
      </c>
      <c r="D1031" s="33" t="n">
        <v>25</v>
      </c>
      <c r="E1031" s="32" t="inlineStr">
        <is>
          <t>OneCause</t>
        </is>
      </c>
      <c r="F1031" s="34">
        <f>IF(A1031="","",IFERROR(INT(A1031),"check date"))</f>
        <v/>
      </c>
      <c r="G1031" s="35">
        <f>IF(B1031="","",IFERROR(INDEX(Students!$A:$A,MATCH(TRIM(B1031),Students!$A:$A,0)),"NOT ON LIST"))</f>
        <v/>
      </c>
      <c r="H1031" s="35">
        <f>IF(OR(G1031="",G1031="NOT ON LIST"),"",VLOOKUP(G1031,Students!$A:$C,2,FALSE))</f>
        <v/>
      </c>
      <c r="I1031" s="35">
        <f>IF(OR(G1031="",G1031="NOT ON LIST"),"",VLOOKUP(G1031,Students!$A:$C,3,FALSE)&amp;"")</f>
        <v/>
      </c>
    </row>
    <row r="1032">
      <c r="A1032" s="31" t="n">
        <v>46339.86458333334</v>
      </c>
      <c r="B1032" s="32" t="inlineStr">
        <is>
          <t>Camila Patel</t>
        </is>
      </c>
      <c r="C1032" s="32" t="inlineStr">
        <is>
          <t>Zoe Patel</t>
        </is>
      </c>
      <c r="D1032" s="33" t="n">
        <v>25</v>
      </c>
      <c r="E1032" s="32" t="inlineStr">
        <is>
          <t>OneCause</t>
        </is>
      </c>
      <c r="F1032" s="34">
        <f>IF(A1032="","",IFERROR(INT(A1032),"check date"))</f>
        <v/>
      </c>
      <c r="G1032" s="35">
        <f>IF(B1032="","",IFERROR(INDEX(Students!$A:$A,MATCH(TRIM(B1032),Students!$A:$A,0)),"NOT ON LIST"))</f>
        <v/>
      </c>
      <c r="H1032" s="35">
        <f>IF(OR(G1032="",G1032="NOT ON LIST"),"",VLOOKUP(G1032,Students!$A:$C,2,FALSE))</f>
        <v/>
      </c>
      <c r="I1032" s="35">
        <f>IF(OR(G1032="",G1032="NOT ON LIST"),"",VLOOKUP(G1032,Students!$A:$C,3,FALSE)&amp;"")</f>
        <v/>
      </c>
    </row>
    <row r="1033">
      <c r="A1033" s="31" t="n">
        <v>46338.30208333334</v>
      </c>
      <c r="B1033" s="32" t="inlineStr">
        <is>
          <t>Chloe Patel</t>
        </is>
      </c>
      <c r="C1033" s="32" t="inlineStr">
        <is>
          <t>Harper Patel</t>
        </is>
      </c>
      <c r="D1033" s="33" t="n">
        <v>25</v>
      </c>
      <c r="E1033" s="32" t="inlineStr">
        <is>
          <t>OneCause</t>
        </is>
      </c>
      <c r="F1033" s="34">
        <f>IF(A1033="","",IFERROR(INT(A1033),"check date"))</f>
        <v/>
      </c>
      <c r="G1033" s="35">
        <f>IF(B1033="","",IFERROR(INDEX(Students!$A:$A,MATCH(TRIM(B1033),Students!$A:$A,0)),"NOT ON LIST"))</f>
        <v/>
      </c>
      <c r="H1033" s="35">
        <f>IF(OR(G1033="",G1033="NOT ON LIST"),"",VLOOKUP(G1033,Students!$A:$C,2,FALSE))</f>
        <v/>
      </c>
      <c r="I1033" s="35">
        <f>IF(OR(G1033="",G1033="NOT ON LIST"),"",VLOOKUP(G1033,Students!$A:$C,3,FALSE)&amp;"")</f>
        <v/>
      </c>
    </row>
    <row r="1034">
      <c r="A1034" s="31" t="n">
        <v>46338.6875</v>
      </c>
      <c r="B1034" s="32" t="inlineStr">
        <is>
          <t>Sofia Nguyen</t>
        </is>
      </c>
      <c r="C1034" s="32" t="inlineStr">
        <is>
          <t>Isabella Nguyen</t>
        </is>
      </c>
      <c r="D1034" s="33" t="n">
        <v>25</v>
      </c>
      <c r="E1034" s="32" t="inlineStr">
        <is>
          <t>OneCause</t>
        </is>
      </c>
      <c r="F1034" s="34">
        <f>IF(A1034="","",IFERROR(INT(A1034),"check date"))</f>
        <v/>
      </c>
      <c r="G1034" s="35">
        <f>IF(B1034="","",IFERROR(INDEX(Students!$A:$A,MATCH(TRIM(B1034),Students!$A:$A,0)),"NOT ON LIST"))</f>
        <v/>
      </c>
      <c r="H1034" s="35">
        <f>IF(OR(G1034="",G1034="NOT ON LIST"),"",VLOOKUP(G1034,Students!$A:$C,2,FALSE))</f>
        <v/>
      </c>
      <c r="I1034" s="35">
        <f>IF(OR(G1034="",G1034="NOT ON LIST"),"",VLOOKUP(G1034,Students!$A:$C,3,FALSE)&amp;"")</f>
        <v/>
      </c>
    </row>
    <row r="1035">
      <c r="A1035" s="31" t="n">
        <v>46330.80208333334</v>
      </c>
      <c r="B1035" s="32" t="inlineStr">
        <is>
          <t>Zoe Chavez</t>
        </is>
      </c>
      <c r="C1035" s="32" t="inlineStr">
        <is>
          <t>Benjamin Chavez</t>
        </is>
      </c>
      <c r="D1035" s="33" t="n">
        <v>100</v>
      </c>
      <c r="E1035" s="32" t="inlineStr">
        <is>
          <t>OneCause</t>
        </is>
      </c>
      <c r="F1035" s="34">
        <f>IF(A1035="","",IFERROR(INT(A1035),"check date"))</f>
        <v/>
      </c>
      <c r="G1035" s="35">
        <f>IF(B1035="","",IFERROR(INDEX(Students!$A:$A,MATCH(TRIM(B1035),Students!$A:$A,0)),"NOT ON LIST"))</f>
        <v/>
      </c>
      <c r="H1035" s="35">
        <f>IF(OR(G1035="",G1035="NOT ON LIST"),"",VLOOKUP(G1035,Students!$A:$C,2,FALSE))</f>
        <v/>
      </c>
      <c r="I1035" s="35">
        <f>IF(OR(G1035="",G1035="NOT ON LIST"),"",VLOOKUP(G1035,Students!$A:$C,3,FALSE)&amp;"")</f>
        <v/>
      </c>
    </row>
    <row r="1036">
      <c r="A1036" s="31" t="n">
        <v>46325.69791666666</v>
      </c>
      <c r="B1036" s="32" t="inlineStr">
        <is>
          <t>Clara Mendoza</t>
        </is>
      </c>
      <c r="C1036" s="32" t="inlineStr">
        <is>
          <t>Zoe Mendoza</t>
        </is>
      </c>
      <c r="D1036" s="33" t="n">
        <v>40</v>
      </c>
      <c r="E1036" s="32" t="inlineStr">
        <is>
          <t>OneCause</t>
        </is>
      </c>
      <c r="F1036" s="34">
        <f>IF(A1036="","",IFERROR(INT(A1036),"check date"))</f>
        <v/>
      </c>
      <c r="G1036" s="35">
        <f>IF(B1036="","",IFERROR(INDEX(Students!$A:$A,MATCH(TRIM(B1036),Students!$A:$A,0)),"NOT ON LIST"))</f>
        <v/>
      </c>
      <c r="H1036" s="35">
        <f>IF(OR(G1036="",G1036="NOT ON LIST"),"",VLOOKUP(G1036,Students!$A:$C,2,FALSE))</f>
        <v/>
      </c>
      <c r="I1036" s="35">
        <f>IF(OR(G1036="",G1036="NOT ON LIST"),"",VLOOKUP(G1036,Students!$A:$C,3,FALSE)&amp;"")</f>
        <v/>
      </c>
    </row>
    <row r="1037">
      <c r="A1037" s="31" t="n">
        <v>46332.84375</v>
      </c>
      <c r="B1037" s="32" t="inlineStr">
        <is>
          <t>Zoe Hernandez</t>
        </is>
      </c>
      <c r="C1037" s="32" t="inlineStr">
        <is>
          <t>Isaac Hernandez</t>
        </is>
      </c>
      <c r="D1037" s="33" t="n">
        <v>25</v>
      </c>
      <c r="E1037" s="32" t="inlineStr">
        <is>
          <t>OneCause</t>
        </is>
      </c>
      <c r="F1037" s="34">
        <f>IF(A1037="","",IFERROR(INT(A1037),"check date"))</f>
        <v/>
      </c>
      <c r="G1037" s="35">
        <f>IF(B1037="","",IFERROR(INDEX(Students!$A:$A,MATCH(TRIM(B1037),Students!$A:$A,0)),"NOT ON LIST"))</f>
        <v/>
      </c>
      <c r="H1037" s="35">
        <f>IF(OR(G1037="",G1037="NOT ON LIST"),"",VLOOKUP(G1037,Students!$A:$C,2,FALSE))</f>
        <v/>
      </c>
      <c r="I1037" s="35">
        <f>IF(OR(G1037="",G1037="NOT ON LIST"),"",VLOOKUP(G1037,Students!$A:$C,3,FALSE)&amp;"")</f>
        <v/>
      </c>
    </row>
    <row r="1038">
      <c r="A1038" s="31" t="n">
        <v>46328.66666666666</v>
      </c>
      <c r="B1038" s="32" t="inlineStr">
        <is>
          <t>David Cruz</t>
        </is>
      </c>
      <c r="C1038" s="32" t="inlineStr">
        <is>
          <t>Lily Cruz</t>
        </is>
      </c>
      <c r="D1038" s="33" t="n">
        <v>40</v>
      </c>
      <c r="E1038" s="32" t="inlineStr">
        <is>
          <t>OneCause</t>
        </is>
      </c>
      <c r="F1038" s="34">
        <f>IF(A1038="","",IFERROR(INT(A1038),"check date"))</f>
        <v/>
      </c>
      <c r="G1038" s="35">
        <f>IF(B1038="","",IFERROR(INDEX(Students!$A:$A,MATCH(TRIM(B1038),Students!$A:$A,0)),"NOT ON LIST"))</f>
        <v/>
      </c>
      <c r="H1038" s="35">
        <f>IF(OR(G1038="",G1038="NOT ON LIST"),"",VLOOKUP(G1038,Students!$A:$C,2,FALSE))</f>
        <v/>
      </c>
      <c r="I1038" s="35">
        <f>IF(OR(G1038="",G1038="NOT ON LIST"),"",VLOOKUP(G1038,Students!$A:$C,3,FALSE)&amp;"")</f>
        <v/>
      </c>
    </row>
    <row r="1039">
      <c r="A1039" s="31" t="n">
        <v>46333.4375</v>
      </c>
      <c r="B1039" s="32" t="inlineStr">
        <is>
          <t>Grace Reyes</t>
        </is>
      </c>
      <c r="C1039" s="32" t="inlineStr">
        <is>
          <t>Diego Reyes</t>
        </is>
      </c>
      <c r="D1039" s="33" t="n">
        <v>75</v>
      </c>
      <c r="E1039" s="32" t="inlineStr">
        <is>
          <t>OneCause</t>
        </is>
      </c>
      <c r="F1039" s="34">
        <f>IF(A1039="","",IFERROR(INT(A1039),"check date"))</f>
        <v/>
      </c>
      <c r="G1039" s="35">
        <f>IF(B1039="","",IFERROR(INDEX(Students!$A:$A,MATCH(TRIM(B1039),Students!$A:$A,0)),"NOT ON LIST"))</f>
        <v/>
      </c>
      <c r="H1039" s="35">
        <f>IF(OR(G1039="",G1039="NOT ON LIST"),"",VLOOKUP(G1039,Students!$A:$C,2,FALSE))</f>
        <v/>
      </c>
      <c r="I1039" s="35">
        <f>IF(OR(G1039="",G1039="NOT ON LIST"),"",VLOOKUP(G1039,Students!$A:$C,3,FALSE)&amp;"")</f>
        <v/>
      </c>
    </row>
    <row r="1040">
      <c r="A1040" s="31" t="n">
        <v>46330.78125</v>
      </c>
      <c r="B1040" s="32" t="inlineStr">
        <is>
          <t>Amelia Rodriguez</t>
        </is>
      </c>
      <c r="C1040" s="32" t="inlineStr">
        <is>
          <t>Isabella Rodriguez</t>
        </is>
      </c>
      <c r="D1040" s="33" t="n">
        <v>10</v>
      </c>
      <c r="E1040" s="32" t="inlineStr">
        <is>
          <t>OneCause</t>
        </is>
      </c>
      <c r="F1040" s="34">
        <f>IF(A1040="","",IFERROR(INT(A1040),"check date"))</f>
        <v/>
      </c>
      <c r="G1040" s="35">
        <f>IF(B1040="","",IFERROR(INDEX(Students!$A:$A,MATCH(TRIM(B1040),Students!$A:$A,0)),"NOT ON LIST"))</f>
        <v/>
      </c>
      <c r="H1040" s="35">
        <f>IF(OR(G1040="",G1040="NOT ON LIST"),"",VLOOKUP(G1040,Students!$A:$C,2,FALSE))</f>
        <v/>
      </c>
      <c r="I1040" s="35">
        <f>IF(OR(G1040="",G1040="NOT ON LIST"),"",VLOOKUP(G1040,Students!$A:$C,3,FALSE)&amp;"")</f>
        <v/>
      </c>
    </row>
    <row r="1041">
      <c r="A1041" s="31" t="n">
        <v>46338.73958333334</v>
      </c>
      <c r="B1041" s="32" t="inlineStr">
        <is>
          <t>Thomas Cruz</t>
        </is>
      </c>
      <c r="C1041" s="32" t="inlineStr">
        <is>
          <t>Gabriel Cruz</t>
        </is>
      </c>
      <c r="D1041" s="33" t="n">
        <v>50</v>
      </c>
      <c r="E1041" s="32" t="inlineStr">
        <is>
          <t>OneCause</t>
        </is>
      </c>
      <c r="F1041" s="34">
        <f>IF(A1041="","",IFERROR(INT(A1041),"check date"))</f>
        <v/>
      </c>
      <c r="G1041" s="35">
        <f>IF(B1041="","",IFERROR(INDEX(Students!$A:$A,MATCH(TRIM(B1041),Students!$A:$A,0)),"NOT ON LIST"))</f>
        <v/>
      </c>
      <c r="H1041" s="35">
        <f>IF(OR(G1041="",G1041="NOT ON LIST"),"",VLOOKUP(G1041,Students!$A:$C,2,FALSE))</f>
        <v/>
      </c>
      <c r="I1041" s="35">
        <f>IF(OR(G1041="",G1041="NOT ON LIST"),"",VLOOKUP(G1041,Students!$A:$C,3,FALSE)&amp;"")</f>
        <v/>
      </c>
    </row>
    <row r="1042">
      <c r="A1042" s="31" t="n">
        <v>46327.32291666666</v>
      </c>
      <c r="B1042" s="32" t="inlineStr">
        <is>
          <t>Henry Alvarez</t>
        </is>
      </c>
      <c r="C1042" s="32" t="inlineStr">
        <is>
          <t>Lily Alvarez</t>
        </is>
      </c>
      <c r="D1042" s="33" t="n">
        <v>40</v>
      </c>
      <c r="E1042" s="32" t="inlineStr">
        <is>
          <t>OneCause</t>
        </is>
      </c>
      <c r="F1042" s="34">
        <f>IF(A1042="","",IFERROR(INT(A1042),"check date"))</f>
        <v/>
      </c>
      <c r="G1042" s="35">
        <f>IF(B1042="","",IFERROR(INDEX(Students!$A:$A,MATCH(TRIM(B1042),Students!$A:$A,0)),"NOT ON LIST"))</f>
        <v/>
      </c>
      <c r="H1042" s="35">
        <f>IF(OR(G1042="",G1042="NOT ON LIST"),"",VLOOKUP(G1042,Students!$A:$C,2,FALSE))</f>
        <v/>
      </c>
      <c r="I1042" s="35">
        <f>IF(OR(G1042="",G1042="NOT ON LIST"),"",VLOOKUP(G1042,Students!$A:$C,3,FALSE)&amp;"")</f>
        <v/>
      </c>
    </row>
    <row r="1043">
      <c r="A1043" s="31" t="n">
        <v>46331.69791666666</v>
      </c>
      <c r="B1043" s="32" t="inlineStr">
        <is>
          <t>Clara Lopez</t>
        </is>
      </c>
      <c r="C1043" s="32" t="inlineStr">
        <is>
          <t>Lily Lopez</t>
        </is>
      </c>
      <c r="D1043" s="33" t="n">
        <v>100</v>
      </c>
      <c r="E1043" s="32" t="inlineStr">
        <is>
          <t>OneCause</t>
        </is>
      </c>
      <c r="F1043" s="34">
        <f>IF(A1043="","",IFERROR(INT(A1043),"check date"))</f>
        <v/>
      </c>
      <c r="G1043" s="35">
        <f>IF(B1043="","",IFERROR(INDEX(Students!$A:$A,MATCH(TRIM(B1043),Students!$A:$A,0)),"NOT ON LIST"))</f>
        <v/>
      </c>
      <c r="H1043" s="35">
        <f>IF(OR(G1043="",G1043="NOT ON LIST"),"",VLOOKUP(G1043,Students!$A:$C,2,FALSE))</f>
        <v/>
      </c>
      <c r="I1043" s="35">
        <f>IF(OR(G1043="",G1043="NOT ON LIST"),"",VLOOKUP(G1043,Students!$A:$C,3,FALSE)&amp;"")</f>
        <v/>
      </c>
    </row>
    <row r="1044">
      <c r="A1044" s="31" t="n">
        <v>46329.88541666666</v>
      </c>
      <c r="B1044" s="32" t="inlineStr">
        <is>
          <t>Nicolas Chavez</t>
        </is>
      </c>
      <c r="C1044" s="32" t="inlineStr">
        <is>
          <t>Grace Chavez</t>
        </is>
      </c>
      <c r="D1044" s="33" t="n">
        <v>40</v>
      </c>
      <c r="E1044" s="32" t="inlineStr">
        <is>
          <t>OneCause</t>
        </is>
      </c>
      <c r="F1044" s="34">
        <f>IF(A1044="","",IFERROR(INT(A1044),"check date"))</f>
        <v/>
      </c>
      <c r="G1044" s="35">
        <f>IF(B1044="","",IFERROR(INDEX(Students!$A:$A,MATCH(TRIM(B1044),Students!$A:$A,0)),"NOT ON LIST"))</f>
        <v/>
      </c>
      <c r="H1044" s="35">
        <f>IF(OR(G1044="",G1044="NOT ON LIST"),"",VLOOKUP(G1044,Students!$A:$C,2,FALSE))</f>
        <v/>
      </c>
      <c r="I1044" s="35">
        <f>IF(OR(G1044="",G1044="NOT ON LIST"),"",VLOOKUP(G1044,Students!$A:$C,3,FALSE)&amp;"")</f>
        <v/>
      </c>
    </row>
    <row r="1045">
      <c r="A1045" s="31" t="n">
        <v>46325.51041666666</v>
      </c>
      <c r="B1045" s="32" t="inlineStr">
        <is>
          <t>Daniel Lopez</t>
        </is>
      </c>
      <c r="C1045" s="32" t="inlineStr">
        <is>
          <t>Grace Lopez</t>
        </is>
      </c>
      <c r="D1045" s="33" t="n">
        <v>50</v>
      </c>
      <c r="E1045" s="32" t="inlineStr">
        <is>
          <t>OneCause</t>
        </is>
      </c>
      <c r="F1045" s="34">
        <f>IF(A1045="","",IFERROR(INT(A1045),"check date"))</f>
        <v/>
      </c>
      <c r="G1045" s="35">
        <f>IF(B1045="","",IFERROR(INDEX(Students!$A:$A,MATCH(TRIM(B1045),Students!$A:$A,0)),"NOT ON LIST"))</f>
        <v/>
      </c>
      <c r="H1045" s="35">
        <f>IF(OR(G1045="",G1045="NOT ON LIST"),"",VLOOKUP(G1045,Students!$A:$C,2,FALSE))</f>
        <v/>
      </c>
      <c r="I1045" s="35">
        <f>IF(OR(G1045="",G1045="NOT ON LIST"),"",VLOOKUP(G1045,Students!$A:$C,3,FALSE)&amp;"")</f>
        <v/>
      </c>
    </row>
    <row r="1046">
      <c r="A1046" s="31" t="n">
        <v>46328.46875</v>
      </c>
      <c r="B1046" s="32" t="inlineStr">
        <is>
          <t>Nora Kim</t>
        </is>
      </c>
      <c r="C1046" s="32" t="inlineStr">
        <is>
          <t>Samuel Kim</t>
        </is>
      </c>
      <c r="D1046" s="33" t="n">
        <v>50</v>
      </c>
      <c r="E1046" s="32" t="inlineStr">
        <is>
          <t>OneCause</t>
        </is>
      </c>
      <c r="F1046" s="34">
        <f>IF(A1046="","",IFERROR(INT(A1046),"check date"))</f>
        <v/>
      </c>
      <c r="G1046" s="35">
        <f>IF(B1046="","",IFERROR(INDEX(Students!$A:$A,MATCH(TRIM(B1046),Students!$A:$A,0)),"NOT ON LIST"))</f>
        <v/>
      </c>
      <c r="H1046" s="35">
        <f>IF(OR(G1046="",G1046="NOT ON LIST"),"",VLOOKUP(G1046,Students!$A:$C,2,FALSE))</f>
        <v/>
      </c>
      <c r="I1046" s="35">
        <f>IF(OR(G1046="",G1046="NOT ON LIST"),"",VLOOKUP(G1046,Students!$A:$C,3,FALSE)&amp;"")</f>
        <v/>
      </c>
    </row>
    <row r="1047">
      <c r="A1047" s="31" t="n">
        <v>46336.34375</v>
      </c>
      <c r="B1047" s="32" t="inlineStr">
        <is>
          <t>Adrian Byrne</t>
        </is>
      </c>
      <c r="C1047" s="32" t="inlineStr">
        <is>
          <t>James Byrne</t>
        </is>
      </c>
      <c r="D1047" s="33" t="n">
        <v>100</v>
      </c>
      <c r="E1047" s="32" t="inlineStr">
        <is>
          <t>OneCause</t>
        </is>
      </c>
      <c r="F1047" s="34">
        <f>IF(A1047="","",IFERROR(INT(A1047),"check date"))</f>
        <v/>
      </c>
      <c r="G1047" s="35">
        <f>IF(B1047="","",IFERROR(INDEX(Students!$A:$A,MATCH(TRIM(B1047),Students!$A:$A,0)),"NOT ON LIST"))</f>
        <v/>
      </c>
      <c r="H1047" s="35">
        <f>IF(OR(G1047="",G1047="NOT ON LIST"),"",VLOOKUP(G1047,Students!$A:$C,2,FALSE))</f>
        <v/>
      </c>
      <c r="I1047" s="35">
        <f>IF(OR(G1047="",G1047="NOT ON LIST"),"",VLOOKUP(G1047,Students!$A:$C,3,FALSE)&amp;"")</f>
        <v/>
      </c>
    </row>
    <row r="1048">
      <c r="A1048" s="31" t="n">
        <v>46329.875</v>
      </c>
      <c r="B1048" s="32" t="inlineStr">
        <is>
          <t>Evelyn Rodriguez</t>
        </is>
      </c>
      <c r="C1048" s="32" t="inlineStr">
        <is>
          <t>Luna Rodriguez</t>
        </is>
      </c>
      <c r="D1048" s="33" t="n">
        <v>100</v>
      </c>
      <c r="E1048" s="32" t="inlineStr">
        <is>
          <t>OneCause</t>
        </is>
      </c>
      <c r="F1048" s="34">
        <f>IF(A1048="","",IFERROR(INT(A1048),"check date"))</f>
        <v/>
      </c>
      <c r="G1048" s="35">
        <f>IF(B1048="","",IFERROR(INDEX(Students!$A:$A,MATCH(TRIM(B1048),Students!$A:$A,0)),"NOT ON LIST"))</f>
        <v/>
      </c>
      <c r="H1048" s="35">
        <f>IF(OR(G1048="",G1048="NOT ON LIST"),"",VLOOKUP(G1048,Students!$A:$C,2,FALSE))</f>
        <v/>
      </c>
      <c r="I1048" s="35">
        <f>IF(OR(G1048="",G1048="NOT ON LIST"),"",VLOOKUP(G1048,Students!$A:$C,3,FALSE)&amp;"")</f>
        <v/>
      </c>
    </row>
    <row r="1049">
      <c r="A1049" s="31" t="n">
        <v>46337</v>
      </c>
      <c r="B1049" s="32" t="inlineStr">
        <is>
          <t>Nora Kim</t>
        </is>
      </c>
      <c r="C1049" s="32" t="inlineStr">
        <is>
          <t>Elena Kim</t>
        </is>
      </c>
      <c r="D1049" s="33" t="n">
        <v>50</v>
      </c>
      <c r="E1049" s="32" t="inlineStr">
        <is>
          <t>Cash</t>
        </is>
      </c>
      <c r="F1049" s="34">
        <f>IF(A1049="","",IFERROR(INT(A1049),"check date"))</f>
        <v/>
      </c>
      <c r="G1049" s="35">
        <f>IF(B1049="","",IFERROR(INDEX(Students!$A:$A,MATCH(TRIM(B1049),Students!$A:$A,0)),"NOT ON LIST"))</f>
        <v/>
      </c>
      <c r="H1049" s="35">
        <f>IF(OR(G1049="",G1049="NOT ON LIST"),"",VLOOKUP(G1049,Students!$A:$C,2,FALSE))</f>
        <v/>
      </c>
      <c r="I1049" s="35">
        <f>IF(OR(G1049="",G1049="NOT ON LIST"),"",VLOOKUP(G1049,Students!$A:$C,3,FALSE)&amp;"")</f>
        <v/>
      </c>
    </row>
    <row r="1050">
      <c r="A1050" s="31" t="n">
        <v>46338.86458333334</v>
      </c>
      <c r="B1050" s="32" t="inlineStr">
        <is>
          <t>David Vasquez</t>
        </is>
      </c>
      <c r="C1050" s="32" t="inlineStr">
        <is>
          <t>Grace Vasquez</t>
        </is>
      </c>
      <c r="D1050" s="33" t="n">
        <v>50</v>
      </c>
      <c r="E1050" s="32" t="inlineStr">
        <is>
          <t>OneCause</t>
        </is>
      </c>
      <c r="F1050" s="34">
        <f>IF(A1050="","",IFERROR(INT(A1050),"check date"))</f>
        <v/>
      </c>
      <c r="G1050" s="35">
        <f>IF(B1050="","",IFERROR(INDEX(Students!$A:$A,MATCH(TRIM(B1050),Students!$A:$A,0)),"NOT ON LIST"))</f>
        <v/>
      </c>
      <c r="H1050" s="35">
        <f>IF(OR(G1050="",G1050="NOT ON LIST"),"",VLOOKUP(G1050,Students!$A:$C,2,FALSE))</f>
        <v/>
      </c>
      <c r="I1050" s="35">
        <f>IF(OR(G1050="",G1050="NOT ON LIST"),"",VLOOKUP(G1050,Students!$A:$C,3,FALSE)&amp;"")</f>
        <v/>
      </c>
    </row>
    <row r="1051">
      <c r="A1051" s="31" t="n">
        <v>46335.39583333334</v>
      </c>
      <c r="B1051" s="32" t="inlineStr">
        <is>
          <t>Lucas Garcia</t>
        </is>
      </c>
      <c r="C1051" s="32" t="inlineStr">
        <is>
          <t>Adrian Garcia</t>
        </is>
      </c>
      <c r="D1051" s="33" t="n">
        <v>25</v>
      </c>
      <c r="E1051" s="32" t="inlineStr">
        <is>
          <t>OneCause</t>
        </is>
      </c>
      <c r="F1051" s="34">
        <f>IF(A1051="","",IFERROR(INT(A1051),"check date"))</f>
        <v/>
      </c>
      <c r="G1051" s="35">
        <f>IF(B1051="","",IFERROR(INDEX(Students!$A:$A,MATCH(TRIM(B1051),Students!$A:$A,0)),"NOT ON LIST"))</f>
        <v/>
      </c>
      <c r="H1051" s="35">
        <f>IF(OR(G1051="",G1051="NOT ON LIST"),"",VLOOKUP(G1051,Students!$A:$C,2,FALSE))</f>
        <v/>
      </c>
      <c r="I1051" s="35">
        <f>IF(OR(G1051="",G1051="NOT ON LIST"),"",VLOOKUP(G1051,Students!$A:$C,3,FALSE)&amp;"")</f>
        <v/>
      </c>
    </row>
    <row r="1052">
      <c r="A1052" s="31" t="n">
        <v>46332.77083333334</v>
      </c>
      <c r="B1052" s="32" t="inlineStr">
        <is>
          <t>Luna Johnson</t>
        </is>
      </c>
      <c r="C1052" s="32" t="inlineStr">
        <is>
          <t>David Johnson</t>
        </is>
      </c>
      <c r="D1052" s="33" t="n">
        <v>100</v>
      </c>
      <c r="E1052" s="32" t="inlineStr">
        <is>
          <t>OneCause</t>
        </is>
      </c>
      <c r="F1052" s="34">
        <f>IF(A1052="","",IFERROR(INT(A1052),"check date"))</f>
        <v/>
      </c>
      <c r="G1052" s="35">
        <f>IF(B1052="","",IFERROR(INDEX(Students!$A:$A,MATCH(TRIM(B1052),Students!$A:$A,0)),"NOT ON LIST"))</f>
        <v/>
      </c>
      <c r="H1052" s="35">
        <f>IF(OR(G1052="",G1052="NOT ON LIST"),"",VLOOKUP(G1052,Students!$A:$C,2,FALSE))</f>
        <v/>
      </c>
      <c r="I1052" s="35">
        <f>IF(OR(G1052="",G1052="NOT ON LIST"),"",VLOOKUP(G1052,Students!$A:$C,3,FALSE)&amp;"")</f>
        <v/>
      </c>
    </row>
    <row r="1053">
      <c r="A1053" s="31" t="n">
        <v>46325.35416666666</v>
      </c>
      <c r="B1053" s="32" t="inlineStr">
        <is>
          <t>Isaac Torres</t>
        </is>
      </c>
      <c r="C1053" s="32" t="inlineStr">
        <is>
          <t>David Torres</t>
        </is>
      </c>
      <c r="D1053" s="33" t="n">
        <v>50</v>
      </c>
      <c r="E1053" s="32" t="inlineStr">
        <is>
          <t>OneCause</t>
        </is>
      </c>
      <c r="F1053" s="34">
        <f>IF(A1053="","",IFERROR(INT(A1053),"check date"))</f>
        <v/>
      </c>
      <c r="G1053" s="35">
        <f>IF(B1053="","",IFERROR(INDEX(Students!$A:$A,MATCH(TRIM(B1053),Students!$A:$A,0)),"NOT ON LIST"))</f>
        <v/>
      </c>
      <c r="H1053" s="35">
        <f>IF(OR(G1053="",G1053="NOT ON LIST"),"",VLOOKUP(G1053,Students!$A:$C,2,FALSE))</f>
        <v/>
      </c>
      <c r="I1053" s="35">
        <f>IF(OR(G1053="",G1053="NOT ON LIST"),"",VLOOKUP(G1053,Students!$A:$C,3,FALSE)&amp;"")</f>
        <v/>
      </c>
    </row>
    <row r="1054">
      <c r="A1054" s="31" t="n">
        <v>46328.59375</v>
      </c>
      <c r="B1054" s="32" t="inlineStr">
        <is>
          <t>Grace Lopez</t>
        </is>
      </c>
      <c r="C1054" s="32" t="inlineStr">
        <is>
          <t>Diego Lopez</t>
        </is>
      </c>
      <c r="D1054" s="33" t="n">
        <v>10</v>
      </c>
      <c r="E1054" s="32" t="inlineStr">
        <is>
          <t>OneCause</t>
        </is>
      </c>
      <c r="F1054" s="34">
        <f>IF(A1054="","",IFERROR(INT(A1054),"check date"))</f>
        <v/>
      </c>
      <c r="G1054" s="35">
        <f>IF(B1054="","",IFERROR(INDEX(Students!$A:$A,MATCH(TRIM(B1054),Students!$A:$A,0)),"NOT ON LIST"))</f>
        <v/>
      </c>
      <c r="H1054" s="35">
        <f>IF(OR(G1054="",G1054="NOT ON LIST"),"",VLOOKUP(G1054,Students!$A:$C,2,FALSE))</f>
        <v/>
      </c>
      <c r="I1054" s="35">
        <f>IF(OR(G1054="",G1054="NOT ON LIST"),"",VLOOKUP(G1054,Students!$A:$C,3,FALSE)&amp;"")</f>
        <v/>
      </c>
    </row>
    <row r="1055">
      <c r="A1055" s="31" t="n">
        <v>46337.85416666666</v>
      </c>
      <c r="B1055" s="32" t="inlineStr">
        <is>
          <t>Harper Reyes</t>
        </is>
      </c>
      <c r="C1055" s="32" t="inlineStr">
        <is>
          <t>David Reyes</t>
        </is>
      </c>
      <c r="D1055" s="33" t="n">
        <v>100</v>
      </c>
      <c r="E1055" s="32" t="inlineStr">
        <is>
          <t>OneCause</t>
        </is>
      </c>
      <c r="F1055" s="34">
        <f>IF(A1055="","",IFERROR(INT(A1055),"check date"))</f>
        <v/>
      </c>
      <c r="G1055" s="35">
        <f>IF(B1055="","",IFERROR(INDEX(Students!$A:$A,MATCH(TRIM(B1055),Students!$A:$A,0)),"NOT ON LIST"))</f>
        <v/>
      </c>
      <c r="H1055" s="35">
        <f>IF(OR(G1055="",G1055="NOT ON LIST"),"",VLOOKUP(G1055,Students!$A:$C,2,FALSE))</f>
        <v/>
      </c>
      <c r="I1055" s="35">
        <f>IF(OR(G1055="",G1055="NOT ON LIST"),"",VLOOKUP(G1055,Students!$A:$C,3,FALSE)&amp;"")</f>
        <v/>
      </c>
    </row>
    <row r="1056">
      <c r="A1056" s="31" t="n">
        <v>46335.78125</v>
      </c>
      <c r="B1056" s="32" t="inlineStr">
        <is>
          <t>Harper Johnson</t>
        </is>
      </c>
      <c r="C1056" s="32" t="inlineStr">
        <is>
          <t>Lily Johnson</t>
        </is>
      </c>
      <c r="D1056" s="33" t="n">
        <v>40</v>
      </c>
      <c r="E1056" s="32" t="inlineStr">
        <is>
          <t>OneCause</t>
        </is>
      </c>
      <c r="F1056" s="34">
        <f>IF(A1056="","",IFERROR(INT(A1056),"check date"))</f>
        <v/>
      </c>
      <c r="G1056" s="35">
        <f>IF(B1056="","",IFERROR(INDEX(Students!$A:$A,MATCH(TRIM(B1056),Students!$A:$A,0)),"NOT ON LIST"))</f>
        <v/>
      </c>
      <c r="H1056" s="35">
        <f>IF(OR(G1056="",G1056="NOT ON LIST"),"",VLOOKUP(G1056,Students!$A:$C,2,FALSE))</f>
        <v/>
      </c>
      <c r="I1056" s="35">
        <f>IF(OR(G1056="",G1056="NOT ON LIST"),"",VLOOKUP(G1056,Students!$A:$C,3,FALSE)&amp;"")</f>
        <v/>
      </c>
    </row>
    <row r="1057">
      <c r="A1057" s="31" t="n">
        <v>46330.33333333334</v>
      </c>
      <c r="B1057" s="32" t="inlineStr">
        <is>
          <t>Samuel Murphy</t>
        </is>
      </c>
      <c r="C1057" s="32" t="inlineStr">
        <is>
          <t>Julian Murphy</t>
        </is>
      </c>
      <c r="D1057" s="33" t="n">
        <v>100</v>
      </c>
      <c r="E1057" s="32" t="inlineStr">
        <is>
          <t>OneCause</t>
        </is>
      </c>
      <c r="F1057" s="34">
        <f>IF(A1057="","",IFERROR(INT(A1057),"check date"))</f>
        <v/>
      </c>
      <c r="G1057" s="35">
        <f>IF(B1057="","",IFERROR(INDEX(Students!$A:$A,MATCH(TRIM(B1057),Students!$A:$A,0)),"NOT ON LIST"))</f>
        <v/>
      </c>
      <c r="H1057" s="35">
        <f>IF(OR(G1057="",G1057="NOT ON LIST"),"",VLOOKUP(G1057,Students!$A:$C,2,FALSE))</f>
        <v/>
      </c>
      <c r="I1057" s="35">
        <f>IF(OR(G1057="",G1057="NOT ON LIST"),"",VLOOKUP(G1057,Students!$A:$C,3,FALSE)&amp;"")</f>
        <v/>
      </c>
    </row>
    <row r="1058">
      <c r="A1058" s="31" t="n">
        <v>46327.45833333334</v>
      </c>
      <c r="B1058" s="32" t="inlineStr">
        <is>
          <t>Amelia Williams</t>
        </is>
      </c>
      <c r="C1058" s="32" t="inlineStr">
        <is>
          <t>Leo Williams</t>
        </is>
      </c>
      <c r="D1058" s="33" t="n">
        <v>50</v>
      </c>
      <c r="E1058" s="32" t="inlineStr">
        <is>
          <t>OneCause</t>
        </is>
      </c>
      <c r="F1058" s="34">
        <f>IF(A1058="","",IFERROR(INT(A1058),"check date"))</f>
        <v/>
      </c>
      <c r="G1058" s="35">
        <f>IF(B1058="","",IFERROR(INDEX(Students!$A:$A,MATCH(TRIM(B1058),Students!$A:$A,0)),"NOT ON LIST"))</f>
        <v/>
      </c>
      <c r="H1058" s="35">
        <f>IF(OR(G1058="",G1058="NOT ON LIST"),"",VLOOKUP(G1058,Students!$A:$C,2,FALSE))</f>
        <v/>
      </c>
      <c r="I1058" s="35">
        <f>IF(OR(G1058="",G1058="NOT ON LIST"),"",VLOOKUP(G1058,Students!$A:$C,3,FALSE)&amp;"")</f>
        <v/>
      </c>
    </row>
    <row r="1059">
      <c r="A1059" s="31" t="n">
        <v>46331.79166666666</v>
      </c>
      <c r="B1059" s="32" t="inlineStr">
        <is>
          <t>Nora Lopez</t>
        </is>
      </c>
      <c r="C1059" s="32" t="inlineStr">
        <is>
          <t>Gabriel Lopez</t>
        </is>
      </c>
      <c r="D1059" s="33" t="n">
        <v>75</v>
      </c>
      <c r="E1059" s="32" t="inlineStr">
        <is>
          <t>OneCause</t>
        </is>
      </c>
      <c r="F1059" s="34">
        <f>IF(A1059="","",IFERROR(INT(A1059),"check date"))</f>
        <v/>
      </c>
      <c r="G1059" s="35">
        <f>IF(B1059="","",IFERROR(INDEX(Students!$A:$A,MATCH(TRIM(B1059),Students!$A:$A,0)),"NOT ON LIST"))</f>
        <v/>
      </c>
      <c r="H1059" s="35">
        <f>IF(OR(G1059="",G1059="NOT ON LIST"),"",VLOOKUP(G1059,Students!$A:$C,2,FALSE))</f>
        <v/>
      </c>
      <c r="I1059" s="35">
        <f>IF(OR(G1059="",G1059="NOT ON LIST"),"",VLOOKUP(G1059,Students!$A:$C,3,FALSE)&amp;"")</f>
        <v/>
      </c>
    </row>
    <row r="1060">
      <c r="A1060" s="31" t="n">
        <v>46325.58333333334</v>
      </c>
      <c r="B1060" s="32" t="inlineStr">
        <is>
          <t>Evelyn Nguyen</t>
        </is>
      </c>
      <c r="C1060" s="32" t="inlineStr">
        <is>
          <t>Luna Nguyen</t>
        </is>
      </c>
      <c r="D1060" s="33" t="n">
        <v>40</v>
      </c>
      <c r="E1060" s="32" t="inlineStr">
        <is>
          <t>OneCause</t>
        </is>
      </c>
      <c r="F1060" s="34">
        <f>IF(A1060="","",IFERROR(INT(A1060),"check date"))</f>
        <v/>
      </c>
      <c r="G1060" s="35">
        <f>IF(B1060="","",IFERROR(INDEX(Students!$A:$A,MATCH(TRIM(B1060),Students!$A:$A,0)),"NOT ON LIST"))</f>
        <v/>
      </c>
      <c r="H1060" s="35">
        <f>IF(OR(G1060="",G1060="NOT ON LIST"),"",VLOOKUP(G1060,Students!$A:$C,2,FALSE))</f>
        <v/>
      </c>
      <c r="I1060" s="35">
        <f>IF(OR(G1060="",G1060="NOT ON LIST"),"",VLOOKUP(G1060,Students!$A:$C,3,FALSE)&amp;"")</f>
        <v/>
      </c>
    </row>
    <row r="1061">
      <c r="A1061" s="31" t="n">
        <v>46338.45833333334</v>
      </c>
      <c r="B1061" s="32" t="inlineStr">
        <is>
          <t>Thomas Perez</t>
        </is>
      </c>
      <c r="C1061" s="32" t="inlineStr">
        <is>
          <t>Lily Perez</t>
        </is>
      </c>
      <c r="D1061" s="33" t="n">
        <v>50</v>
      </c>
      <c r="E1061" s="32" t="inlineStr">
        <is>
          <t>OneCause</t>
        </is>
      </c>
      <c r="F1061" s="34">
        <f>IF(A1061="","",IFERROR(INT(A1061),"check date"))</f>
        <v/>
      </c>
      <c r="G1061" s="35">
        <f>IF(B1061="","",IFERROR(INDEX(Students!$A:$A,MATCH(TRIM(B1061),Students!$A:$A,0)),"NOT ON LIST"))</f>
        <v/>
      </c>
      <c r="H1061" s="35">
        <f>IF(OR(G1061="",G1061="NOT ON LIST"),"",VLOOKUP(G1061,Students!$A:$C,2,FALSE))</f>
        <v/>
      </c>
      <c r="I1061" s="35">
        <f>IF(OR(G1061="",G1061="NOT ON LIST"),"",VLOOKUP(G1061,Students!$A:$C,3,FALSE)&amp;"")</f>
        <v/>
      </c>
    </row>
    <row r="1062">
      <c r="A1062" s="31" t="n">
        <v>46325.32291666666</v>
      </c>
      <c r="B1062" s="32" t="inlineStr">
        <is>
          <t>Mateo Sullivan</t>
        </is>
      </c>
      <c r="C1062" s="32" t="inlineStr">
        <is>
          <t>Lily Sullivan</t>
        </is>
      </c>
      <c r="D1062" s="33" t="n">
        <v>150</v>
      </c>
      <c r="E1062" s="32" t="inlineStr">
        <is>
          <t>OneCause</t>
        </is>
      </c>
      <c r="F1062" s="34">
        <f>IF(A1062="","",IFERROR(INT(A1062),"check date"))</f>
        <v/>
      </c>
      <c r="G1062" s="35">
        <f>IF(B1062="","",IFERROR(INDEX(Students!$A:$A,MATCH(TRIM(B1062),Students!$A:$A,0)),"NOT ON LIST"))</f>
        <v/>
      </c>
      <c r="H1062" s="35">
        <f>IF(OR(G1062="",G1062="NOT ON LIST"),"",VLOOKUP(G1062,Students!$A:$C,2,FALSE))</f>
        <v/>
      </c>
      <c r="I1062" s="35">
        <f>IF(OR(G1062="",G1062="NOT ON LIST"),"",VLOOKUP(G1062,Students!$A:$C,3,FALSE)&amp;"")</f>
        <v/>
      </c>
    </row>
    <row r="1063">
      <c r="A1063" s="31" t="n">
        <v>46335.53125</v>
      </c>
      <c r="B1063" s="32" t="inlineStr">
        <is>
          <t>Lily Walsh</t>
        </is>
      </c>
      <c r="C1063" s="32" t="inlineStr">
        <is>
          <t>Leo Walsh</t>
        </is>
      </c>
      <c r="D1063" s="33" t="n">
        <v>10</v>
      </c>
      <c r="E1063" s="32" t="inlineStr">
        <is>
          <t>OneCause</t>
        </is>
      </c>
      <c r="F1063" s="34">
        <f>IF(A1063="","",IFERROR(INT(A1063),"check date"))</f>
        <v/>
      </c>
      <c r="G1063" s="35">
        <f>IF(B1063="","",IFERROR(INDEX(Students!$A:$A,MATCH(TRIM(B1063),Students!$A:$A,0)),"NOT ON LIST"))</f>
        <v/>
      </c>
      <c r="H1063" s="35">
        <f>IF(OR(G1063="",G1063="NOT ON LIST"),"",VLOOKUP(G1063,Students!$A:$C,2,FALSE))</f>
        <v/>
      </c>
      <c r="I1063" s="35">
        <f>IF(OR(G1063="",G1063="NOT ON LIST"),"",VLOOKUP(G1063,Students!$A:$C,3,FALSE)&amp;"")</f>
        <v/>
      </c>
    </row>
    <row r="1064">
      <c r="A1064" s="31" t="n">
        <v>46328</v>
      </c>
      <c r="B1064" s="32" t="inlineStr">
        <is>
          <t>Adrian Hernandez</t>
        </is>
      </c>
      <c r="C1064" s="32" t="inlineStr">
        <is>
          <t>Ava Hernandez</t>
        </is>
      </c>
      <c r="D1064" s="33" t="n">
        <v>75</v>
      </c>
      <c r="E1064" s="32" t="inlineStr">
        <is>
          <t>Check</t>
        </is>
      </c>
      <c r="F1064" s="34">
        <f>IF(A1064="","",IFERROR(INT(A1064),"check date"))</f>
        <v/>
      </c>
      <c r="G1064" s="35">
        <f>IF(B1064="","",IFERROR(INDEX(Students!$A:$A,MATCH(TRIM(B1064),Students!$A:$A,0)),"NOT ON LIST"))</f>
        <v/>
      </c>
      <c r="H1064" s="35">
        <f>IF(OR(G1064="",G1064="NOT ON LIST"),"",VLOOKUP(G1064,Students!$A:$C,2,FALSE))</f>
        <v/>
      </c>
      <c r="I1064" s="35">
        <f>IF(OR(G1064="",G1064="NOT ON LIST"),"",VLOOKUP(G1064,Students!$A:$C,3,FALSE)&amp;"")</f>
        <v/>
      </c>
    </row>
    <row r="1065">
      <c r="A1065" s="31" t="n">
        <v>46325.36458333334</v>
      </c>
      <c r="B1065" s="32" t="inlineStr">
        <is>
          <t>Gabriel Smith</t>
        </is>
      </c>
      <c r="C1065" s="32" t="inlineStr">
        <is>
          <t>Santiago Smith</t>
        </is>
      </c>
      <c r="D1065" s="33" t="n">
        <v>25</v>
      </c>
      <c r="E1065" s="32" t="inlineStr">
        <is>
          <t>OneCause</t>
        </is>
      </c>
      <c r="F1065" s="34">
        <f>IF(A1065="","",IFERROR(INT(A1065),"check date"))</f>
        <v/>
      </c>
      <c r="G1065" s="35">
        <f>IF(B1065="","",IFERROR(INDEX(Students!$A:$A,MATCH(TRIM(B1065),Students!$A:$A,0)),"NOT ON LIST"))</f>
        <v/>
      </c>
      <c r="H1065" s="35">
        <f>IF(OR(G1065="",G1065="NOT ON LIST"),"",VLOOKUP(G1065,Students!$A:$C,2,FALSE))</f>
        <v/>
      </c>
      <c r="I1065" s="35">
        <f>IF(OR(G1065="",G1065="NOT ON LIST"),"",VLOOKUP(G1065,Students!$A:$C,3,FALSE)&amp;"")</f>
        <v/>
      </c>
    </row>
    <row r="1066">
      <c r="A1066" s="31" t="n">
        <v>46336.44791666666</v>
      </c>
      <c r="B1066" s="32" t="inlineStr">
        <is>
          <t>Noah Gutierrez</t>
        </is>
      </c>
      <c r="C1066" s="32" t="inlineStr">
        <is>
          <t>Thomas Gutierrez</t>
        </is>
      </c>
      <c r="D1066" s="33" t="n">
        <v>25</v>
      </c>
      <c r="E1066" s="32" t="inlineStr">
        <is>
          <t>OneCause</t>
        </is>
      </c>
      <c r="F1066" s="34">
        <f>IF(A1066="","",IFERROR(INT(A1066),"check date"))</f>
        <v/>
      </c>
      <c r="G1066" s="35">
        <f>IF(B1066="","",IFERROR(INDEX(Students!$A:$A,MATCH(TRIM(B1066),Students!$A:$A,0)),"NOT ON LIST"))</f>
        <v/>
      </c>
      <c r="H1066" s="35">
        <f>IF(OR(G1066="",G1066="NOT ON LIST"),"",VLOOKUP(G1066,Students!$A:$C,2,FALSE))</f>
        <v/>
      </c>
      <c r="I1066" s="35">
        <f>IF(OR(G1066="",G1066="NOT ON LIST"),"",VLOOKUP(G1066,Students!$A:$C,3,FALSE)&amp;"")</f>
        <v/>
      </c>
    </row>
    <row r="1067">
      <c r="A1067" s="31" t="n">
        <v>46325.42708333334</v>
      </c>
      <c r="B1067" s="32" t="inlineStr">
        <is>
          <t>Lucas Sanchez</t>
        </is>
      </c>
      <c r="C1067" s="32" t="inlineStr">
        <is>
          <t>Amelia Sanchez</t>
        </is>
      </c>
      <c r="D1067" s="33" t="n">
        <v>50</v>
      </c>
      <c r="E1067" s="32" t="inlineStr">
        <is>
          <t>OneCause</t>
        </is>
      </c>
      <c r="F1067" s="34">
        <f>IF(A1067="","",IFERROR(INT(A1067),"check date"))</f>
        <v/>
      </c>
      <c r="G1067" s="35">
        <f>IF(B1067="","",IFERROR(INDEX(Students!$A:$A,MATCH(TRIM(B1067),Students!$A:$A,0)),"NOT ON LIST"))</f>
        <v/>
      </c>
      <c r="H1067" s="35">
        <f>IF(OR(G1067="",G1067="NOT ON LIST"),"",VLOOKUP(G1067,Students!$A:$C,2,FALSE))</f>
        <v/>
      </c>
      <c r="I1067" s="35">
        <f>IF(OR(G1067="",G1067="NOT ON LIST"),"",VLOOKUP(G1067,Students!$A:$C,3,FALSE)&amp;"")</f>
        <v/>
      </c>
    </row>
    <row r="1068">
      <c r="A1068" s="31" t="n">
        <v>46329.35416666666</v>
      </c>
      <c r="B1068" s="32" t="inlineStr">
        <is>
          <t>Liam Nguyen</t>
        </is>
      </c>
      <c r="C1068" s="32" t="inlineStr">
        <is>
          <t>Mateo Nguyen</t>
        </is>
      </c>
      <c r="D1068" s="33" t="n">
        <v>50</v>
      </c>
      <c r="E1068" s="32" t="inlineStr">
        <is>
          <t>OneCause</t>
        </is>
      </c>
      <c r="F1068" s="34">
        <f>IF(A1068="","",IFERROR(INT(A1068),"check date"))</f>
        <v/>
      </c>
      <c r="G1068" s="35">
        <f>IF(B1068="","",IFERROR(INDEX(Students!$A:$A,MATCH(TRIM(B1068),Students!$A:$A,0)),"NOT ON LIST"))</f>
        <v/>
      </c>
      <c r="H1068" s="35">
        <f>IF(OR(G1068="",G1068="NOT ON LIST"),"",VLOOKUP(G1068,Students!$A:$C,2,FALSE))</f>
        <v/>
      </c>
      <c r="I1068" s="35">
        <f>IF(OR(G1068="",G1068="NOT ON LIST"),"",VLOOKUP(G1068,Students!$A:$C,3,FALSE)&amp;"")</f>
        <v/>
      </c>
    </row>
    <row r="1069">
      <c r="A1069" s="31" t="n">
        <v>46330</v>
      </c>
      <c r="B1069" s="32" t="inlineStr">
        <is>
          <t>Ella Nguyen</t>
        </is>
      </c>
      <c r="C1069" s="32" t="inlineStr">
        <is>
          <t>Mia Nguyen</t>
        </is>
      </c>
      <c r="D1069" s="33" t="n">
        <v>50</v>
      </c>
      <c r="E1069" s="32" t="inlineStr">
        <is>
          <t>Check</t>
        </is>
      </c>
      <c r="F1069" s="34">
        <f>IF(A1069="","",IFERROR(INT(A1069),"check date"))</f>
        <v/>
      </c>
      <c r="G1069" s="35">
        <f>IF(B1069="","",IFERROR(INDEX(Students!$A:$A,MATCH(TRIM(B1069),Students!$A:$A,0)),"NOT ON LIST"))</f>
        <v/>
      </c>
      <c r="H1069" s="35">
        <f>IF(OR(G1069="",G1069="NOT ON LIST"),"",VLOOKUP(G1069,Students!$A:$C,2,FALSE))</f>
        <v/>
      </c>
      <c r="I1069" s="35">
        <f>IF(OR(G1069="",G1069="NOT ON LIST"),"",VLOOKUP(G1069,Students!$A:$C,3,FALSE)&amp;"")</f>
        <v/>
      </c>
    </row>
    <row r="1070">
      <c r="A1070" s="31" t="n">
        <v>46328</v>
      </c>
      <c r="B1070" s="32" t="inlineStr">
        <is>
          <t>Evelyn Diaz</t>
        </is>
      </c>
      <c r="C1070" s="32" t="inlineStr">
        <is>
          <t>Liam Diaz</t>
        </is>
      </c>
      <c r="D1070" s="33" t="n">
        <v>40</v>
      </c>
      <c r="E1070" s="32" t="inlineStr">
        <is>
          <t>Check</t>
        </is>
      </c>
      <c r="F1070" s="34">
        <f>IF(A1070="","",IFERROR(INT(A1070),"check date"))</f>
        <v/>
      </c>
      <c r="G1070" s="35">
        <f>IF(B1070="","",IFERROR(INDEX(Students!$A:$A,MATCH(TRIM(B1070),Students!$A:$A,0)),"NOT ON LIST"))</f>
        <v/>
      </c>
      <c r="H1070" s="35">
        <f>IF(OR(G1070="",G1070="NOT ON LIST"),"",VLOOKUP(G1070,Students!$A:$C,2,FALSE))</f>
        <v/>
      </c>
      <c r="I1070" s="35">
        <f>IF(OR(G1070="",G1070="NOT ON LIST"),"",VLOOKUP(G1070,Students!$A:$C,3,FALSE)&amp;"")</f>
        <v/>
      </c>
    </row>
    <row r="1071">
      <c r="A1071" s="31" t="n">
        <v>46339.36458333334</v>
      </c>
      <c r="B1071" s="32" t="inlineStr">
        <is>
          <t>Thomas Diaz</t>
        </is>
      </c>
      <c r="C1071" s="32" t="inlineStr">
        <is>
          <t>Diego Diaz</t>
        </is>
      </c>
      <c r="D1071" s="33" t="n">
        <v>25</v>
      </c>
      <c r="E1071" s="32" t="inlineStr">
        <is>
          <t>OneCause</t>
        </is>
      </c>
      <c r="F1071" s="34">
        <f>IF(A1071="","",IFERROR(INT(A1071),"check date"))</f>
        <v/>
      </c>
      <c r="G1071" s="35">
        <f>IF(B1071="","",IFERROR(INDEX(Students!$A:$A,MATCH(TRIM(B1071),Students!$A:$A,0)),"NOT ON LIST"))</f>
        <v/>
      </c>
      <c r="H1071" s="35">
        <f>IF(OR(G1071="",G1071="NOT ON LIST"),"",VLOOKUP(G1071,Students!$A:$C,2,FALSE))</f>
        <v/>
      </c>
      <c r="I1071" s="35">
        <f>IF(OR(G1071="",G1071="NOT ON LIST"),"",VLOOKUP(G1071,Students!$A:$C,3,FALSE)&amp;"")</f>
        <v/>
      </c>
    </row>
    <row r="1072">
      <c r="A1072" s="31" t="n">
        <v>46338.66666666666</v>
      </c>
      <c r="B1072" s="32" t="inlineStr">
        <is>
          <t>Harper Kelly</t>
        </is>
      </c>
      <c r="C1072" s="32" t="inlineStr">
        <is>
          <t>Harper Kelly</t>
        </is>
      </c>
      <c r="D1072" s="33" t="n">
        <v>40</v>
      </c>
      <c r="E1072" s="32" t="inlineStr">
        <is>
          <t>OneCause</t>
        </is>
      </c>
      <c r="F1072" s="34">
        <f>IF(A1072="","",IFERROR(INT(A1072),"check date"))</f>
        <v/>
      </c>
      <c r="G1072" s="35">
        <f>IF(B1072="","",IFERROR(INDEX(Students!$A:$A,MATCH(TRIM(B1072),Students!$A:$A,0)),"NOT ON LIST"))</f>
        <v/>
      </c>
      <c r="H1072" s="35">
        <f>IF(OR(G1072="",G1072="NOT ON LIST"),"",VLOOKUP(G1072,Students!$A:$C,2,FALSE))</f>
        <v/>
      </c>
      <c r="I1072" s="35">
        <f>IF(OR(G1072="",G1072="NOT ON LIST"),"",VLOOKUP(G1072,Students!$A:$C,3,FALSE)&amp;"")</f>
        <v/>
      </c>
    </row>
    <row r="1073">
      <c r="A1073" s="31" t="n">
        <v>46329.32291666666</v>
      </c>
      <c r="B1073" s="32" t="inlineStr">
        <is>
          <t>Aria Ramirez</t>
        </is>
      </c>
      <c r="C1073" s="32" t="inlineStr">
        <is>
          <t>Samuel Ramirez</t>
        </is>
      </c>
      <c r="D1073" s="33" t="n">
        <v>25</v>
      </c>
      <c r="E1073" s="32" t="inlineStr">
        <is>
          <t>OneCause</t>
        </is>
      </c>
      <c r="F1073" s="34">
        <f>IF(A1073="","",IFERROR(INT(A1073),"check date"))</f>
        <v/>
      </c>
      <c r="G1073" s="35">
        <f>IF(B1073="","",IFERROR(INDEX(Students!$A:$A,MATCH(TRIM(B1073),Students!$A:$A,0)),"NOT ON LIST"))</f>
        <v/>
      </c>
      <c r="H1073" s="35">
        <f>IF(OR(G1073="",G1073="NOT ON LIST"),"",VLOOKUP(G1073,Students!$A:$C,2,FALSE))</f>
        <v/>
      </c>
      <c r="I1073" s="35">
        <f>IF(OR(G1073="",G1073="NOT ON LIST"),"",VLOOKUP(G1073,Students!$A:$C,3,FALSE)&amp;"")</f>
        <v/>
      </c>
    </row>
    <row r="1074">
      <c r="A1074" s="31" t="n">
        <v>46338.40625</v>
      </c>
      <c r="B1074" s="32" t="inlineStr">
        <is>
          <t>Elena Walsh</t>
        </is>
      </c>
      <c r="C1074" s="32" t="inlineStr">
        <is>
          <t>Liam Walsh</t>
        </is>
      </c>
      <c r="D1074" s="33" t="n">
        <v>75</v>
      </c>
      <c r="E1074" s="32" t="inlineStr">
        <is>
          <t>OneCause</t>
        </is>
      </c>
      <c r="F1074" s="34">
        <f>IF(A1074="","",IFERROR(INT(A1074),"check date"))</f>
        <v/>
      </c>
      <c r="G1074" s="35">
        <f>IF(B1074="","",IFERROR(INDEX(Students!$A:$A,MATCH(TRIM(B1074),Students!$A:$A,0)),"NOT ON LIST"))</f>
        <v/>
      </c>
      <c r="H1074" s="35">
        <f>IF(OR(G1074="",G1074="NOT ON LIST"),"",VLOOKUP(G1074,Students!$A:$C,2,FALSE))</f>
        <v/>
      </c>
      <c r="I1074" s="35">
        <f>IF(OR(G1074="",G1074="NOT ON LIST"),"",VLOOKUP(G1074,Students!$A:$C,3,FALSE)&amp;"")</f>
        <v/>
      </c>
    </row>
    <row r="1075">
      <c r="A1075" s="31" t="n">
        <v>46326.36458333334</v>
      </c>
      <c r="B1075" s="32" t="inlineStr">
        <is>
          <t>Thomas Ryan</t>
        </is>
      </c>
      <c r="C1075" s="32" t="inlineStr">
        <is>
          <t>Clara Ryan</t>
        </is>
      </c>
      <c r="D1075" s="33" t="n">
        <v>50</v>
      </c>
      <c r="E1075" s="32" t="inlineStr">
        <is>
          <t>OneCause</t>
        </is>
      </c>
      <c r="F1075" s="34">
        <f>IF(A1075="","",IFERROR(INT(A1075),"check date"))</f>
        <v/>
      </c>
      <c r="G1075" s="35">
        <f>IF(B1075="","",IFERROR(INDEX(Students!$A:$A,MATCH(TRIM(B1075),Students!$A:$A,0)),"NOT ON LIST"))</f>
        <v/>
      </c>
      <c r="H1075" s="35">
        <f>IF(OR(G1075="",G1075="NOT ON LIST"),"",VLOOKUP(G1075,Students!$A:$C,2,FALSE))</f>
        <v/>
      </c>
      <c r="I1075" s="35">
        <f>IF(OR(G1075="",G1075="NOT ON LIST"),"",VLOOKUP(G1075,Students!$A:$C,3,FALSE)&amp;"")</f>
        <v/>
      </c>
    </row>
    <row r="1076">
      <c r="A1076" s="31" t="n">
        <v>46339.8125</v>
      </c>
      <c r="B1076" s="32" t="inlineStr">
        <is>
          <t>Liam Diaz</t>
        </is>
      </c>
      <c r="C1076" s="32" t="inlineStr">
        <is>
          <t>Aria Diaz</t>
        </is>
      </c>
      <c r="D1076" s="33" t="n">
        <v>25</v>
      </c>
      <c r="E1076" s="32" t="inlineStr">
        <is>
          <t>OneCause</t>
        </is>
      </c>
      <c r="F1076" s="34">
        <f>IF(A1076="","",IFERROR(INT(A1076),"check date"))</f>
        <v/>
      </c>
      <c r="G1076" s="35">
        <f>IF(B1076="","",IFERROR(INDEX(Students!$A:$A,MATCH(TRIM(B1076),Students!$A:$A,0)),"NOT ON LIST"))</f>
        <v/>
      </c>
      <c r="H1076" s="35">
        <f>IF(OR(G1076="",G1076="NOT ON LIST"),"",VLOOKUP(G1076,Students!$A:$C,2,FALSE))</f>
        <v/>
      </c>
      <c r="I1076" s="35">
        <f>IF(OR(G1076="",G1076="NOT ON LIST"),"",VLOOKUP(G1076,Students!$A:$C,3,FALSE)&amp;"")</f>
        <v/>
      </c>
    </row>
    <row r="1077">
      <c r="A1077" s="31" t="n">
        <v>46335.84375</v>
      </c>
      <c r="B1077" s="32" t="inlineStr">
        <is>
          <t>Chloe Reyes</t>
        </is>
      </c>
      <c r="C1077" s="32" t="inlineStr">
        <is>
          <t>Aria Reyes</t>
        </is>
      </c>
      <c r="D1077" s="33" t="n">
        <v>25</v>
      </c>
      <c r="E1077" s="32" t="inlineStr">
        <is>
          <t>OneCause</t>
        </is>
      </c>
      <c r="F1077" s="34">
        <f>IF(A1077="","",IFERROR(INT(A1077),"check date"))</f>
        <v/>
      </c>
      <c r="G1077" s="35">
        <f>IF(B1077="","",IFERROR(INDEX(Students!$A:$A,MATCH(TRIM(B1077),Students!$A:$A,0)),"NOT ON LIST"))</f>
        <v/>
      </c>
      <c r="H1077" s="35">
        <f>IF(OR(G1077="",G1077="NOT ON LIST"),"",VLOOKUP(G1077,Students!$A:$C,2,FALSE))</f>
        <v/>
      </c>
      <c r="I1077" s="35">
        <f>IF(OR(G1077="",G1077="NOT ON LIST"),"",VLOOKUP(G1077,Students!$A:$C,3,FALSE)&amp;"")</f>
        <v/>
      </c>
    </row>
    <row r="1078">
      <c r="A1078" s="31" t="n">
        <v>46336.47916666666</v>
      </c>
      <c r="B1078" s="32" t="inlineStr">
        <is>
          <t>Amelia Gonzalez</t>
        </is>
      </c>
      <c r="C1078" s="32" t="inlineStr">
        <is>
          <t>Elijah Gonzalez</t>
        </is>
      </c>
      <c r="D1078" s="33" t="n">
        <v>20</v>
      </c>
      <c r="E1078" s="32" t="inlineStr">
        <is>
          <t>OneCause</t>
        </is>
      </c>
      <c r="F1078" s="34">
        <f>IF(A1078="","",IFERROR(INT(A1078),"check date"))</f>
        <v/>
      </c>
      <c r="G1078" s="35">
        <f>IF(B1078="","",IFERROR(INDEX(Students!$A:$A,MATCH(TRIM(B1078),Students!$A:$A,0)),"NOT ON LIST"))</f>
        <v/>
      </c>
      <c r="H1078" s="35">
        <f>IF(OR(G1078="",G1078="NOT ON LIST"),"",VLOOKUP(G1078,Students!$A:$C,2,FALSE))</f>
        <v/>
      </c>
      <c r="I1078" s="35">
        <f>IF(OR(G1078="",G1078="NOT ON LIST"),"",VLOOKUP(G1078,Students!$A:$C,3,FALSE)&amp;"")</f>
        <v/>
      </c>
    </row>
    <row r="1079">
      <c r="A1079" s="31" t="n">
        <v>46328.34375</v>
      </c>
      <c r="B1079" s="32" t="inlineStr">
        <is>
          <t>Evelyn Alvarez</t>
        </is>
      </c>
      <c r="C1079" s="32" t="inlineStr">
        <is>
          <t>Adrian Alvarez</t>
        </is>
      </c>
      <c r="D1079" s="33" t="n">
        <v>50</v>
      </c>
      <c r="E1079" s="32" t="inlineStr">
        <is>
          <t>OneCause</t>
        </is>
      </c>
      <c r="F1079" s="34">
        <f>IF(A1079="","",IFERROR(INT(A1079),"check date"))</f>
        <v/>
      </c>
      <c r="G1079" s="35">
        <f>IF(B1079="","",IFERROR(INDEX(Students!$A:$A,MATCH(TRIM(B1079),Students!$A:$A,0)),"NOT ON LIST"))</f>
        <v/>
      </c>
      <c r="H1079" s="35">
        <f>IF(OR(G1079="",G1079="NOT ON LIST"),"",VLOOKUP(G1079,Students!$A:$C,2,FALSE))</f>
        <v/>
      </c>
      <c r="I1079" s="35">
        <f>IF(OR(G1079="",G1079="NOT ON LIST"),"",VLOOKUP(G1079,Students!$A:$C,3,FALSE)&amp;"")</f>
        <v/>
      </c>
    </row>
    <row r="1080">
      <c r="A1080" s="31" t="n">
        <v>46330.4375</v>
      </c>
      <c r="B1080" s="32" t="inlineStr">
        <is>
          <t>Elena Walsh</t>
        </is>
      </c>
      <c r="C1080" s="32" t="inlineStr">
        <is>
          <t>Daniel Walsh</t>
        </is>
      </c>
      <c r="D1080" s="33" t="n">
        <v>50</v>
      </c>
      <c r="E1080" s="32" t="inlineStr">
        <is>
          <t>OneCause</t>
        </is>
      </c>
      <c r="F1080" s="34">
        <f>IF(A1080="","",IFERROR(INT(A1080),"check date"))</f>
        <v/>
      </c>
      <c r="G1080" s="35">
        <f>IF(B1080="","",IFERROR(INDEX(Students!$A:$A,MATCH(TRIM(B1080),Students!$A:$A,0)),"NOT ON LIST"))</f>
        <v/>
      </c>
      <c r="H1080" s="35">
        <f>IF(OR(G1080="",G1080="NOT ON LIST"),"",VLOOKUP(G1080,Students!$A:$C,2,FALSE))</f>
        <v/>
      </c>
      <c r="I1080" s="35">
        <f>IF(OR(G1080="",G1080="NOT ON LIST"),"",VLOOKUP(G1080,Students!$A:$C,3,FALSE)&amp;"")</f>
        <v/>
      </c>
    </row>
    <row r="1081">
      <c r="A1081" s="31" t="n">
        <v>46339.625</v>
      </c>
      <c r="B1081" s="32" t="inlineStr">
        <is>
          <t>Valentina Nguyen</t>
        </is>
      </c>
      <c r="C1081" s="32" t="inlineStr">
        <is>
          <t>Adrian Nguyen</t>
        </is>
      </c>
      <c r="D1081" s="33" t="n">
        <v>100</v>
      </c>
      <c r="E1081" s="32" t="inlineStr">
        <is>
          <t>OneCause</t>
        </is>
      </c>
      <c r="F1081" s="34">
        <f>IF(A1081="","",IFERROR(INT(A1081),"check date"))</f>
        <v/>
      </c>
      <c r="G1081" s="35">
        <f>IF(B1081="","",IFERROR(INDEX(Students!$A:$A,MATCH(TRIM(B1081),Students!$A:$A,0)),"NOT ON LIST"))</f>
        <v/>
      </c>
      <c r="H1081" s="35">
        <f>IF(OR(G1081="",G1081="NOT ON LIST"),"",VLOOKUP(G1081,Students!$A:$C,2,FALSE))</f>
        <v/>
      </c>
      <c r="I1081" s="35">
        <f>IF(OR(G1081="",G1081="NOT ON LIST"),"",VLOOKUP(G1081,Students!$A:$C,3,FALSE)&amp;"")</f>
        <v/>
      </c>
    </row>
    <row r="1082">
      <c r="A1082" s="31" t="n">
        <v>46329.73958333334</v>
      </c>
      <c r="B1082" s="32" t="inlineStr">
        <is>
          <t>Grace Perez</t>
        </is>
      </c>
      <c r="C1082" s="32" t="inlineStr">
        <is>
          <t>Isaac Perez</t>
        </is>
      </c>
      <c r="D1082" s="33" t="n">
        <v>50</v>
      </c>
      <c r="E1082" s="32" t="inlineStr">
        <is>
          <t>OneCause</t>
        </is>
      </c>
      <c r="F1082" s="34">
        <f>IF(A1082="","",IFERROR(INT(A1082),"check date"))</f>
        <v/>
      </c>
      <c r="G1082" s="35">
        <f>IF(B1082="","",IFERROR(INDEX(Students!$A:$A,MATCH(TRIM(B1082),Students!$A:$A,0)),"NOT ON LIST"))</f>
        <v/>
      </c>
      <c r="H1082" s="35">
        <f>IF(OR(G1082="",G1082="NOT ON LIST"),"",VLOOKUP(G1082,Students!$A:$C,2,FALSE))</f>
        <v/>
      </c>
      <c r="I1082" s="35">
        <f>IF(OR(G1082="",G1082="NOT ON LIST"),"",VLOOKUP(G1082,Students!$A:$C,3,FALSE)&amp;"")</f>
        <v/>
      </c>
    </row>
    <row r="1083">
      <c r="A1083" s="31" t="n">
        <v>46330.8125</v>
      </c>
      <c r="B1083" s="32" t="inlineStr">
        <is>
          <t>Adrian Nguyen</t>
        </is>
      </c>
      <c r="C1083" s="32" t="inlineStr">
        <is>
          <t>Harper Nguyen</t>
        </is>
      </c>
      <c r="D1083" s="33" t="n">
        <v>25</v>
      </c>
      <c r="E1083" s="32" t="inlineStr">
        <is>
          <t>OneCause</t>
        </is>
      </c>
      <c r="F1083" s="34">
        <f>IF(A1083="","",IFERROR(INT(A1083),"check date"))</f>
        <v/>
      </c>
      <c r="G1083" s="35">
        <f>IF(B1083="","",IFERROR(INDEX(Students!$A:$A,MATCH(TRIM(B1083),Students!$A:$A,0)),"NOT ON LIST"))</f>
        <v/>
      </c>
      <c r="H1083" s="35">
        <f>IF(OR(G1083="",G1083="NOT ON LIST"),"",VLOOKUP(G1083,Students!$A:$C,2,FALSE))</f>
        <v/>
      </c>
      <c r="I1083" s="35">
        <f>IF(OR(G1083="",G1083="NOT ON LIST"),"",VLOOKUP(G1083,Students!$A:$C,3,FALSE)&amp;"")</f>
        <v/>
      </c>
    </row>
    <row r="1084">
      <c r="A1084" s="31" t="n">
        <v>46336.3125</v>
      </c>
      <c r="B1084" s="32" t="inlineStr">
        <is>
          <t>Amelia Sullivan</t>
        </is>
      </c>
      <c r="C1084" s="32" t="inlineStr">
        <is>
          <t>Maya Sullivan</t>
        </is>
      </c>
      <c r="D1084" s="33" t="n">
        <v>50</v>
      </c>
      <c r="E1084" s="32" t="inlineStr">
        <is>
          <t>OneCause</t>
        </is>
      </c>
      <c r="F1084" s="34">
        <f>IF(A1084="","",IFERROR(INT(A1084),"check date"))</f>
        <v/>
      </c>
      <c r="G1084" s="35">
        <f>IF(B1084="","",IFERROR(INDEX(Students!$A:$A,MATCH(TRIM(B1084),Students!$A:$A,0)),"NOT ON LIST"))</f>
        <v/>
      </c>
      <c r="H1084" s="35">
        <f>IF(OR(G1084="",G1084="NOT ON LIST"),"",VLOOKUP(G1084,Students!$A:$C,2,FALSE))</f>
        <v/>
      </c>
      <c r="I1084" s="35">
        <f>IF(OR(G1084="",G1084="NOT ON LIST"),"",VLOOKUP(G1084,Students!$A:$C,3,FALSE)&amp;"")</f>
        <v/>
      </c>
    </row>
    <row r="1085">
      <c r="A1085" s="31" t="n">
        <v>46339.90625</v>
      </c>
      <c r="B1085" s="32" t="inlineStr">
        <is>
          <t>Gabriel Cruz</t>
        </is>
      </c>
      <c r="C1085" s="32" t="inlineStr">
        <is>
          <t>Amelia Cruz</t>
        </is>
      </c>
      <c r="D1085" s="33" t="n">
        <v>100</v>
      </c>
      <c r="E1085" s="32" t="inlineStr">
        <is>
          <t>OneCause</t>
        </is>
      </c>
      <c r="F1085" s="34">
        <f>IF(A1085="","",IFERROR(INT(A1085),"check date"))</f>
        <v/>
      </c>
      <c r="G1085" s="35">
        <f>IF(B1085="","",IFERROR(INDEX(Students!$A:$A,MATCH(TRIM(B1085),Students!$A:$A,0)),"NOT ON LIST"))</f>
        <v/>
      </c>
      <c r="H1085" s="35">
        <f>IF(OR(G1085="",G1085="NOT ON LIST"),"",VLOOKUP(G1085,Students!$A:$C,2,FALSE))</f>
        <v/>
      </c>
      <c r="I1085" s="35">
        <f>IF(OR(G1085="",G1085="NOT ON LIST"),"",VLOOKUP(G1085,Students!$A:$C,3,FALSE)&amp;"")</f>
        <v/>
      </c>
    </row>
    <row r="1086">
      <c r="A1086" s="31" t="n">
        <v>46328.36458333334</v>
      </c>
      <c r="B1086" s="32" t="inlineStr">
        <is>
          <t>Ava Perez</t>
        </is>
      </c>
      <c r="C1086" s="32" t="inlineStr">
        <is>
          <t>Zoe Perez</t>
        </is>
      </c>
      <c r="D1086" s="33" t="n">
        <v>75</v>
      </c>
      <c r="E1086" s="32" t="inlineStr">
        <is>
          <t>OneCause</t>
        </is>
      </c>
      <c r="F1086" s="34">
        <f>IF(A1086="","",IFERROR(INT(A1086),"check date"))</f>
        <v/>
      </c>
      <c r="G1086" s="35">
        <f>IF(B1086="","",IFERROR(INDEX(Students!$A:$A,MATCH(TRIM(B1086),Students!$A:$A,0)),"NOT ON LIST"))</f>
        <v/>
      </c>
      <c r="H1086" s="35">
        <f>IF(OR(G1086="",G1086="NOT ON LIST"),"",VLOOKUP(G1086,Students!$A:$C,2,FALSE))</f>
        <v/>
      </c>
      <c r="I1086" s="35">
        <f>IF(OR(G1086="",G1086="NOT ON LIST"),"",VLOOKUP(G1086,Students!$A:$C,3,FALSE)&amp;"")</f>
        <v/>
      </c>
    </row>
    <row r="1087">
      <c r="A1087" s="31" t="n">
        <v>46332.6875</v>
      </c>
      <c r="B1087" s="32" t="inlineStr">
        <is>
          <t>Aria Ryan</t>
        </is>
      </c>
      <c r="C1087" s="32" t="inlineStr">
        <is>
          <t>Chloe Ryan</t>
        </is>
      </c>
      <c r="D1087" s="33" t="n">
        <v>40</v>
      </c>
      <c r="E1087" s="32" t="inlineStr">
        <is>
          <t>OneCause</t>
        </is>
      </c>
      <c r="F1087" s="34">
        <f>IF(A1087="","",IFERROR(INT(A1087),"check date"))</f>
        <v/>
      </c>
      <c r="G1087" s="35">
        <f>IF(B1087="","",IFERROR(INDEX(Students!$A:$A,MATCH(TRIM(B1087),Students!$A:$A,0)),"NOT ON LIST"))</f>
        <v/>
      </c>
      <c r="H1087" s="35">
        <f>IF(OR(G1087="",G1087="NOT ON LIST"),"",VLOOKUP(G1087,Students!$A:$C,2,FALSE))</f>
        <v/>
      </c>
      <c r="I1087" s="35">
        <f>IF(OR(G1087="",G1087="NOT ON LIST"),"",VLOOKUP(G1087,Students!$A:$C,3,FALSE)&amp;"")</f>
        <v/>
      </c>
    </row>
    <row r="1088">
      <c r="A1088" s="31" t="n">
        <v>46332.39583333334</v>
      </c>
      <c r="B1088" s="32" t="inlineStr">
        <is>
          <t>Noah Mendoza</t>
        </is>
      </c>
      <c r="C1088" s="32" t="inlineStr">
        <is>
          <t>Sofia Mendoza</t>
        </is>
      </c>
      <c r="D1088" s="33" t="n">
        <v>25</v>
      </c>
      <c r="E1088" s="32" t="inlineStr">
        <is>
          <t>OneCause</t>
        </is>
      </c>
      <c r="F1088" s="34">
        <f>IF(A1088="","",IFERROR(INT(A1088),"check date"))</f>
        <v/>
      </c>
      <c r="G1088" s="35">
        <f>IF(B1088="","",IFERROR(INDEX(Students!$A:$A,MATCH(TRIM(B1088),Students!$A:$A,0)),"NOT ON LIST"))</f>
        <v/>
      </c>
      <c r="H1088" s="35">
        <f>IF(OR(G1088="",G1088="NOT ON LIST"),"",VLOOKUP(G1088,Students!$A:$C,2,FALSE))</f>
        <v/>
      </c>
      <c r="I1088" s="35">
        <f>IF(OR(G1088="",G1088="NOT ON LIST"),"",VLOOKUP(G1088,Students!$A:$C,3,FALSE)&amp;"")</f>
        <v/>
      </c>
    </row>
    <row r="1089">
      <c r="A1089" s="31" t="n">
        <v>46331.51041666666</v>
      </c>
      <c r="B1089" s="32" t="inlineStr">
        <is>
          <t>Evelyn Perez</t>
        </is>
      </c>
      <c r="C1089" s="32" t="inlineStr">
        <is>
          <t>Noah Perez</t>
        </is>
      </c>
      <c r="D1089" s="33" t="n">
        <v>25</v>
      </c>
      <c r="E1089" s="32" t="inlineStr">
        <is>
          <t>OneCause</t>
        </is>
      </c>
      <c r="F1089" s="34">
        <f>IF(A1089="","",IFERROR(INT(A1089),"check date"))</f>
        <v/>
      </c>
      <c r="G1089" s="35">
        <f>IF(B1089="","",IFERROR(INDEX(Students!$A:$A,MATCH(TRIM(B1089),Students!$A:$A,0)),"NOT ON LIST"))</f>
        <v/>
      </c>
      <c r="H1089" s="35">
        <f>IF(OR(G1089="",G1089="NOT ON LIST"),"",VLOOKUP(G1089,Students!$A:$C,2,FALSE))</f>
        <v/>
      </c>
      <c r="I1089" s="35">
        <f>IF(OR(G1089="",G1089="NOT ON LIST"),"",VLOOKUP(G1089,Students!$A:$C,3,FALSE)&amp;"")</f>
        <v/>
      </c>
    </row>
    <row r="1090">
      <c r="A1090" s="31" t="n">
        <v>46339.53125</v>
      </c>
      <c r="B1090" s="32" t="inlineStr">
        <is>
          <t>David Murphy</t>
        </is>
      </c>
      <c r="C1090" s="32" t="inlineStr">
        <is>
          <t>Lucas Murphy</t>
        </is>
      </c>
      <c r="D1090" s="33" t="n">
        <v>50</v>
      </c>
      <c r="E1090" s="32" t="inlineStr">
        <is>
          <t>OneCause</t>
        </is>
      </c>
      <c r="F1090" s="34">
        <f>IF(A1090="","",IFERROR(INT(A1090),"check date"))</f>
        <v/>
      </c>
      <c r="G1090" s="35">
        <f>IF(B1090="","",IFERROR(INDEX(Students!$A:$A,MATCH(TRIM(B1090),Students!$A:$A,0)),"NOT ON LIST"))</f>
        <v/>
      </c>
      <c r="H1090" s="35">
        <f>IF(OR(G1090="",G1090="NOT ON LIST"),"",VLOOKUP(G1090,Students!$A:$C,2,FALSE))</f>
        <v/>
      </c>
      <c r="I1090" s="35">
        <f>IF(OR(G1090="",G1090="NOT ON LIST"),"",VLOOKUP(G1090,Students!$A:$C,3,FALSE)&amp;"")</f>
        <v/>
      </c>
    </row>
    <row r="1091">
      <c r="A1091" s="31" t="n">
        <v>46339.72916666666</v>
      </c>
      <c r="B1091" s="32" t="inlineStr">
        <is>
          <t>Zoe Murphy</t>
        </is>
      </c>
      <c r="C1091" s="32" t="inlineStr">
        <is>
          <t>Ella Murphy</t>
        </is>
      </c>
      <c r="D1091" s="33" t="n">
        <v>100</v>
      </c>
      <c r="E1091" s="32" t="inlineStr">
        <is>
          <t>OneCause</t>
        </is>
      </c>
      <c r="F1091" s="34">
        <f>IF(A1091="","",IFERROR(INT(A1091),"check date"))</f>
        <v/>
      </c>
      <c r="G1091" s="35">
        <f>IF(B1091="","",IFERROR(INDEX(Students!$A:$A,MATCH(TRIM(B1091),Students!$A:$A,0)),"NOT ON LIST"))</f>
        <v/>
      </c>
      <c r="H1091" s="35">
        <f>IF(OR(G1091="",G1091="NOT ON LIST"),"",VLOOKUP(G1091,Students!$A:$C,2,FALSE))</f>
        <v/>
      </c>
      <c r="I1091" s="35">
        <f>IF(OR(G1091="",G1091="NOT ON LIST"),"",VLOOKUP(G1091,Students!$A:$C,3,FALSE)&amp;"")</f>
        <v/>
      </c>
    </row>
    <row r="1092">
      <c r="A1092" s="31" t="n">
        <v>46331.6875</v>
      </c>
      <c r="B1092" s="32" t="inlineStr">
        <is>
          <t>Adrian Nguyen</t>
        </is>
      </c>
      <c r="C1092" s="32" t="inlineStr">
        <is>
          <t>James Nguyen</t>
        </is>
      </c>
      <c r="D1092" s="33" t="n">
        <v>50</v>
      </c>
      <c r="E1092" s="32" t="inlineStr">
        <is>
          <t>OneCause</t>
        </is>
      </c>
      <c r="F1092" s="34">
        <f>IF(A1092="","",IFERROR(INT(A1092),"check date"))</f>
        <v/>
      </c>
      <c r="G1092" s="35">
        <f>IF(B1092="","",IFERROR(INDEX(Students!$A:$A,MATCH(TRIM(B1092),Students!$A:$A,0)),"NOT ON LIST"))</f>
        <v/>
      </c>
      <c r="H1092" s="35">
        <f>IF(OR(G1092="",G1092="NOT ON LIST"),"",VLOOKUP(G1092,Students!$A:$C,2,FALSE))</f>
        <v/>
      </c>
      <c r="I1092" s="35">
        <f>IF(OR(G1092="",G1092="NOT ON LIST"),"",VLOOKUP(G1092,Students!$A:$C,3,FALSE)&amp;"")</f>
        <v/>
      </c>
    </row>
    <row r="1093">
      <c r="A1093" s="31" t="n">
        <v>46339.71875</v>
      </c>
      <c r="B1093" s="32" t="inlineStr">
        <is>
          <t>Samuel Sullivan</t>
        </is>
      </c>
      <c r="C1093" s="32" t="inlineStr">
        <is>
          <t>Leo Sullivan</t>
        </is>
      </c>
      <c r="D1093" s="33" t="n">
        <v>100</v>
      </c>
      <c r="E1093" s="32" t="inlineStr">
        <is>
          <t>OneCause</t>
        </is>
      </c>
      <c r="F1093" s="34">
        <f>IF(A1093="","",IFERROR(INT(A1093),"check date"))</f>
        <v/>
      </c>
      <c r="G1093" s="35">
        <f>IF(B1093="","",IFERROR(INDEX(Students!$A:$A,MATCH(TRIM(B1093),Students!$A:$A,0)),"NOT ON LIST"))</f>
        <v/>
      </c>
      <c r="H1093" s="35">
        <f>IF(OR(G1093="",G1093="NOT ON LIST"),"",VLOOKUP(G1093,Students!$A:$C,2,FALSE))</f>
        <v/>
      </c>
      <c r="I1093" s="35">
        <f>IF(OR(G1093="",G1093="NOT ON LIST"),"",VLOOKUP(G1093,Students!$A:$C,3,FALSE)&amp;"")</f>
        <v/>
      </c>
    </row>
    <row r="1094">
      <c r="A1094" s="31" t="n">
        <v>46328.72916666666</v>
      </c>
      <c r="B1094" s="32" t="inlineStr">
        <is>
          <t>Leo Gutierrez</t>
        </is>
      </c>
      <c r="C1094" s="32" t="inlineStr">
        <is>
          <t>Leo Gutierrez</t>
        </is>
      </c>
      <c r="D1094" s="33" t="n">
        <v>10</v>
      </c>
      <c r="E1094" s="32" t="inlineStr">
        <is>
          <t>OneCause</t>
        </is>
      </c>
      <c r="F1094" s="34">
        <f>IF(A1094="","",IFERROR(INT(A1094),"check date"))</f>
        <v/>
      </c>
      <c r="G1094" s="35">
        <f>IF(B1094="","",IFERROR(INDEX(Students!$A:$A,MATCH(TRIM(B1094),Students!$A:$A,0)),"NOT ON LIST"))</f>
        <v/>
      </c>
      <c r="H1094" s="35">
        <f>IF(OR(G1094="",G1094="NOT ON LIST"),"",VLOOKUP(G1094,Students!$A:$C,2,FALSE))</f>
        <v/>
      </c>
      <c r="I1094" s="35">
        <f>IF(OR(G1094="",G1094="NOT ON LIST"),"",VLOOKUP(G1094,Students!$A:$C,3,FALSE)&amp;"")</f>
        <v/>
      </c>
    </row>
    <row r="1095">
      <c r="A1095" s="31" t="n">
        <v>46338.52083333334</v>
      </c>
      <c r="B1095" s="32" t="inlineStr">
        <is>
          <t>Emma Williams</t>
        </is>
      </c>
      <c r="C1095" s="32" t="inlineStr">
        <is>
          <t>Daniel Williams</t>
        </is>
      </c>
      <c r="D1095" s="33" t="n">
        <v>10</v>
      </c>
      <c r="E1095" s="32" t="inlineStr">
        <is>
          <t>OneCause</t>
        </is>
      </c>
      <c r="F1095" s="34">
        <f>IF(A1095="","",IFERROR(INT(A1095),"check date"))</f>
        <v/>
      </c>
      <c r="G1095" s="35">
        <f>IF(B1095="","",IFERROR(INDEX(Students!$A:$A,MATCH(TRIM(B1095),Students!$A:$A,0)),"NOT ON LIST"))</f>
        <v/>
      </c>
      <c r="H1095" s="35">
        <f>IF(OR(G1095="",G1095="NOT ON LIST"),"",VLOOKUP(G1095,Students!$A:$C,2,FALSE))</f>
        <v/>
      </c>
      <c r="I1095" s="35">
        <f>IF(OR(G1095="",G1095="NOT ON LIST"),"",VLOOKUP(G1095,Students!$A:$C,3,FALSE)&amp;"")</f>
        <v/>
      </c>
    </row>
    <row r="1096">
      <c r="A1096" s="31" t="n">
        <v>46331.35416666666</v>
      </c>
      <c r="B1096" s="32" t="inlineStr">
        <is>
          <t>James Torres</t>
        </is>
      </c>
      <c r="C1096" s="32" t="inlineStr">
        <is>
          <t>Zoe Torres</t>
        </is>
      </c>
      <c r="D1096" s="33" t="n">
        <v>40</v>
      </c>
      <c r="E1096" s="32" t="inlineStr">
        <is>
          <t>OneCause</t>
        </is>
      </c>
      <c r="F1096" s="34">
        <f>IF(A1096="","",IFERROR(INT(A1096),"check date"))</f>
        <v/>
      </c>
      <c r="G1096" s="35">
        <f>IF(B1096="","",IFERROR(INDEX(Students!$A:$A,MATCH(TRIM(B1096),Students!$A:$A,0)),"NOT ON LIST"))</f>
        <v/>
      </c>
      <c r="H1096" s="35">
        <f>IF(OR(G1096="",G1096="NOT ON LIST"),"",VLOOKUP(G1096,Students!$A:$C,2,FALSE))</f>
        <v/>
      </c>
      <c r="I1096" s="35">
        <f>IF(OR(G1096="",G1096="NOT ON LIST"),"",VLOOKUP(G1096,Students!$A:$C,3,FALSE)&amp;"")</f>
        <v/>
      </c>
    </row>
    <row r="1097">
      <c r="A1097" s="31" t="n">
        <v>46328.89583333334</v>
      </c>
      <c r="B1097" s="32" t="inlineStr">
        <is>
          <t>Mateo Mendoza</t>
        </is>
      </c>
      <c r="C1097" s="32" t="inlineStr">
        <is>
          <t>Mateo Mendoza</t>
        </is>
      </c>
      <c r="D1097" s="33" t="n">
        <v>40</v>
      </c>
      <c r="E1097" s="32" t="inlineStr">
        <is>
          <t>OneCause</t>
        </is>
      </c>
      <c r="F1097" s="34">
        <f>IF(A1097="","",IFERROR(INT(A1097),"check date"))</f>
        <v/>
      </c>
      <c r="G1097" s="35">
        <f>IF(B1097="","",IFERROR(INDEX(Students!$A:$A,MATCH(TRIM(B1097),Students!$A:$A,0)),"NOT ON LIST"))</f>
        <v/>
      </c>
      <c r="H1097" s="35">
        <f>IF(OR(G1097="",G1097="NOT ON LIST"),"",VLOOKUP(G1097,Students!$A:$C,2,FALSE))</f>
        <v/>
      </c>
      <c r="I1097" s="35">
        <f>IF(OR(G1097="",G1097="NOT ON LIST"),"",VLOOKUP(G1097,Students!$A:$C,3,FALSE)&amp;"")</f>
        <v/>
      </c>
    </row>
    <row r="1098">
      <c r="A1098" s="31" t="n">
        <v>46339.55208333334</v>
      </c>
      <c r="B1098" s="32" t="inlineStr">
        <is>
          <t>Harper Diaz</t>
        </is>
      </c>
      <c r="C1098" s="32" t="inlineStr">
        <is>
          <t>Evelyn Diaz</t>
        </is>
      </c>
      <c r="D1098" s="33" t="n">
        <v>100</v>
      </c>
      <c r="E1098" s="32" t="inlineStr">
        <is>
          <t>OneCause</t>
        </is>
      </c>
      <c r="F1098" s="34">
        <f>IF(A1098="","",IFERROR(INT(A1098),"check date"))</f>
        <v/>
      </c>
      <c r="G1098" s="35">
        <f>IF(B1098="","",IFERROR(INDEX(Students!$A:$A,MATCH(TRIM(B1098),Students!$A:$A,0)),"NOT ON LIST"))</f>
        <v/>
      </c>
      <c r="H1098" s="35">
        <f>IF(OR(G1098="",G1098="NOT ON LIST"),"",VLOOKUP(G1098,Students!$A:$C,2,FALSE))</f>
        <v/>
      </c>
      <c r="I1098" s="35">
        <f>IF(OR(G1098="",G1098="NOT ON LIST"),"",VLOOKUP(G1098,Students!$A:$C,3,FALSE)&amp;"")</f>
        <v/>
      </c>
    </row>
    <row r="1099">
      <c r="A1099" s="31" t="n">
        <v>46326.41666666666</v>
      </c>
      <c r="B1099" s="32" t="inlineStr">
        <is>
          <t>Liam Walsh</t>
        </is>
      </c>
      <c r="C1099" s="32" t="inlineStr">
        <is>
          <t>Harper Walsh</t>
        </is>
      </c>
      <c r="D1099" s="33" t="n">
        <v>75</v>
      </c>
      <c r="E1099" s="32" t="inlineStr">
        <is>
          <t>OneCause</t>
        </is>
      </c>
      <c r="F1099" s="34">
        <f>IF(A1099="","",IFERROR(INT(A1099),"check date"))</f>
        <v/>
      </c>
      <c r="G1099" s="35">
        <f>IF(B1099="","",IFERROR(INDEX(Students!$A:$A,MATCH(TRIM(B1099),Students!$A:$A,0)),"NOT ON LIST"))</f>
        <v/>
      </c>
      <c r="H1099" s="35">
        <f>IF(OR(G1099="",G1099="NOT ON LIST"),"",VLOOKUP(G1099,Students!$A:$C,2,FALSE))</f>
        <v/>
      </c>
      <c r="I1099" s="35">
        <f>IF(OR(G1099="",G1099="NOT ON LIST"),"",VLOOKUP(G1099,Students!$A:$C,3,FALSE)&amp;"")</f>
        <v/>
      </c>
    </row>
    <row r="1100">
      <c r="A1100" s="31" t="n">
        <v>46339.67708333334</v>
      </c>
      <c r="B1100" s="32" t="inlineStr">
        <is>
          <t>Harper Murphy</t>
        </is>
      </c>
      <c r="C1100" s="32" t="inlineStr">
        <is>
          <t>Chloe Murphy</t>
        </is>
      </c>
      <c r="D1100" s="33" t="n">
        <v>50</v>
      </c>
      <c r="E1100" s="32" t="inlineStr">
        <is>
          <t>OneCause</t>
        </is>
      </c>
      <c r="F1100" s="34">
        <f>IF(A1100="","",IFERROR(INT(A1100),"check date"))</f>
        <v/>
      </c>
      <c r="G1100" s="35">
        <f>IF(B1100="","",IFERROR(INDEX(Students!$A:$A,MATCH(TRIM(B1100),Students!$A:$A,0)),"NOT ON LIST"))</f>
        <v/>
      </c>
      <c r="H1100" s="35">
        <f>IF(OR(G1100="",G1100="NOT ON LIST"),"",VLOOKUP(G1100,Students!$A:$C,2,FALSE))</f>
        <v/>
      </c>
      <c r="I1100" s="35">
        <f>IF(OR(G1100="",G1100="NOT ON LIST"),"",VLOOKUP(G1100,Students!$A:$C,3,FALSE)&amp;"")</f>
        <v/>
      </c>
    </row>
    <row r="1101">
      <c r="A1101" s="31" t="n">
        <v>46326.33333333334</v>
      </c>
      <c r="B1101" s="32" t="inlineStr">
        <is>
          <t>Samuel Ryan</t>
        </is>
      </c>
      <c r="C1101" s="32" t="inlineStr">
        <is>
          <t>Elijah Ryan</t>
        </is>
      </c>
      <c r="D1101" s="33" t="n">
        <v>10</v>
      </c>
      <c r="E1101" s="32" t="inlineStr">
        <is>
          <t>OneCause</t>
        </is>
      </c>
      <c r="F1101" s="34">
        <f>IF(A1101="","",IFERROR(INT(A1101),"check date"))</f>
        <v/>
      </c>
      <c r="G1101" s="35">
        <f>IF(B1101="","",IFERROR(INDEX(Students!$A:$A,MATCH(TRIM(B1101),Students!$A:$A,0)),"NOT ON LIST"))</f>
        <v/>
      </c>
      <c r="H1101" s="35">
        <f>IF(OR(G1101="",G1101="NOT ON LIST"),"",VLOOKUP(G1101,Students!$A:$C,2,FALSE))</f>
        <v/>
      </c>
      <c r="I1101" s="35">
        <f>IF(OR(G1101="",G1101="NOT ON LIST"),"",VLOOKUP(G1101,Students!$A:$C,3,FALSE)&amp;"")</f>
        <v/>
      </c>
    </row>
    <row r="1102">
      <c r="A1102" s="31" t="n">
        <v>46329.70833333334</v>
      </c>
      <c r="B1102" s="32" t="inlineStr">
        <is>
          <t>Lily Garcia</t>
        </is>
      </c>
      <c r="C1102" s="32" t="inlineStr">
        <is>
          <t>Diego Garcia</t>
        </is>
      </c>
      <c r="D1102" s="33" t="n">
        <v>25</v>
      </c>
      <c r="E1102" s="32" t="inlineStr">
        <is>
          <t>OneCause</t>
        </is>
      </c>
      <c r="F1102" s="34">
        <f>IF(A1102="","",IFERROR(INT(A1102),"check date"))</f>
        <v/>
      </c>
      <c r="G1102" s="35">
        <f>IF(B1102="","",IFERROR(INDEX(Students!$A:$A,MATCH(TRIM(B1102),Students!$A:$A,0)),"NOT ON LIST"))</f>
        <v/>
      </c>
      <c r="H1102" s="35">
        <f>IF(OR(G1102="",G1102="NOT ON LIST"),"",VLOOKUP(G1102,Students!$A:$C,2,FALSE))</f>
        <v/>
      </c>
      <c r="I1102" s="35">
        <f>IF(OR(G1102="",G1102="NOT ON LIST"),"",VLOOKUP(G1102,Students!$A:$C,3,FALSE)&amp;"")</f>
        <v/>
      </c>
    </row>
    <row r="1103">
      <c r="A1103" s="31" t="n">
        <v>46334.5625</v>
      </c>
      <c r="B1103" s="32" t="inlineStr">
        <is>
          <t>Maya Ryan</t>
        </is>
      </c>
      <c r="C1103" s="32" t="inlineStr">
        <is>
          <t>Benjamin Ryan</t>
        </is>
      </c>
      <c r="D1103" s="33" t="n">
        <v>10</v>
      </c>
      <c r="E1103" s="32" t="inlineStr">
        <is>
          <t>OneCause</t>
        </is>
      </c>
      <c r="F1103" s="34">
        <f>IF(A1103="","",IFERROR(INT(A1103),"check date"))</f>
        <v/>
      </c>
      <c r="G1103" s="35">
        <f>IF(B1103="","",IFERROR(INDEX(Students!$A:$A,MATCH(TRIM(B1103),Students!$A:$A,0)),"NOT ON LIST"))</f>
        <v/>
      </c>
      <c r="H1103" s="35">
        <f>IF(OR(G1103="",G1103="NOT ON LIST"),"",VLOOKUP(G1103,Students!$A:$C,2,FALSE))</f>
        <v/>
      </c>
      <c r="I1103" s="35">
        <f>IF(OR(G1103="",G1103="NOT ON LIST"),"",VLOOKUP(G1103,Students!$A:$C,3,FALSE)&amp;"")</f>
        <v/>
      </c>
    </row>
    <row r="1104">
      <c r="A1104" s="31" t="n">
        <v>46335.40625</v>
      </c>
      <c r="B1104" s="32" t="inlineStr">
        <is>
          <t>Elena O'Brien</t>
        </is>
      </c>
      <c r="C1104" s="32" t="inlineStr">
        <is>
          <t>Ella O'Brien</t>
        </is>
      </c>
      <c r="D1104" s="33" t="n">
        <v>100</v>
      </c>
      <c r="E1104" s="32" t="inlineStr">
        <is>
          <t>OneCause</t>
        </is>
      </c>
      <c r="F1104" s="34">
        <f>IF(A1104="","",IFERROR(INT(A1104),"check date"))</f>
        <v/>
      </c>
      <c r="G1104" s="35">
        <f>IF(B1104="","",IFERROR(INDEX(Students!$A:$A,MATCH(TRIM(B1104),Students!$A:$A,0)),"NOT ON LIST"))</f>
        <v/>
      </c>
      <c r="H1104" s="35">
        <f>IF(OR(G1104="",G1104="NOT ON LIST"),"",VLOOKUP(G1104,Students!$A:$C,2,FALSE))</f>
        <v/>
      </c>
      <c r="I1104" s="35">
        <f>IF(OR(G1104="",G1104="NOT ON LIST"),"",VLOOKUP(G1104,Students!$A:$C,3,FALSE)&amp;"")</f>
        <v/>
      </c>
    </row>
    <row r="1105">
      <c r="A1105" s="31" t="n">
        <v>46333.79166666666</v>
      </c>
      <c r="B1105" s="32" t="inlineStr">
        <is>
          <t>Evelyn Perez</t>
        </is>
      </c>
      <c r="C1105" s="32" t="inlineStr">
        <is>
          <t>Isaac Perez</t>
        </is>
      </c>
      <c r="D1105" s="33" t="n">
        <v>25</v>
      </c>
      <c r="E1105" s="32" t="inlineStr">
        <is>
          <t>OneCause</t>
        </is>
      </c>
      <c r="F1105" s="34">
        <f>IF(A1105="","",IFERROR(INT(A1105),"check date"))</f>
        <v/>
      </c>
      <c r="G1105" s="35">
        <f>IF(B1105="","",IFERROR(INDEX(Students!$A:$A,MATCH(TRIM(B1105),Students!$A:$A,0)),"NOT ON LIST"))</f>
        <v/>
      </c>
      <c r="H1105" s="35">
        <f>IF(OR(G1105="",G1105="NOT ON LIST"),"",VLOOKUP(G1105,Students!$A:$C,2,FALSE))</f>
        <v/>
      </c>
      <c r="I1105" s="35">
        <f>IF(OR(G1105="",G1105="NOT ON LIST"),"",VLOOKUP(G1105,Students!$A:$C,3,FALSE)&amp;"")</f>
        <v/>
      </c>
    </row>
    <row r="1106">
      <c r="A1106" s="31" t="n">
        <v>46336.53125</v>
      </c>
      <c r="B1106" s="32" t="inlineStr">
        <is>
          <t>Aria Ramirez</t>
        </is>
      </c>
      <c r="C1106" s="32" t="inlineStr">
        <is>
          <t>Leo Ramirez</t>
        </is>
      </c>
      <c r="D1106" s="33" t="n">
        <v>20</v>
      </c>
      <c r="E1106" s="32" t="inlineStr">
        <is>
          <t>OneCause</t>
        </is>
      </c>
      <c r="F1106" s="34">
        <f>IF(A1106="","",IFERROR(INT(A1106),"check date"))</f>
        <v/>
      </c>
      <c r="G1106" s="35">
        <f>IF(B1106="","",IFERROR(INDEX(Students!$A:$A,MATCH(TRIM(B1106),Students!$A:$A,0)),"NOT ON LIST"))</f>
        <v/>
      </c>
      <c r="H1106" s="35">
        <f>IF(OR(G1106="",G1106="NOT ON LIST"),"",VLOOKUP(G1106,Students!$A:$C,2,FALSE))</f>
        <v/>
      </c>
      <c r="I1106" s="35">
        <f>IF(OR(G1106="",G1106="NOT ON LIST"),"",VLOOKUP(G1106,Students!$A:$C,3,FALSE)&amp;"")</f>
        <v/>
      </c>
    </row>
    <row r="1107">
      <c r="A1107" s="31" t="n">
        <v>46338.38541666666</v>
      </c>
      <c r="B1107" s="32" t="inlineStr">
        <is>
          <t>Chloe Diaz</t>
        </is>
      </c>
      <c r="C1107" s="32" t="inlineStr">
        <is>
          <t>Julian Diaz</t>
        </is>
      </c>
      <c r="D1107" s="33" t="n">
        <v>10</v>
      </c>
      <c r="E1107" s="32" t="inlineStr">
        <is>
          <t>OneCause</t>
        </is>
      </c>
      <c r="F1107" s="34">
        <f>IF(A1107="","",IFERROR(INT(A1107),"check date"))</f>
        <v/>
      </c>
      <c r="G1107" s="35">
        <f>IF(B1107="","",IFERROR(INDEX(Students!$A:$A,MATCH(TRIM(B1107),Students!$A:$A,0)),"NOT ON LIST"))</f>
        <v/>
      </c>
      <c r="H1107" s="35">
        <f>IF(OR(G1107="",G1107="NOT ON LIST"),"",VLOOKUP(G1107,Students!$A:$C,2,FALSE))</f>
        <v/>
      </c>
      <c r="I1107" s="35">
        <f>IF(OR(G1107="",G1107="NOT ON LIST"),"",VLOOKUP(G1107,Students!$A:$C,3,FALSE)&amp;"")</f>
        <v/>
      </c>
    </row>
    <row r="1108">
      <c r="A1108" s="31" t="n">
        <v>46339.52083333334</v>
      </c>
      <c r="B1108" s="32" t="inlineStr">
        <is>
          <t>Liam Rodriguez</t>
        </is>
      </c>
      <c r="C1108" s="32" t="inlineStr">
        <is>
          <t>Ella Rodriguez</t>
        </is>
      </c>
      <c r="D1108" s="33" t="n">
        <v>20</v>
      </c>
      <c r="E1108" s="32" t="inlineStr">
        <is>
          <t>OneCause</t>
        </is>
      </c>
      <c r="F1108" s="34">
        <f>IF(A1108="","",IFERROR(INT(A1108),"check date"))</f>
        <v/>
      </c>
      <c r="G1108" s="35">
        <f>IF(B1108="","",IFERROR(INDEX(Students!$A:$A,MATCH(TRIM(B1108),Students!$A:$A,0)),"NOT ON LIST"))</f>
        <v/>
      </c>
      <c r="H1108" s="35">
        <f>IF(OR(G1108="",G1108="NOT ON LIST"),"",VLOOKUP(G1108,Students!$A:$C,2,FALSE))</f>
        <v/>
      </c>
      <c r="I1108" s="35">
        <f>IF(OR(G1108="",G1108="NOT ON LIST"),"",VLOOKUP(G1108,Students!$A:$C,3,FALSE)&amp;"")</f>
        <v/>
      </c>
    </row>
    <row r="1109">
      <c r="A1109" s="31" t="n">
        <v>46333.83333333334</v>
      </c>
      <c r="B1109" s="32" t="inlineStr">
        <is>
          <t>Samuel Ryan</t>
        </is>
      </c>
      <c r="C1109" s="32" t="inlineStr">
        <is>
          <t>Valentina Ryan</t>
        </is>
      </c>
      <c r="D1109" s="33" t="n">
        <v>50</v>
      </c>
      <c r="E1109" s="32" t="inlineStr">
        <is>
          <t>OneCause</t>
        </is>
      </c>
      <c r="F1109" s="34">
        <f>IF(A1109="","",IFERROR(INT(A1109),"check date"))</f>
        <v/>
      </c>
      <c r="G1109" s="35">
        <f>IF(B1109="","",IFERROR(INDEX(Students!$A:$A,MATCH(TRIM(B1109),Students!$A:$A,0)),"NOT ON LIST"))</f>
        <v/>
      </c>
      <c r="H1109" s="35">
        <f>IF(OR(G1109="",G1109="NOT ON LIST"),"",VLOOKUP(G1109,Students!$A:$C,2,FALSE))</f>
        <v/>
      </c>
      <c r="I1109" s="35">
        <f>IF(OR(G1109="",G1109="NOT ON LIST"),"",VLOOKUP(G1109,Students!$A:$C,3,FALSE)&amp;"")</f>
        <v/>
      </c>
    </row>
    <row r="1110">
      <c r="A1110" s="31" t="n">
        <v>46338.90625</v>
      </c>
      <c r="B1110" s="32" t="inlineStr">
        <is>
          <t>Joseph Gutierrez</t>
        </is>
      </c>
      <c r="C1110" s="32" t="inlineStr">
        <is>
          <t>Chloe Gutierrez</t>
        </is>
      </c>
      <c r="D1110" s="33" t="n">
        <v>20</v>
      </c>
      <c r="E1110" s="32" t="inlineStr">
        <is>
          <t>OneCause</t>
        </is>
      </c>
      <c r="F1110" s="34">
        <f>IF(A1110="","",IFERROR(INT(A1110),"check date"))</f>
        <v/>
      </c>
      <c r="G1110" s="35">
        <f>IF(B1110="","",IFERROR(INDEX(Students!$A:$A,MATCH(TRIM(B1110),Students!$A:$A,0)),"NOT ON LIST"))</f>
        <v/>
      </c>
      <c r="H1110" s="35">
        <f>IF(OR(G1110="",G1110="NOT ON LIST"),"",VLOOKUP(G1110,Students!$A:$C,2,FALSE))</f>
        <v/>
      </c>
      <c r="I1110" s="35">
        <f>IF(OR(G1110="",G1110="NOT ON LIST"),"",VLOOKUP(G1110,Students!$A:$C,3,FALSE)&amp;"")</f>
        <v/>
      </c>
    </row>
    <row r="1111">
      <c r="A1111" s="31" t="n">
        <v>46328.5</v>
      </c>
      <c r="B1111" s="32" t="inlineStr">
        <is>
          <t>Mateo Vasquez</t>
        </is>
      </c>
      <c r="C1111" s="32" t="inlineStr">
        <is>
          <t>Emma Vasquez</t>
        </is>
      </c>
      <c r="D1111" s="33" t="n">
        <v>50</v>
      </c>
      <c r="E1111" s="32" t="inlineStr">
        <is>
          <t>OneCause</t>
        </is>
      </c>
      <c r="F1111" s="34">
        <f>IF(A1111="","",IFERROR(INT(A1111),"check date"))</f>
        <v/>
      </c>
      <c r="G1111" s="35">
        <f>IF(B1111="","",IFERROR(INDEX(Students!$A:$A,MATCH(TRIM(B1111),Students!$A:$A,0)),"NOT ON LIST"))</f>
        <v/>
      </c>
      <c r="H1111" s="35">
        <f>IF(OR(G1111="",G1111="NOT ON LIST"),"",VLOOKUP(G1111,Students!$A:$C,2,FALSE))</f>
        <v/>
      </c>
      <c r="I1111" s="35">
        <f>IF(OR(G1111="",G1111="NOT ON LIST"),"",VLOOKUP(G1111,Students!$A:$C,3,FALSE)&amp;"")</f>
        <v/>
      </c>
    </row>
    <row r="1112">
      <c r="A1112" s="31" t="n">
        <v>46330.77083333334</v>
      </c>
      <c r="B1112" s="32" t="inlineStr">
        <is>
          <t>Emma Perez</t>
        </is>
      </c>
      <c r="C1112" s="32" t="inlineStr">
        <is>
          <t>Leo Perez</t>
        </is>
      </c>
      <c r="D1112" s="33" t="n">
        <v>50</v>
      </c>
      <c r="E1112" s="32" t="inlineStr">
        <is>
          <t>OneCause</t>
        </is>
      </c>
      <c r="F1112" s="34">
        <f>IF(A1112="","",IFERROR(INT(A1112),"check date"))</f>
        <v/>
      </c>
      <c r="G1112" s="35">
        <f>IF(B1112="","",IFERROR(INDEX(Students!$A:$A,MATCH(TRIM(B1112),Students!$A:$A,0)),"NOT ON LIST"))</f>
        <v/>
      </c>
      <c r="H1112" s="35">
        <f>IF(OR(G1112="",G1112="NOT ON LIST"),"",VLOOKUP(G1112,Students!$A:$C,2,FALSE))</f>
        <v/>
      </c>
      <c r="I1112" s="35">
        <f>IF(OR(G1112="",G1112="NOT ON LIST"),"",VLOOKUP(G1112,Students!$A:$C,3,FALSE)&amp;"")</f>
        <v/>
      </c>
    </row>
    <row r="1113">
      <c r="A1113" s="31" t="n">
        <v>46330.65625</v>
      </c>
      <c r="B1113" s="32" t="inlineStr">
        <is>
          <t>Zoe Hernandez</t>
        </is>
      </c>
      <c r="C1113" s="32" t="inlineStr">
        <is>
          <t>Maya Hernandez</t>
        </is>
      </c>
      <c r="D1113" s="33" t="n">
        <v>150</v>
      </c>
      <c r="E1113" s="32" t="inlineStr">
        <is>
          <t>OneCause</t>
        </is>
      </c>
      <c r="F1113" s="34">
        <f>IF(A1113="","",IFERROR(INT(A1113),"check date"))</f>
        <v/>
      </c>
      <c r="G1113" s="35">
        <f>IF(B1113="","",IFERROR(INDEX(Students!$A:$A,MATCH(TRIM(B1113),Students!$A:$A,0)),"NOT ON LIST"))</f>
        <v/>
      </c>
      <c r="H1113" s="35">
        <f>IF(OR(G1113="",G1113="NOT ON LIST"),"",VLOOKUP(G1113,Students!$A:$C,2,FALSE))</f>
        <v/>
      </c>
      <c r="I1113" s="35">
        <f>IF(OR(G1113="",G1113="NOT ON LIST"),"",VLOOKUP(G1113,Students!$A:$C,3,FALSE)&amp;"")</f>
        <v/>
      </c>
    </row>
    <row r="1114">
      <c r="A1114" s="31" t="n">
        <v>46325.8125</v>
      </c>
      <c r="B1114" s="32" t="inlineStr">
        <is>
          <t>Lily Garcia</t>
        </is>
      </c>
      <c r="C1114" s="32" t="inlineStr">
        <is>
          <t>Ella Garcia</t>
        </is>
      </c>
      <c r="D1114" s="33" t="n">
        <v>10</v>
      </c>
      <c r="E1114" s="32" t="inlineStr">
        <is>
          <t>OneCause</t>
        </is>
      </c>
      <c r="F1114" s="34">
        <f>IF(A1114="","",IFERROR(INT(A1114),"check date"))</f>
        <v/>
      </c>
      <c r="G1114" s="35">
        <f>IF(B1114="","",IFERROR(INDEX(Students!$A:$A,MATCH(TRIM(B1114),Students!$A:$A,0)),"NOT ON LIST"))</f>
        <v/>
      </c>
      <c r="H1114" s="35">
        <f>IF(OR(G1114="",G1114="NOT ON LIST"),"",VLOOKUP(G1114,Students!$A:$C,2,FALSE))</f>
        <v/>
      </c>
      <c r="I1114" s="35">
        <f>IF(OR(G1114="",G1114="NOT ON LIST"),"",VLOOKUP(G1114,Students!$A:$C,3,FALSE)&amp;"")</f>
        <v/>
      </c>
    </row>
    <row r="1115">
      <c r="A1115" s="31" t="n">
        <v>46325.71875</v>
      </c>
      <c r="B1115" s="32" t="inlineStr">
        <is>
          <t>Mia Ortiz</t>
        </is>
      </c>
      <c r="C1115" s="32" t="inlineStr">
        <is>
          <t>Zoe Ortiz</t>
        </is>
      </c>
      <c r="D1115" s="33" t="n">
        <v>20</v>
      </c>
      <c r="E1115" s="32" t="inlineStr">
        <is>
          <t>OneCause</t>
        </is>
      </c>
      <c r="F1115" s="34">
        <f>IF(A1115="","",IFERROR(INT(A1115),"check date"))</f>
        <v/>
      </c>
      <c r="G1115" s="35">
        <f>IF(B1115="","",IFERROR(INDEX(Students!$A:$A,MATCH(TRIM(B1115),Students!$A:$A,0)),"NOT ON LIST"))</f>
        <v/>
      </c>
      <c r="H1115" s="35">
        <f>IF(OR(G1115="",G1115="NOT ON LIST"),"",VLOOKUP(G1115,Students!$A:$C,2,FALSE))</f>
        <v/>
      </c>
      <c r="I1115" s="35">
        <f>IF(OR(G1115="",G1115="NOT ON LIST"),"",VLOOKUP(G1115,Students!$A:$C,3,FALSE)&amp;"")</f>
        <v/>
      </c>
    </row>
    <row r="1116">
      <c r="A1116" s="31" t="n">
        <v>46331.64583333334</v>
      </c>
      <c r="B1116" s="32" t="inlineStr">
        <is>
          <t>Olivia Martinez</t>
        </is>
      </c>
      <c r="C1116" s="32" t="inlineStr">
        <is>
          <t>Ella Martinez</t>
        </is>
      </c>
      <c r="D1116" s="33" t="n">
        <v>50</v>
      </c>
      <c r="E1116" s="32" t="inlineStr">
        <is>
          <t>OneCause</t>
        </is>
      </c>
      <c r="F1116" s="34">
        <f>IF(A1116="","",IFERROR(INT(A1116),"check date"))</f>
        <v/>
      </c>
      <c r="G1116" s="35">
        <f>IF(B1116="","",IFERROR(INDEX(Students!$A:$A,MATCH(TRIM(B1116),Students!$A:$A,0)),"NOT ON LIST"))</f>
        <v/>
      </c>
      <c r="H1116" s="35">
        <f>IF(OR(G1116="",G1116="NOT ON LIST"),"",VLOOKUP(G1116,Students!$A:$C,2,FALSE))</f>
        <v/>
      </c>
      <c r="I1116" s="35">
        <f>IF(OR(G1116="",G1116="NOT ON LIST"),"",VLOOKUP(G1116,Students!$A:$C,3,FALSE)&amp;"")</f>
        <v/>
      </c>
    </row>
    <row r="1117">
      <c r="A1117" s="31" t="n">
        <v>46325.46875</v>
      </c>
      <c r="B1117" s="32" t="inlineStr">
        <is>
          <t>Clara Gutierrez</t>
        </is>
      </c>
      <c r="C1117" s="32" t="inlineStr">
        <is>
          <t>Daniel Gutierrez</t>
        </is>
      </c>
      <c r="D1117" s="33" t="n">
        <v>25</v>
      </c>
      <c r="E1117" s="32" t="inlineStr">
        <is>
          <t>OneCause</t>
        </is>
      </c>
      <c r="F1117" s="34">
        <f>IF(A1117="","",IFERROR(INT(A1117),"check date"))</f>
        <v/>
      </c>
      <c r="G1117" s="35">
        <f>IF(B1117="","",IFERROR(INDEX(Students!$A:$A,MATCH(TRIM(B1117),Students!$A:$A,0)),"NOT ON LIST"))</f>
        <v/>
      </c>
      <c r="H1117" s="35">
        <f>IF(OR(G1117="",G1117="NOT ON LIST"),"",VLOOKUP(G1117,Students!$A:$C,2,FALSE))</f>
        <v/>
      </c>
      <c r="I1117" s="35">
        <f>IF(OR(G1117="",G1117="NOT ON LIST"),"",VLOOKUP(G1117,Students!$A:$C,3,FALSE)&amp;"")</f>
        <v/>
      </c>
    </row>
    <row r="1118">
      <c r="A1118" s="31" t="n">
        <v>46330.83333333334</v>
      </c>
      <c r="B1118" s="32" t="inlineStr">
        <is>
          <t>Amelia Flores</t>
        </is>
      </c>
      <c r="C1118" s="32" t="inlineStr">
        <is>
          <t>Luna Flores</t>
        </is>
      </c>
      <c r="D1118" s="33" t="n">
        <v>50</v>
      </c>
      <c r="E1118" s="32" t="inlineStr">
        <is>
          <t>OneCause</t>
        </is>
      </c>
      <c r="F1118" s="34">
        <f>IF(A1118="","",IFERROR(INT(A1118),"check date"))</f>
        <v/>
      </c>
      <c r="G1118" s="35">
        <f>IF(B1118="","",IFERROR(INDEX(Students!$A:$A,MATCH(TRIM(B1118),Students!$A:$A,0)),"NOT ON LIST"))</f>
        <v/>
      </c>
      <c r="H1118" s="35">
        <f>IF(OR(G1118="",G1118="NOT ON LIST"),"",VLOOKUP(G1118,Students!$A:$C,2,FALSE))</f>
        <v/>
      </c>
      <c r="I1118" s="35">
        <f>IF(OR(G1118="",G1118="NOT ON LIST"),"",VLOOKUP(G1118,Students!$A:$C,3,FALSE)&amp;"")</f>
        <v/>
      </c>
    </row>
    <row r="1119">
      <c r="A1119" s="31" t="n">
        <v>46338</v>
      </c>
      <c r="B1119" s="32" t="inlineStr">
        <is>
          <t>Evelyn Rodriguez</t>
        </is>
      </c>
      <c r="C1119" s="32" t="inlineStr">
        <is>
          <t>Gabriel Rodriguez</t>
        </is>
      </c>
      <c r="D1119" s="33" t="n">
        <v>25</v>
      </c>
      <c r="E1119" s="32" t="inlineStr">
        <is>
          <t>Check</t>
        </is>
      </c>
      <c r="F1119" s="34">
        <f>IF(A1119="","",IFERROR(INT(A1119),"check date"))</f>
        <v/>
      </c>
      <c r="G1119" s="35">
        <f>IF(B1119="","",IFERROR(INDEX(Students!$A:$A,MATCH(TRIM(B1119),Students!$A:$A,0)),"NOT ON LIST"))</f>
        <v/>
      </c>
      <c r="H1119" s="35">
        <f>IF(OR(G1119="",G1119="NOT ON LIST"),"",VLOOKUP(G1119,Students!$A:$C,2,FALSE))</f>
        <v/>
      </c>
      <c r="I1119" s="35">
        <f>IF(OR(G1119="",G1119="NOT ON LIST"),"",VLOOKUP(G1119,Students!$A:$C,3,FALSE)&amp;"")</f>
        <v/>
      </c>
    </row>
    <row r="1120">
      <c r="A1120" s="31" t="n">
        <v>46325.8125</v>
      </c>
      <c r="B1120" s="32" t="inlineStr">
        <is>
          <t>Liam Nguyen</t>
        </is>
      </c>
      <c r="C1120" s="32" t="inlineStr">
        <is>
          <t>Thomas Nguyen</t>
        </is>
      </c>
      <c r="D1120" s="33" t="n">
        <v>50</v>
      </c>
      <c r="E1120" s="32" t="inlineStr">
        <is>
          <t>OneCause</t>
        </is>
      </c>
      <c r="F1120" s="34">
        <f>IF(A1120="","",IFERROR(INT(A1120),"check date"))</f>
        <v/>
      </c>
      <c r="G1120" s="35">
        <f>IF(B1120="","",IFERROR(INDEX(Students!$A:$A,MATCH(TRIM(B1120),Students!$A:$A,0)),"NOT ON LIST"))</f>
        <v/>
      </c>
      <c r="H1120" s="35">
        <f>IF(OR(G1120="",G1120="NOT ON LIST"),"",VLOOKUP(G1120,Students!$A:$C,2,FALSE))</f>
        <v/>
      </c>
      <c r="I1120" s="35">
        <f>IF(OR(G1120="",G1120="NOT ON LIST"),"",VLOOKUP(G1120,Students!$A:$C,3,FALSE)&amp;"")</f>
        <v/>
      </c>
    </row>
    <row r="1121">
      <c r="A1121" s="31" t="n">
        <v>46336.79166666666</v>
      </c>
      <c r="B1121" s="32" t="inlineStr">
        <is>
          <t>Henry Patel</t>
        </is>
      </c>
      <c r="C1121" s="32" t="inlineStr">
        <is>
          <t>Daniel Patel</t>
        </is>
      </c>
      <c r="D1121" s="33" t="n">
        <v>50</v>
      </c>
      <c r="E1121" s="32" t="inlineStr">
        <is>
          <t>OneCause</t>
        </is>
      </c>
      <c r="F1121" s="34">
        <f>IF(A1121="","",IFERROR(INT(A1121),"check date"))</f>
        <v/>
      </c>
      <c r="G1121" s="35">
        <f>IF(B1121="","",IFERROR(INDEX(Students!$A:$A,MATCH(TRIM(B1121),Students!$A:$A,0)),"NOT ON LIST"))</f>
        <v/>
      </c>
      <c r="H1121" s="35">
        <f>IF(OR(G1121="",G1121="NOT ON LIST"),"",VLOOKUP(G1121,Students!$A:$C,2,FALSE))</f>
        <v/>
      </c>
      <c r="I1121" s="35">
        <f>IF(OR(G1121="",G1121="NOT ON LIST"),"",VLOOKUP(G1121,Students!$A:$C,3,FALSE)&amp;"")</f>
        <v/>
      </c>
    </row>
    <row r="1122">
      <c r="A1122" s="31" t="n">
        <v>46325.72916666666</v>
      </c>
      <c r="B1122" s="32" t="inlineStr">
        <is>
          <t>Joseph Gutierrez</t>
        </is>
      </c>
      <c r="C1122" s="32" t="inlineStr">
        <is>
          <t>Maya Gutierrez</t>
        </is>
      </c>
      <c r="D1122" s="33" t="n">
        <v>20</v>
      </c>
      <c r="E1122" s="32" t="inlineStr">
        <is>
          <t>OneCause</t>
        </is>
      </c>
      <c r="F1122" s="34">
        <f>IF(A1122="","",IFERROR(INT(A1122),"check date"))</f>
        <v/>
      </c>
      <c r="G1122" s="35">
        <f>IF(B1122="","",IFERROR(INDEX(Students!$A:$A,MATCH(TRIM(B1122),Students!$A:$A,0)),"NOT ON LIST"))</f>
        <v/>
      </c>
      <c r="H1122" s="35">
        <f>IF(OR(G1122="",G1122="NOT ON LIST"),"",VLOOKUP(G1122,Students!$A:$C,2,FALSE))</f>
        <v/>
      </c>
      <c r="I1122" s="35">
        <f>IF(OR(G1122="",G1122="NOT ON LIST"),"",VLOOKUP(G1122,Students!$A:$C,3,FALSE)&amp;"")</f>
        <v/>
      </c>
    </row>
    <row r="1123">
      <c r="A1123" s="31" t="n">
        <v>46335.52083333334</v>
      </c>
      <c r="B1123" s="32" t="inlineStr">
        <is>
          <t>Ava Brown</t>
        </is>
      </c>
      <c r="C1123" s="32" t="inlineStr">
        <is>
          <t>Daniel Brown</t>
        </is>
      </c>
      <c r="D1123" s="33" t="n">
        <v>100</v>
      </c>
      <c r="E1123" s="32" t="inlineStr">
        <is>
          <t>OneCause</t>
        </is>
      </c>
      <c r="F1123" s="34">
        <f>IF(A1123="","",IFERROR(INT(A1123),"check date"))</f>
        <v/>
      </c>
      <c r="G1123" s="35">
        <f>IF(B1123="","",IFERROR(INDEX(Students!$A:$A,MATCH(TRIM(B1123),Students!$A:$A,0)),"NOT ON LIST"))</f>
        <v/>
      </c>
      <c r="H1123" s="35">
        <f>IF(OR(G1123="",G1123="NOT ON LIST"),"",VLOOKUP(G1123,Students!$A:$C,2,FALSE))</f>
        <v/>
      </c>
      <c r="I1123" s="35">
        <f>IF(OR(G1123="",G1123="NOT ON LIST"),"",VLOOKUP(G1123,Students!$A:$C,3,FALSE)&amp;"")</f>
        <v/>
      </c>
    </row>
    <row r="1124">
      <c r="A1124" s="31" t="n">
        <v>46336.88541666666</v>
      </c>
      <c r="B1124" s="32" t="inlineStr">
        <is>
          <t>Evelyn Torres</t>
        </is>
      </c>
      <c r="C1124" s="32" t="inlineStr">
        <is>
          <t>Noah Torres</t>
        </is>
      </c>
      <c r="D1124" s="33" t="n">
        <v>100</v>
      </c>
      <c r="E1124" s="32" t="inlineStr">
        <is>
          <t>OneCause</t>
        </is>
      </c>
      <c r="F1124" s="34">
        <f>IF(A1124="","",IFERROR(INT(A1124),"check date"))</f>
        <v/>
      </c>
      <c r="G1124" s="35">
        <f>IF(B1124="","",IFERROR(INDEX(Students!$A:$A,MATCH(TRIM(B1124),Students!$A:$A,0)),"NOT ON LIST"))</f>
        <v/>
      </c>
      <c r="H1124" s="35">
        <f>IF(OR(G1124="",G1124="NOT ON LIST"),"",VLOOKUP(G1124,Students!$A:$C,2,FALSE))</f>
        <v/>
      </c>
      <c r="I1124" s="35">
        <f>IF(OR(G1124="",G1124="NOT ON LIST"),"",VLOOKUP(G1124,Students!$A:$C,3,FALSE)&amp;"")</f>
        <v/>
      </c>
    </row>
    <row r="1125">
      <c r="A1125" s="31" t="n">
        <v>46330.35416666666</v>
      </c>
      <c r="B1125" s="32" t="inlineStr">
        <is>
          <t>Evelyn Cruz</t>
        </is>
      </c>
      <c r="C1125" s="32" t="inlineStr">
        <is>
          <t>Camila Cruz</t>
        </is>
      </c>
      <c r="D1125" s="33" t="n">
        <v>50</v>
      </c>
      <c r="E1125" s="32" t="inlineStr">
        <is>
          <t>OneCause</t>
        </is>
      </c>
      <c r="F1125" s="34">
        <f>IF(A1125="","",IFERROR(INT(A1125),"check date"))</f>
        <v/>
      </c>
      <c r="G1125" s="35">
        <f>IF(B1125="","",IFERROR(INDEX(Students!$A:$A,MATCH(TRIM(B1125),Students!$A:$A,0)),"NOT ON LIST"))</f>
        <v/>
      </c>
      <c r="H1125" s="35">
        <f>IF(OR(G1125="",G1125="NOT ON LIST"),"",VLOOKUP(G1125,Students!$A:$C,2,FALSE))</f>
        <v/>
      </c>
      <c r="I1125" s="35">
        <f>IF(OR(G1125="",G1125="NOT ON LIST"),"",VLOOKUP(G1125,Students!$A:$C,3,FALSE)&amp;"")</f>
        <v/>
      </c>
    </row>
    <row r="1126">
      <c r="A1126" s="31" t="n">
        <v>46328.60416666666</v>
      </c>
      <c r="B1126" s="32" t="inlineStr">
        <is>
          <t>Chloe Reyes</t>
        </is>
      </c>
      <c r="C1126" s="32" t="inlineStr">
        <is>
          <t>Daniel Reyes</t>
        </is>
      </c>
      <c r="D1126" s="33" t="n">
        <v>100</v>
      </c>
      <c r="E1126" s="32" t="inlineStr">
        <is>
          <t>OneCause</t>
        </is>
      </c>
      <c r="F1126" s="34">
        <f>IF(A1126="","",IFERROR(INT(A1126),"check date"))</f>
        <v/>
      </c>
      <c r="G1126" s="35">
        <f>IF(B1126="","",IFERROR(INDEX(Students!$A:$A,MATCH(TRIM(B1126),Students!$A:$A,0)),"NOT ON LIST"))</f>
        <v/>
      </c>
      <c r="H1126" s="35">
        <f>IF(OR(G1126="",G1126="NOT ON LIST"),"",VLOOKUP(G1126,Students!$A:$C,2,FALSE))</f>
        <v/>
      </c>
      <c r="I1126" s="35">
        <f>IF(OR(G1126="",G1126="NOT ON LIST"),"",VLOOKUP(G1126,Students!$A:$C,3,FALSE)&amp;"")</f>
        <v/>
      </c>
    </row>
    <row r="1127">
      <c r="A1127" s="31" t="n">
        <v>46339.39583333334</v>
      </c>
      <c r="B1127" s="32" t="inlineStr">
        <is>
          <t>Evelyn Gonzalez</t>
        </is>
      </c>
      <c r="C1127" s="32" t="inlineStr">
        <is>
          <t>Isaac Gonzalez</t>
        </is>
      </c>
      <c r="D1127" s="33" t="n">
        <v>25</v>
      </c>
      <c r="E1127" s="32" t="inlineStr">
        <is>
          <t>OneCause</t>
        </is>
      </c>
      <c r="F1127" s="34">
        <f>IF(A1127="","",IFERROR(INT(A1127),"check date"))</f>
        <v/>
      </c>
      <c r="G1127" s="35">
        <f>IF(B1127="","",IFERROR(INDEX(Students!$A:$A,MATCH(TRIM(B1127),Students!$A:$A,0)),"NOT ON LIST"))</f>
        <v/>
      </c>
      <c r="H1127" s="35">
        <f>IF(OR(G1127="",G1127="NOT ON LIST"),"",VLOOKUP(G1127,Students!$A:$C,2,FALSE))</f>
        <v/>
      </c>
      <c r="I1127" s="35">
        <f>IF(OR(G1127="",G1127="NOT ON LIST"),"",VLOOKUP(G1127,Students!$A:$C,3,FALSE)&amp;"")</f>
        <v/>
      </c>
    </row>
    <row r="1128">
      <c r="A1128" s="31" t="n">
        <v>46339.72916666666</v>
      </c>
      <c r="B1128" s="32" t="inlineStr">
        <is>
          <t>Clara Gutierrez</t>
        </is>
      </c>
      <c r="C1128" s="32" t="inlineStr">
        <is>
          <t>Zoe Gutierrez</t>
        </is>
      </c>
      <c r="D1128" s="33" t="n">
        <v>25</v>
      </c>
      <c r="E1128" s="32" t="inlineStr">
        <is>
          <t>OneCause</t>
        </is>
      </c>
      <c r="F1128" s="34">
        <f>IF(A1128="","",IFERROR(INT(A1128),"check date"))</f>
        <v/>
      </c>
      <c r="G1128" s="35">
        <f>IF(B1128="","",IFERROR(INDEX(Students!$A:$A,MATCH(TRIM(B1128),Students!$A:$A,0)),"NOT ON LIST"))</f>
        <v/>
      </c>
      <c r="H1128" s="35">
        <f>IF(OR(G1128="",G1128="NOT ON LIST"),"",VLOOKUP(G1128,Students!$A:$C,2,FALSE))</f>
        <v/>
      </c>
      <c r="I1128" s="35">
        <f>IF(OR(G1128="",G1128="NOT ON LIST"),"",VLOOKUP(G1128,Students!$A:$C,3,FALSE)&amp;"")</f>
        <v/>
      </c>
    </row>
    <row r="1129">
      <c r="A1129" s="31" t="n">
        <v>46328.30208333334</v>
      </c>
      <c r="B1129" s="32" t="inlineStr">
        <is>
          <t>Leo Gutierrez</t>
        </is>
      </c>
      <c r="C1129" s="32" t="inlineStr">
        <is>
          <t>Maya Gutierrez</t>
        </is>
      </c>
      <c r="D1129" s="33" t="n">
        <v>50</v>
      </c>
      <c r="E1129" s="32" t="inlineStr">
        <is>
          <t>OneCause</t>
        </is>
      </c>
      <c r="F1129" s="34">
        <f>IF(A1129="","",IFERROR(INT(A1129),"check date"))</f>
        <v/>
      </c>
      <c r="G1129" s="35">
        <f>IF(B1129="","",IFERROR(INDEX(Students!$A:$A,MATCH(TRIM(B1129),Students!$A:$A,0)),"NOT ON LIST"))</f>
        <v/>
      </c>
      <c r="H1129" s="35">
        <f>IF(OR(G1129="",G1129="NOT ON LIST"),"",VLOOKUP(G1129,Students!$A:$C,2,FALSE))</f>
        <v/>
      </c>
      <c r="I1129" s="35">
        <f>IF(OR(G1129="",G1129="NOT ON LIST"),"",VLOOKUP(G1129,Students!$A:$C,3,FALSE)&amp;"")</f>
        <v/>
      </c>
    </row>
    <row r="1130">
      <c r="A1130" s="31" t="n">
        <v>46330.85416666666</v>
      </c>
      <c r="B1130" s="32" t="inlineStr">
        <is>
          <t>Elijah Murphy</t>
        </is>
      </c>
      <c r="C1130" s="32" t="inlineStr">
        <is>
          <t>Ella Murphy</t>
        </is>
      </c>
      <c r="D1130" s="33" t="n">
        <v>100</v>
      </c>
      <c r="E1130" s="32" t="inlineStr">
        <is>
          <t>OneCause</t>
        </is>
      </c>
      <c r="F1130" s="34">
        <f>IF(A1130="","",IFERROR(INT(A1130),"check date"))</f>
        <v/>
      </c>
      <c r="G1130" s="35">
        <f>IF(B1130="","",IFERROR(INDEX(Students!$A:$A,MATCH(TRIM(B1130),Students!$A:$A,0)),"NOT ON LIST"))</f>
        <v/>
      </c>
      <c r="H1130" s="35">
        <f>IF(OR(G1130="",G1130="NOT ON LIST"),"",VLOOKUP(G1130,Students!$A:$C,2,FALSE))</f>
        <v/>
      </c>
      <c r="I1130" s="35">
        <f>IF(OR(G1130="",G1130="NOT ON LIST"),"",VLOOKUP(G1130,Students!$A:$C,3,FALSE)&amp;"")</f>
        <v/>
      </c>
    </row>
    <row r="1131">
      <c r="A1131" s="31" t="n">
        <v>46333.59375</v>
      </c>
      <c r="B1131" s="32" t="inlineStr">
        <is>
          <t>Olivia Reyes</t>
        </is>
      </c>
      <c r="C1131" s="32" t="inlineStr">
        <is>
          <t>Julian Reyes</t>
        </is>
      </c>
      <c r="D1131" s="33" t="n">
        <v>75</v>
      </c>
      <c r="E1131" s="32" t="inlineStr">
        <is>
          <t>OneCause</t>
        </is>
      </c>
      <c r="F1131" s="34">
        <f>IF(A1131="","",IFERROR(INT(A1131),"check date"))</f>
        <v/>
      </c>
      <c r="G1131" s="35">
        <f>IF(B1131="","",IFERROR(INDEX(Students!$A:$A,MATCH(TRIM(B1131),Students!$A:$A,0)),"NOT ON LIST"))</f>
        <v/>
      </c>
      <c r="H1131" s="35">
        <f>IF(OR(G1131="",G1131="NOT ON LIST"),"",VLOOKUP(G1131,Students!$A:$C,2,FALSE))</f>
        <v/>
      </c>
      <c r="I1131" s="35">
        <f>IF(OR(G1131="",G1131="NOT ON LIST"),"",VLOOKUP(G1131,Students!$A:$C,3,FALSE)&amp;"")</f>
        <v/>
      </c>
    </row>
    <row r="1132">
      <c r="A1132" s="31" t="n">
        <v>46331.29166666666</v>
      </c>
      <c r="B1132" s="32" t="inlineStr">
        <is>
          <t>Clara Flores</t>
        </is>
      </c>
      <c r="C1132" s="32" t="inlineStr">
        <is>
          <t>Camila Flores</t>
        </is>
      </c>
      <c r="D1132" s="33" t="n">
        <v>10</v>
      </c>
      <c r="E1132" s="32" t="inlineStr">
        <is>
          <t>OneCause</t>
        </is>
      </c>
      <c r="F1132" s="34">
        <f>IF(A1132="","",IFERROR(INT(A1132),"check date"))</f>
        <v/>
      </c>
      <c r="G1132" s="35">
        <f>IF(B1132="","",IFERROR(INDEX(Students!$A:$A,MATCH(TRIM(B1132),Students!$A:$A,0)),"NOT ON LIST"))</f>
        <v/>
      </c>
      <c r="H1132" s="35">
        <f>IF(OR(G1132="",G1132="NOT ON LIST"),"",VLOOKUP(G1132,Students!$A:$C,2,FALSE))</f>
        <v/>
      </c>
      <c r="I1132" s="35">
        <f>IF(OR(G1132="",G1132="NOT ON LIST"),"",VLOOKUP(G1132,Students!$A:$C,3,FALSE)&amp;"")</f>
        <v/>
      </c>
    </row>
    <row r="1133">
      <c r="A1133" s="31" t="n">
        <v>46333.89583333334</v>
      </c>
      <c r="B1133" s="32" t="inlineStr">
        <is>
          <t>Nora Nguyen</t>
        </is>
      </c>
      <c r="C1133" s="32" t="inlineStr">
        <is>
          <t>Chloe Nguyen</t>
        </is>
      </c>
      <c r="D1133" s="33" t="n">
        <v>40</v>
      </c>
      <c r="E1133" s="32" t="inlineStr">
        <is>
          <t>OneCause</t>
        </is>
      </c>
      <c r="F1133" s="34">
        <f>IF(A1133="","",IFERROR(INT(A1133),"check date"))</f>
        <v/>
      </c>
      <c r="G1133" s="35">
        <f>IF(B1133="","",IFERROR(INDEX(Students!$A:$A,MATCH(TRIM(B1133),Students!$A:$A,0)),"NOT ON LIST"))</f>
        <v/>
      </c>
      <c r="H1133" s="35">
        <f>IF(OR(G1133="",G1133="NOT ON LIST"),"",VLOOKUP(G1133,Students!$A:$C,2,FALSE))</f>
        <v/>
      </c>
      <c r="I1133" s="35">
        <f>IF(OR(G1133="",G1133="NOT ON LIST"),"",VLOOKUP(G1133,Students!$A:$C,3,FALSE)&amp;"")</f>
        <v/>
      </c>
    </row>
    <row r="1134">
      <c r="A1134" s="31" t="n">
        <v>46332.875</v>
      </c>
      <c r="B1134" s="32" t="inlineStr">
        <is>
          <t>Isabella Murphy</t>
        </is>
      </c>
      <c r="C1134" s="32" t="inlineStr">
        <is>
          <t>Sofia Murphy</t>
        </is>
      </c>
      <c r="D1134" s="33" t="n">
        <v>20</v>
      </c>
      <c r="E1134" s="32" t="inlineStr">
        <is>
          <t>OneCause</t>
        </is>
      </c>
      <c r="F1134" s="34">
        <f>IF(A1134="","",IFERROR(INT(A1134),"check date"))</f>
        <v/>
      </c>
      <c r="G1134" s="35">
        <f>IF(B1134="","",IFERROR(INDEX(Students!$A:$A,MATCH(TRIM(B1134),Students!$A:$A,0)),"NOT ON LIST"))</f>
        <v/>
      </c>
      <c r="H1134" s="35">
        <f>IF(OR(G1134="",G1134="NOT ON LIST"),"",VLOOKUP(G1134,Students!$A:$C,2,FALSE))</f>
        <v/>
      </c>
      <c r="I1134" s="35">
        <f>IF(OR(G1134="",G1134="NOT ON LIST"),"",VLOOKUP(G1134,Students!$A:$C,3,FALSE)&amp;"")</f>
        <v/>
      </c>
    </row>
    <row r="1135">
      <c r="A1135" s="31" t="n">
        <v>46338.76041666666</v>
      </c>
      <c r="B1135" s="32" t="inlineStr">
        <is>
          <t>Adrian Ruiz</t>
        </is>
      </c>
      <c r="C1135" s="32" t="inlineStr">
        <is>
          <t>Grace Ruiz</t>
        </is>
      </c>
      <c r="D1135" s="33" t="n">
        <v>25</v>
      </c>
      <c r="E1135" s="32" t="inlineStr">
        <is>
          <t>OneCause</t>
        </is>
      </c>
      <c r="F1135" s="34">
        <f>IF(A1135="","",IFERROR(INT(A1135),"check date"))</f>
        <v/>
      </c>
      <c r="G1135" s="35">
        <f>IF(B1135="","",IFERROR(INDEX(Students!$A:$A,MATCH(TRIM(B1135),Students!$A:$A,0)),"NOT ON LIST"))</f>
        <v/>
      </c>
      <c r="H1135" s="35">
        <f>IF(OR(G1135="",G1135="NOT ON LIST"),"",VLOOKUP(G1135,Students!$A:$C,2,FALSE))</f>
        <v/>
      </c>
      <c r="I1135" s="35">
        <f>IF(OR(G1135="",G1135="NOT ON LIST"),"",VLOOKUP(G1135,Students!$A:$C,3,FALSE)&amp;"")</f>
        <v/>
      </c>
    </row>
    <row r="1136">
      <c r="A1136" s="31" t="n">
        <v>46339.66666666666</v>
      </c>
      <c r="B1136" s="32" t="inlineStr">
        <is>
          <t>David Vasquez</t>
        </is>
      </c>
      <c r="C1136" s="32" t="inlineStr">
        <is>
          <t>Thomas Vasquez</t>
        </is>
      </c>
      <c r="D1136" s="33" t="n">
        <v>25</v>
      </c>
      <c r="E1136" s="32" t="inlineStr">
        <is>
          <t>OneCause</t>
        </is>
      </c>
      <c r="F1136" s="34">
        <f>IF(A1136="","",IFERROR(INT(A1136),"check date"))</f>
        <v/>
      </c>
      <c r="G1136" s="35">
        <f>IF(B1136="","",IFERROR(INDEX(Students!$A:$A,MATCH(TRIM(B1136),Students!$A:$A,0)),"NOT ON LIST"))</f>
        <v/>
      </c>
      <c r="H1136" s="35">
        <f>IF(OR(G1136="",G1136="NOT ON LIST"),"",VLOOKUP(G1136,Students!$A:$C,2,FALSE))</f>
        <v/>
      </c>
      <c r="I1136" s="35">
        <f>IF(OR(G1136="",G1136="NOT ON LIST"),"",VLOOKUP(G1136,Students!$A:$C,3,FALSE)&amp;"")</f>
        <v/>
      </c>
    </row>
    <row r="1137">
      <c r="A1137" s="31" t="n">
        <v>46339.30208333334</v>
      </c>
      <c r="B1137" s="32" t="inlineStr">
        <is>
          <t>Leo Brown</t>
        </is>
      </c>
      <c r="C1137" s="32" t="inlineStr">
        <is>
          <t>Maya Brown</t>
        </is>
      </c>
      <c r="D1137" s="33" t="n">
        <v>50</v>
      </c>
      <c r="E1137" s="32" t="inlineStr">
        <is>
          <t>OneCause</t>
        </is>
      </c>
      <c r="F1137" s="34">
        <f>IF(A1137="","",IFERROR(INT(A1137),"check date"))</f>
        <v/>
      </c>
      <c r="G1137" s="35">
        <f>IF(B1137="","",IFERROR(INDEX(Students!$A:$A,MATCH(TRIM(B1137),Students!$A:$A,0)),"NOT ON LIST"))</f>
        <v/>
      </c>
      <c r="H1137" s="35">
        <f>IF(OR(G1137="",G1137="NOT ON LIST"),"",VLOOKUP(G1137,Students!$A:$C,2,FALSE))</f>
        <v/>
      </c>
      <c r="I1137" s="35">
        <f>IF(OR(G1137="",G1137="NOT ON LIST"),"",VLOOKUP(G1137,Students!$A:$C,3,FALSE)&amp;"")</f>
        <v/>
      </c>
    </row>
    <row r="1138">
      <c r="A1138" s="31" t="n">
        <v>46335.83333333334</v>
      </c>
      <c r="B1138" s="32" t="inlineStr">
        <is>
          <t>Camila Johnson</t>
        </is>
      </c>
      <c r="C1138" s="32" t="inlineStr">
        <is>
          <t>Aria Johnson</t>
        </is>
      </c>
      <c r="D1138" s="33" t="n">
        <v>25</v>
      </c>
      <c r="E1138" s="32" t="inlineStr">
        <is>
          <t>OneCause</t>
        </is>
      </c>
      <c r="F1138" s="34">
        <f>IF(A1138="","",IFERROR(INT(A1138),"check date"))</f>
        <v/>
      </c>
      <c r="G1138" s="35">
        <f>IF(B1138="","",IFERROR(INDEX(Students!$A:$A,MATCH(TRIM(B1138),Students!$A:$A,0)),"NOT ON LIST"))</f>
        <v/>
      </c>
      <c r="H1138" s="35">
        <f>IF(OR(G1138="",G1138="NOT ON LIST"),"",VLOOKUP(G1138,Students!$A:$C,2,FALSE))</f>
        <v/>
      </c>
      <c r="I1138" s="35">
        <f>IF(OR(G1138="",G1138="NOT ON LIST"),"",VLOOKUP(G1138,Students!$A:$C,3,FALSE)&amp;"")</f>
        <v/>
      </c>
    </row>
    <row r="1139">
      <c r="A1139" s="31" t="n">
        <v>46336.76041666666</v>
      </c>
      <c r="B1139" s="32" t="inlineStr">
        <is>
          <t>Zoe Ryan</t>
        </is>
      </c>
      <c r="C1139" s="32" t="inlineStr">
        <is>
          <t>Sofia Ryan</t>
        </is>
      </c>
      <c r="D1139" s="33" t="n">
        <v>20</v>
      </c>
      <c r="E1139" s="32" t="inlineStr">
        <is>
          <t>OneCause</t>
        </is>
      </c>
      <c r="F1139" s="34">
        <f>IF(A1139="","",IFERROR(INT(A1139),"check date"))</f>
        <v/>
      </c>
      <c r="G1139" s="35">
        <f>IF(B1139="","",IFERROR(INDEX(Students!$A:$A,MATCH(TRIM(B1139),Students!$A:$A,0)),"NOT ON LIST"))</f>
        <v/>
      </c>
      <c r="H1139" s="35">
        <f>IF(OR(G1139="",G1139="NOT ON LIST"),"",VLOOKUP(G1139,Students!$A:$C,2,FALSE))</f>
        <v/>
      </c>
      <c r="I1139" s="35">
        <f>IF(OR(G1139="",G1139="NOT ON LIST"),"",VLOOKUP(G1139,Students!$A:$C,3,FALSE)&amp;"")</f>
        <v/>
      </c>
    </row>
    <row r="1140">
      <c r="A1140" s="31" t="n">
        <v>46335.52083333334</v>
      </c>
      <c r="B1140" s="32" t="inlineStr">
        <is>
          <t>Evelyn Nguyen</t>
        </is>
      </c>
      <c r="C1140" s="32" t="inlineStr">
        <is>
          <t>Lucas Nguyen</t>
        </is>
      </c>
      <c r="D1140" s="33" t="n">
        <v>75</v>
      </c>
      <c r="E1140" s="32" t="inlineStr">
        <is>
          <t>OneCause</t>
        </is>
      </c>
      <c r="F1140" s="34">
        <f>IF(A1140="","",IFERROR(INT(A1140),"check date"))</f>
        <v/>
      </c>
      <c r="G1140" s="35">
        <f>IF(B1140="","",IFERROR(INDEX(Students!$A:$A,MATCH(TRIM(B1140),Students!$A:$A,0)),"NOT ON LIST"))</f>
        <v/>
      </c>
      <c r="H1140" s="35">
        <f>IF(OR(G1140="",G1140="NOT ON LIST"),"",VLOOKUP(G1140,Students!$A:$C,2,FALSE))</f>
        <v/>
      </c>
      <c r="I1140" s="35">
        <f>IF(OR(G1140="",G1140="NOT ON LIST"),"",VLOOKUP(G1140,Students!$A:$C,3,FALSE)&amp;"")</f>
        <v/>
      </c>
    </row>
    <row r="1141">
      <c r="A1141" s="31" t="n">
        <v>46333.63541666666</v>
      </c>
      <c r="B1141" s="32" t="inlineStr">
        <is>
          <t>Grace Lopez</t>
        </is>
      </c>
      <c r="C1141" s="32" t="inlineStr">
        <is>
          <t>Leo Lopez</t>
        </is>
      </c>
      <c r="D1141" s="33" t="n">
        <v>20</v>
      </c>
      <c r="E1141" s="32" t="inlineStr">
        <is>
          <t>OneCause</t>
        </is>
      </c>
      <c r="F1141" s="34">
        <f>IF(A1141="","",IFERROR(INT(A1141),"check date"))</f>
        <v/>
      </c>
      <c r="G1141" s="35">
        <f>IF(B1141="","",IFERROR(INDEX(Students!$A:$A,MATCH(TRIM(B1141),Students!$A:$A,0)),"NOT ON LIST"))</f>
        <v/>
      </c>
      <c r="H1141" s="35">
        <f>IF(OR(G1141="",G1141="NOT ON LIST"),"",VLOOKUP(G1141,Students!$A:$C,2,FALSE))</f>
        <v/>
      </c>
      <c r="I1141" s="35">
        <f>IF(OR(G1141="",G1141="NOT ON LIST"),"",VLOOKUP(G1141,Students!$A:$C,3,FALSE)&amp;"")</f>
        <v/>
      </c>
    </row>
    <row r="1142">
      <c r="A1142" s="31" t="n">
        <v>46325.58333333334</v>
      </c>
      <c r="B1142" s="32" t="inlineStr">
        <is>
          <t>Benjamin Cruz</t>
        </is>
      </c>
      <c r="C1142" s="32" t="inlineStr">
        <is>
          <t>Camila Cruz</t>
        </is>
      </c>
      <c r="D1142" s="33" t="n">
        <v>75</v>
      </c>
      <c r="E1142" s="32" t="inlineStr">
        <is>
          <t>OneCause</t>
        </is>
      </c>
      <c r="F1142" s="34">
        <f>IF(A1142="","",IFERROR(INT(A1142),"check date"))</f>
        <v/>
      </c>
      <c r="G1142" s="35">
        <f>IF(B1142="","",IFERROR(INDEX(Students!$A:$A,MATCH(TRIM(B1142),Students!$A:$A,0)),"NOT ON LIST"))</f>
        <v/>
      </c>
      <c r="H1142" s="35">
        <f>IF(OR(G1142="",G1142="NOT ON LIST"),"",VLOOKUP(G1142,Students!$A:$C,2,FALSE))</f>
        <v/>
      </c>
      <c r="I1142" s="35">
        <f>IF(OR(G1142="",G1142="NOT ON LIST"),"",VLOOKUP(G1142,Students!$A:$C,3,FALSE)&amp;"")</f>
        <v/>
      </c>
    </row>
    <row r="1143">
      <c r="A1143" s="31" t="n">
        <v>46332.64583333334</v>
      </c>
      <c r="B1143" s="32" t="inlineStr">
        <is>
          <t>Zoe Johnson</t>
        </is>
      </c>
      <c r="C1143" s="32" t="inlineStr">
        <is>
          <t>Liam Johnson</t>
        </is>
      </c>
      <c r="D1143" s="33" t="n">
        <v>10</v>
      </c>
      <c r="E1143" s="32" t="inlineStr">
        <is>
          <t>OneCause</t>
        </is>
      </c>
      <c r="F1143" s="34">
        <f>IF(A1143="","",IFERROR(INT(A1143),"check date"))</f>
        <v/>
      </c>
      <c r="G1143" s="35">
        <f>IF(B1143="","",IFERROR(INDEX(Students!$A:$A,MATCH(TRIM(B1143),Students!$A:$A,0)),"NOT ON LIST"))</f>
        <v/>
      </c>
      <c r="H1143" s="35">
        <f>IF(OR(G1143="",G1143="NOT ON LIST"),"",VLOOKUP(G1143,Students!$A:$C,2,FALSE))</f>
        <v/>
      </c>
      <c r="I1143" s="35">
        <f>IF(OR(G1143="",G1143="NOT ON LIST"),"",VLOOKUP(G1143,Students!$A:$C,3,FALSE)&amp;"")</f>
        <v/>
      </c>
    </row>
    <row r="1144">
      <c r="A1144" s="31" t="n">
        <v>46325.29166666666</v>
      </c>
      <c r="B1144" s="32" t="inlineStr">
        <is>
          <t>Isaac Martinez</t>
        </is>
      </c>
      <c r="C1144" s="32" t="inlineStr">
        <is>
          <t>Harper Martinez</t>
        </is>
      </c>
      <c r="D1144" s="33" t="n">
        <v>50</v>
      </c>
      <c r="E1144" s="32" t="inlineStr">
        <is>
          <t>OneCause</t>
        </is>
      </c>
      <c r="F1144" s="34">
        <f>IF(A1144="","",IFERROR(INT(A1144),"check date"))</f>
        <v/>
      </c>
      <c r="G1144" s="35">
        <f>IF(B1144="","",IFERROR(INDEX(Students!$A:$A,MATCH(TRIM(B1144),Students!$A:$A,0)),"NOT ON LIST"))</f>
        <v/>
      </c>
      <c r="H1144" s="35">
        <f>IF(OR(G1144="",G1144="NOT ON LIST"),"",VLOOKUP(G1144,Students!$A:$C,2,FALSE))</f>
        <v/>
      </c>
      <c r="I1144" s="35">
        <f>IF(OR(G1144="",G1144="NOT ON LIST"),"",VLOOKUP(G1144,Students!$A:$C,3,FALSE)&amp;"")</f>
        <v/>
      </c>
    </row>
    <row r="1145">
      <c r="A1145" s="31" t="n">
        <v>46335.46875</v>
      </c>
      <c r="B1145" s="32" t="inlineStr">
        <is>
          <t>Clara Gutierrez</t>
        </is>
      </c>
      <c r="C1145" s="32" t="inlineStr">
        <is>
          <t>Leo Gutierrez</t>
        </is>
      </c>
      <c r="D1145" s="33" t="n">
        <v>25</v>
      </c>
      <c r="E1145" s="32" t="inlineStr">
        <is>
          <t>OneCause</t>
        </is>
      </c>
      <c r="F1145" s="34">
        <f>IF(A1145="","",IFERROR(INT(A1145),"check date"))</f>
        <v/>
      </c>
      <c r="G1145" s="35">
        <f>IF(B1145="","",IFERROR(INDEX(Students!$A:$A,MATCH(TRIM(B1145),Students!$A:$A,0)),"NOT ON LIST"))</f>
        <v/>
      </c>
      <c r="H1145" s="35">
        <f>IF(OR(G1145="",G1145="NOT ON LIST"),"",VLOOKUP(G1145,Students!$A:$C,2,FALSE))</f>
        <v/>
      </c>
      <c r="I1145" s="35">
        <f>IF(OR(G1145="",G1145="NOT ON LIST"),"",VLOOKUP(G1145,Students!$A:$C,3,FALSE)&amp;"")</f>
        <v/>
      </c>
    </row>
    <row r="1146">
      <c r="A1146" s="31" t="n">
        <v>46330.625</v>
      </c>
      <c r="B1146" s="32" t="inlineStr">
        <is>
          <t>Amelia Castillo</t>
        </is>
      </c>
      <c r="C1146" s="32" t="inlineStr">
        <is>
          <t>Valentina Castillo</t>
        </is>
      </c>
      <c r="D1146" s="33" t="n">
        <v>25</v>
      </c>
      <c r="E1146" s="32" t="inlineStr">
        <is>
          <t>OneCause</t>
        </is>
      </c>
      <c r="F1146" s="34">
        <f>IF(A1146="","",IFERROR(INT(A1146),"check date"))</f>
        <v/>
      </c>
      <c r="G1146" s="35">
        <f>IF(B1146="","",IFERROR(INDEX(Students!$A:$A,MATCH(TRIM(B1146),Students!$A:$A,0)),"NOT ON LIST"))</f>
        <v/>
      </c>
      <c r="H1146" s="35">
        <f>IF(OR(G1146="",G1146="NOT ON LIST"),"",VLOOKUP(G1146,Students!$A:$C,2,FALSE))</f>
        <v/>
      </c>
      <c r="I1146" s="35">
        <f>IF(OR(G1146="",G1146="NOT ON LIST"),"",VLOOKUP(G1146,Students!$A:$C,3,FALSE)&amp;"")</f>
        <v/>
      </c>
    </row>
    <row r="1147">
      <c r="A1147" s="31" t="n">
        <v>46331.85416666666</v>
      </c>
      <c r="B1147" s="32" t="inlineStr">
        <is>
          <t>Gabriel Gutierrez</t>
        </is>
      </c>
      <c r="C1147" s="32" t="inlineStr">
        <is>
          <t>Chloe Gutierrez</t>
        </is>
      </c>
      <c r="D1147" s="33" t="n">
        <v>100</v>
      </c>
      <c r="E1147" s="32" t="inlineStr">
        <is>
          <t>OneCause</t>
        </is>
      </c>
      <c r="F1147" s="34">
        <f>IF(A1147="","",IFERROR(INT(A1147),"check date"))</f>
        <v/>
      </c>
      <c r="G1147" s="35">
        <f>IF(B1147="","",IFERROR(INDEX(Students!$A:$A,MATCH(TRIM(B1147),Students!$A:$A,0)),"NOT ON LIST"))</f>
        <v/>
      </c>
      <c r="H1147" s="35">
        <f>IF(OR(G1147="",G1147="NOT ON LIST"),"",VLOOKUP(G1147,Students!$A:$C,2,FALSE))</f>
        <v/>
      </c>
      <c r="I1147" s="35">
        <f>IF(OR(G1147="",G1147="NOT ON LIST"),"",VLOOKUP(G1147,Students!$A:$C,3,FALSE)&amp;"")</f>
        <v/>
      </c>
    </row>
    <row r="1148">
      <c r="A1148" s="31" t="n">
        <v>46333.8125</v>
      </c>
      <c r="B1148" s="32" t="inlineStr">
        <is>
          <t>Leo Walsh</t>
        </is>
      </c>
      <c r="C1148" s="32" t="inlineStr">
        <is>
          <t>Lucas Walsh</t>
        </is>
      </c>
      <c r="D1148" s="33" t="n">
        <v>25</v>
      </c>
      <c r="E1148" s="32" t="inlineStr">
        <is>
          <t>OneCause</t>
        </is>
      </c>
      <c r="F1148" s="34">
        <f>IF(A1148="","",IFERROR(INT(A1148),"check date"))</f>
        <v/>
      </c>
      <c r="G1148" s="35">
        <f>IF(B1148="","",IFERROR(INDEX(Students!$A:$A,MATCH(TRIM(B1148),Students!$A:$A,0)),"NOT ON LIST"))</f>
        <v/>
      </c>
      <c r="H1148" s="35">
        <f>IF(OR(G1148="",G1148="NOT ON LIST"),"",VLOOKUP(G1148,Students!$A:$C,2,FALSE))</f>
        <v/>
      </c>
      <c r="I1148" s="35">
        <f>IF(OR(G1148="",G1148="NOT ON LIST"),"",VLOOKUP(G1148,Students!$A:$C,3,FALSE)&amp;"")</f>
        <v/>
      </c>
    </row>
    <row r="1149">
      <c r="A1149" s="31" t="n">
        <v>46337.80208333334</v>
      </c>
      <c r="B1149" s="32" t="inlineStr">
        <is>
          <t>Joseph Vasquez</t>
        </is>
      </c>
      <c r="C1149" s="32" t="inlineStr">
        <is>
          <t>David Vasquez</t>
        </is>
      </c>
      <c r="D1149" s="33" t="n">
        <v>50</v>
      </c>
      <c r="E1149" s="32" t="inlineStr">
        <is>
          <t>OneCause</t>
        </is>
      </c>
      <c r="F1149" s="34">
        <f>IF(A1149="","",IFERROR(INT(A1149),"check date"))</f>
        <v/>
      </c>
      <c r="G1149" s="35">
        <f>IF(B1149="","",IFERROR(INDEX(Students!$A:$A,MATCH(TRIM(B1149),Students!$A:$A,0)),"NOT ON LIST"))</f>
        <v/>
      </c>
      <c r="H1149" s="35">
        <f>IF(OR(G1149="",G1149="NOT ON LIST"),"",VLOOKUP(G1149,Students!$A:$C,2,FALSE))</f>
        <v/>
      </c>
      <c r="I1149" s="35">
        <f>IF(OR(G1149="",G1149="NOT ON LIST"),"",VLOOKUP(G1149,Students!$A:$C,3,FALSE)&amp;"")</f>
        <v/>
      </c>
    </row>
    <row r="1150">
      <c r="A1150" s="31" t="n">
        <v>46332.41666666666</v>
      </c>
      <c r="B1150" s="32" t="inlineStr">
        <is>
          <t>Ella Diaz</t>
        </is>
      </c>
      <c r="C1150" s="32" t="inlineStr">
        <is>
          <t>Diego Diaz</t>
        </is>
      </c>
      <c r="D1150" s="33" t="n">
        <v>25</v>
      </c>
      <c r="E1150" s="32" t="inlineStr">
        <is>
          <t>OneCause</t>
        </is>
      </c>
      <c r="F1150" s="34">
        <f>IF(A1150="","",IFERROR(INT(A1150),"check date"))</f>
        <v/>
      </c>
      <c r="G1150" s="35">
        <f>IF(B1150="","",IFERROR(INDEX(Students!$A:$A,MATCH(TRIM(B1150),Students!$A:$A,0)),"NOT ON LIST"))</f>
        <v/>
      </c>
      <c r="H1150" s="35">
        <f>IF(OR(G1150="",G1150="NOT ON LIST"),"",VLOOKUP(G1150,Students!$A:$C,2,FALSE))</f>
        <v/>
      </c>
      <c r="I1150" s="35">
        <f>IF(OR(G1150="",G1150="NOT ON LIST"),"",VLOOKUP(G1150,Students!$A:$C,3,FALSE)&amp;"")</f>
        <v/>
      </c>
    </row>
    <row r="1151">
      <c r="A1151" s="31" t="n">
        <v>46326.67708333334</v>
      </c>
      <c r="B1151" s="32" t="inlineStr">
        <is>
          <t>Elena Rivera</t>
        </is>
      </c>
      <c r="C1151" s="32" t="inlineStr">
        <is>
          <t>Leo Rivera</t>
        </is>
      </c>
      <c r="D1151" s="33" t="n">
        <v>40</v>
      </c>
      <c r="E1151" s="32" t="inlineStr">
        <is>
          <t>OneCause</t>
        </is>
      </c>
      <c r="F1151" s="34">
        <f>IF(A1151="","",IFERROR(INT(A1151),"check date"))</f>
        <v/>
      </c>
      <c r="G1151" s="35">
        <f>IF(B1151="","",IFERROR(INDEX(Students!$A:$A,MATCH(TRIM(B1151),Students!$A:$A,0)),"NOT ON LIST"))</f>
        <v/>
      </c>
      <c r="H1151" s="35">
        <f>IF(OR(G1151="",G1151="NOT ON LIST"),"",VLOOKUP(G1151,Students!$A:$C,2,FALSE))</f>
        <v/>
      </c>
      <c r="I1151" s="35">
        <f>IF(OR(G1151="",G1151="NOT ON LIST"),"",VLOOKUP(G1151,Students!$A:$C,3,FALSE)&amp;"")</f>
        <v/>
      </c>
    </row>
    <row r="1152">
      <c r="A1152" s="31" t="n">
        <v>46330.84375</v>
      </c>
      <c r="B1152" s="32" t="inlineStr">
        <is>
          <t>Adrian O'Brien</t>
        </is>
      </c>
      <c r="C1152" s="32" t="inlineStr">
        <is>
          <t>Henry O'Brien</t>
        </is>
      </c>
      <c r="D1152" s="33" t="n">
        <v>20</v>
      </c>
      <c r="E1152" s="32" t="inlineStr">
        <is>
          <t>OneCause</t>
        </is>
      </c>
      <c r="F1152" s="34">
        <f>IF(A1152="","",IFERROR(INT(A1152),"check date"))</f>
        <v/>
      </c>
      <c r="G1152" s="35">
        <f>IF(B1152="","",IFERROR(INDEX(Students!$A:$A,MATCH(TRIM(B1152),Students!$A:$A,0)),"NOT ON LIST"))</f>
        <v/>
      </c>
      <c r="H1152" s="35">
        <f>IF(OR(G1152="",G1152="NOT ON LIST"),"",VLOOKUP(G1152,Students!$A:$C,2,FALSE))</f>
        <v/>
      </c>
      <c r="I1152" s="35">
        <f>IF(OR(G1152="",G1152="NOT ON LIST"),"",VLOOKUP(G1152,Students!$A:$C,3,FALSE)&amp;"")</f>
        <v/>
      </c>
    </row>
    <row r="1153">
      <c r="A1153" s="31" t="n">
        <v>46338.29166666666</v>
      </c>
      <c r="B1153" s="32" t="inlineStr">
        <is>
          <t>Zoe Smith</t>
        </is>
      </c>
      <c r="C1153" s="32" t="inlineStr">
        <is>
          <t>Camila Smith</t>
        </is>
      </c>
      <c r="D1153" s="33" t="n">
        <v>50</v>
      </c>
      <c r="E1153" s="32" t="inlineStr">
        <is>
          <t>OneCause</t>
        </is>
      </c>
      <c r="F1153" s="34">
        <f>IF(A1153="","",IFERROR(INT(A1153),"check date"))</f>
        <v/>
      </c>
      <c r="G1153" s="35">
        <f>IF(B1153="","",IFERROR(INDEX(Students!$A:$A,MATCH(TRIM(B1153),Students!$A:$A,0)),"NOT ON LIST"))</f>
        <v/>
      </c>
      <c r="H1153" s="35">
        <f>IF(OR(G1153="",G1153="NOT ON LIST"),"",VLOOKUP(G1153,Students!$A:$C,2,FALSE))</f>
        <v/>
      </c>
      <c r="I1153" s="35">
        <f>IF(OR(G1153="",G1153="NOT ON LIST"),"",VLOOKUP(G1153,Students!$A:$C,3,FALSE)&amp;"")</f>
        <v/>
      </c>
    </row>
    <row r="1154">
      <c r="A1154" s="31" t="n">
        <v>46336.55208333334</v>
      </c>
      <c r="B1154" s="32" t="inlineStr">
        <is>
          <t>Ella Nguyen</t>
        </is>
      </c>
      <c r="C1154" s="32" t="inlineStr">
        <is>
          <t>Leo Nguyen</t>
        </is>
      </c>
      <c r="D1154" s="33" t="n">
        <v>25</v>
      </c>
      <c r="E1154" s="32" t="inlineStr">
        <is>
          <t>OneCause</t>
        </is>
      </c>
      <c r="F1154" s="34">
        <f>IF(A1154="","",IFERROR(INT(A1154),"check date"))</f>
        <v/>
      </c>
      <c r="G1154" s="35">
        <f>IF(B1154="","",IFERROR(INDEX(Students!$A:$A,MATCH(TRIM(B1154),Students!$A:$A,0)),"NOT ON LIST"))</f>
        <v/>
      </c>
      <c r="H1154" s="35">
        <f>IF(OR(G1154="",G1154="NOT ON LIST"),"",VLOOKUP(G1154,Students!$A:$C,2,FALSE))</f>
        <v/>
      </c>
      <c r="I1154" s="35">
        <f>IF(OR(G1154="",G1154="NOT ON LIST"),"",VLOOKUP(G1154,Students!$A:$C,3,FALSE)&amp;"")</f>
        <v/>
      </c>
    </row>
    <row r="1155">
      <c r="A1155" s="31" t="n">
        <v>46331.40625</v>
      </c>
      <c r="B1155" s="32" t="inlineStr">
        <is>
          <t>Mia Patel</t>
        </is>
      </c>
      <c r="C1155" s="32" t="inlineStr">
        <is>
          <t>Luna Patel</t>
        </is>
      </c>
      <c r="D1155" s="33" t="n">
        <v>75</v>
      </c>
      <c r="E1155" s="32" t="inlineStr">
        <is>
          <t>OneCause</t>
        </is>
      </c>
      <c r="F1155" s="34">
        <f>IF(A1155="","",IFERROR(INT(A1155),"check date"))</f>
        <v/>
      </c>
      <c r="G1155" s="35">
        <f>IF(B1155="","",IFERROR(INDEX(Students!$A:$A,MATCH(TRIM(B1155),Students!$A:$A,0)),"NOT ON LIST"))</f>
        <v/>
      </c>
      <c r="H1155" s="35">
        <f>IF(OR(G1155="",G1155="NOT ON LIST"),"",VLOOKUP(G1155,Students!$A:$C,2,FALSE))</f>
        <v/>
      </c>
      <c r="I1155" s="35">
        <f>IF(OR(G1155="",G1155="NOT ON LIST"),"",VLOOKUP(G1155,Students!$A:$C,3,FALSE)&amp;"")</f>
        <v/>
      </c>
    </row>
    <row r="1156">
      <c r="A1156" s="31" t="n">
        <v>46333.59375</v>
      </c>
      <c r="B1156" s="32" t="inlineStr">
        <is>
          <t>Amelia Lopez</t>
        </is>
      </c>
      <c r="C1156" s="32" t="inlineStr">
        <is>
          <t>Santiago Lopez</t>
        </is>
      </c>
      <c r="D1156" s="33" t="n">
        <v>75</v>
      </c>
      <c r="E1156" s="32" t="inlineStr">
        <is>
          <t>OneCause</t>
        </is>
      </c>
      <c r="F1156" s="34">
        <f>IF(A1156="","",IFERROR(INT(A1156),"check date"))</f>
        <v/>
      </c>
      <c r="G1156" s="35">
        <f>IF(B1156="","",IFERROR(INDEX(Students!$A:$A,MATCH(TRIM(B1156),Students!$A:$A,0)),"NOT ON LIST"))</f>
        <v/>
      </c>
      <c r="H1156" s="35">
        <f>IF(OR(G1156="",G1156="NOT ON LIST"),"",VLOOKUP(G1156,Students!$A:$C,2,FALSE))</f>
        <v/>
      </c>
      <c r="I1156" s="35">
        <f>IF(OR(G1156="",G1156="NOT ON LIST"),"",VLOOKUP(G1156,Students!$A:$C,3,FALSE)&amp;"")</f>
        <v/>
      </c>
    </row>
    <row r="1157">
      <c r="A1157" s="31" t="n">
        <v>46330.40625</v>
      </c>
      <c r="B1157" s="32" t="inlineStr">
        <is>
          <t>Amelia Ortiz</t>
        </is>
      </c>
      <c r="C1157" s="32" t="inlineStr">
        <is>
          <t>Clara Ortiz</t>
        </is>
      </c>
      <c r="D1157" s="33" t="n">
        <v>10</v>
      </c>
      <c r="E1157" s="32" t="inlineStr">
        <is>
          <t>OneCause</t>
        </is>
      </c>
      <c r="F1157" s="34">
        <f>IF(A1157="","",IFERROR(INT(A1157),"check date"))</f>
        <v/>
      </c>
      <c r="G1157" s="35">
        <f>IF(B1157="","",IFERROR(INDEX(Students!$A:$A,MATCH(TRIM(B1157),Students!$A:$A,0)),"NOT ON LIST"))</f>
        <v/>
      </c>
      <c r="H1157" s="35">
        <f>IF(OR(G1157="",G1157="NOT ON LIST"),"",VLOOKUP(G1157,Students!$A:$C,2,FALSE))</f>
        <v/>
      </c>
      <c r="I1157" s="35">
        <f>IF(OR(G1157="",G1157="NOT ON LIST"),"",VLOOKUP(G1157,Students!$A:$C,3,FALSE)&amp;"")</f>
        <v/>
      </c>
    </row>
    <row r="1158">
      <c r="A1158" s="31" t="n">
        <v>46330.52083333334</v>
      </c>
      <c r="B1158" s="32" t="inlineStr">
        <is>
          <t>James Brown</t>
        </is>
      </c>
      <c r="C1158" s="32" t="inlineStr">
        <is>
          <t>Chloe Brown</t>
        </is>
      </c>
      <c r="D1158" s="33" t="n">
        <v>25</v>
      </c>
      <c r="E1158" s="32" t="inlineStr">
        <is>
          <t>OneCause</t>
        </is>
      </c>
      <c r="F1158" s="34">
        <f>IF(A1158="","",IFERROR(INT(A1158),"check date"))</f>
        <v/>
      </c>
      <c r="G1158" s="35">
        <f>IF(B1158="","",IFERROR(INDEX(Students!$A:$A,MATCH(TRIM(B1158),Students!$A:$A,0)),"NOT ON LIST"))</f>
        <v/>
      </c>
      <c r="H1158" s="35">
        <f>IF(OR(G1158="",G1158="NOT ON LIST"),"",VLOOKUP(G1158,Students!$A:$C,2,FALSE))</f>
        <v/>
      </c>
      <c r="I1158" s="35">
        <f>IF(OR(G1158="",G1158="NOT ON LIST"),"",VLOOKUP(G1158,Students!$A:$C,3,FALSE)&amp;"")</f>
        <v/>
      </c>
    </row>
    <row r="1159">
      <c r="A1159" s="31" t="n">
        <v>46339.4375</v>
      </c>
      <c r="B1159" s="32" t="inlineStr">
        <is>
          <t>Mateo Cruz</t>
        </is>
      </c>
      <c r="C1159" s="32" t="inlineStr">
        <is>
          <t>Isaac Cruz</t>
        </is>
      </c>
      <c r="D1159" s="33" t="n">
        <v>20</v>
      </c>
      <c r="E1159" s="32" t="inlineStr">
        <is>
          <t>OneCause</t>
        </is>
      </c>
      <c r="F1159" s="34">
        <f>IF(A1159="","",IFERROR(INT(A1159),"check date"))</f>
        <v/>
      </c>
      <c r="G1159" s="35">
        <f>IF(B1159="","",IFERROR(INDEX(Students!$A:$A,MATCH(TRIM(B1159),Students!$A:$A,0)),"NOT ON LIST"))</f>
        <v/>
      </c>
      <c r="H1159" s="35">
        <f>IF(OR(G1159="",G1159="NOT ON LIST"),"",VLOOKUP(G1159,Students!$A:$C,2,FALSE))</f>
        <v/>
      </c>
      <c r="I1159" s="35">
        <f>IF(OR(G1159="",G1159="NOT ON LIST"),"",VLOOKUP(G1159,Students!$A:$C,3,FALSE)&amp;"")</f>
        <v/>
      </c>
    </row>
    <row r="1160">
      <c r="A1160" s="31" t="n">
        <v>46338.89583333334</v>
      </c>
      <c r="B1160" s="32" t="inlineStr">
        <is>
          <t>Henry Alvarez</t>
        </is>
      </c>
      <c r="C1160" s="32" t="inlineStr">
        <is>
          <t>Harper Alvarez</t>
        </is>
      </c>
      <c r="D1160" s="33" t="n">
        <v>25</v>
      </c>
      <c r="E1160" s="32" t="inlineStr">
        <is>
          <t>OneCause</t>
        </is>
      </c>
      <c r="F1160" s="34">
        <f>IF(A1160="","",IFERROR(INT(A1160),"check date"))</f>
        <v/>
      </c>
      <c r="G1160" s="35">
        <f>IF(B1160="","",IFERROR(INDEX(Students!$A:$A,MATCH(TRIM(B1160),Students!$A:$A,0)),"NOT ON LIST"))</f>
        <v/>
      </c>
      <c r="H1160" s="35">
        <f>IF(OR(G1160="",G1160="NOT ON LIST"),"",VLOOKUP(G1160,Students!$A:$C,2,FALSE))</f>
        <v/>
      </c>
      <c r="I1160" s="35">
        <f>IF(OR(G1160="",G1160="NOT ON LIST"),"",VLOOKUP(G1160,Students!$A:$C,3,FALSE)&amp;"")</f>
        <v/>
      </c>
    </row>
    <row r="1161">
      <c r="A1161" s="31" t="n">
        <v>46338.78125</v>
      </c>
      <c r="B1161" s="32" t="inlineStr">
        <is>
          <t>Nora Morales</t>
        </is>
      </c>
      <c r="C1161" s="32" t="inlineStr">
        <is>
          <t>Emma Morales</t>
        </is>
      </c>
      <c r="D1161" s="33" t="n">
        <v>10</v>
      </c>
      <c r="E1161" s="32" t="inlineStr">
        <is>
          <t>OneCause</t>
        </is>
      </c>
      <c r="F1161" s="34">
        <f>IF(A1161="","",IFERROR(INT(A1161),"check date"))</f>
        <v/>
      </c>
      <c r="G1161" s="35">
        <f>IF(B1161="","",IFERROR(INDEX(Students!$A:$A,MATCH(TRIM(B1161),Students!$A:$A,0)),"NOT ON LIST"))</f>
        <v/>
      </c>
      <c r="H1161" s="35">
        <f>IF(OR(G1161="",G1161="NOT ON LIST"),"",VLOOKUP(G1161,Students!$A:$C,2,FALSE))</f>
        <v/>
      </c>
      <c r="I1161" s="35">
        <f>IF(OR(G1161="",G1161="NOT ON LIST"),"",VLOOKUP(G1161,Students!$A:$C,3,FALSE)&amp;"")</f>
        <v/>
      </c>
    </row>
    <row r="1162">
      <c r="A1162" s="31" t="n">
        <v>46334.90625</v>
      </c>
      <c r="B1162" s="32" t="inlineStr">
        <is>
          <t>Santiago Castillo</t>
        </is>
      </c>
      <c r="C1162" s="32" t="inlineStr">
        <is>
          <t>Adrian Castillo</t>
        </is>
      </c>
      <c r="D1162" s="33" t="n">
        <v>75</v>
      </c>
      <c r="E1162" s="32" t="inlineStr">
        <is>
          <t>OneCause</t>
        </is>
      </c>
      <c r="F1162" s="34">
        <f>IF(A1162="","",IFERROR(INT(A1162),"check date"))</f>
        <v/>
      </c>
      <c r="G1162" s="35">
        <f>IF(B1162="","",IFERROR(INDEX(Students!$A:$A,MATCH(TRIM(B1162),Students!$A:$A,0)),"NOT ON LIST"))</f>
        <v/>
      </c>
      <c r="H1162" s="35">
        <f>IF(OR(G1162="",G1162="NOT ON LIST"),"",VLOOKUP(G1162,Students!$A:$C,2,FALSE))</f>
        <v/>
      </c>
      <c r="I1162" s="35">
        <f>IF(OR(G1162="",G1162="NOT ON LIST"),"",VLOOKUP(G1162,Students!$A:$C,3,FALSE)&amp;"")</f>
        <v/>
      </c>
    </row>
    <row r="1163">
      <c r="A1163" s="31" t="n">
        <v>46338.82291666666</v>
      </c>
      <c r="B1163" s="32" t="inlineStr">
        <is>
          <t>Grace Reyes</t>
        </is>
      </c>
      <c r="C1163" s="32" t="inlineStr">
        <is>
          <t>Henry Reyes</t>
        </is>
      </c>
      <c r="D1163" s="33" t="n">
        <v>25</v>
      </c>
      <c r="E1163" s="32" t="inlineStr">
        <is>
          <t>OneCause</t>
        </is>
      </c>
      <c r="F1163" s="34">
        <f>IF(A1163="","",IFERROR(INT(A1163),"check date"))</f>
        <v/>
      </c>
      <c r="G1163" s="35">
        <f>IF(B1163="","",IFERROR(INDEX(Students!$A:$A,MATCH(TRIM(B1163),Students!$A:$A,0)),"NOT ON LIST"))</f>
        <v/>
      </c>
      <c r="H1163" s="35">
        <f>IF(OR(G1163="",G1163="NOT ON LIST"),"",VLOOKUP(G1163,Students!$A:$C,2,FALSE))</f>
        <v/>
      </c>
      <c r="I1163" s="35">
        <f>IF(OR(G1163="",G1163="NOT ON LIST"),"",VLOOKUP(G1163,Students!$A:$C,3,FALSE)&amp;"")</f>
        <v/>
      </c>
    </row>
    <row r="1164">
      <c r="A1164" s="31" t="n">
        <v>46339.52083333334</v>
      </c>
      <c r="B1164" s="32" t="inlineStr">
        <is>
          <t>Isaac Byrne</t>
        </is>
      </c>
      <c r="C1164" s="32" t="inlineStr">
        <is>
          <t>Harper Byrne</t>
        </is>
      </c>
      <c r="D1164" s="33" t="n">
        <v>25</v>
      </c>
      <c r="E1164" s="32" t="inlineStr">
        <is>
          <t>OneCause</t>
        </is>
      </c>
      <c r="F1164" s="34">
        <f>IF(A1164="","",IFERROR(INT(A1164),"check date"))</f>
        <v/>
      </c>
      <c r="G1164" s="35">
        <f>IF(B1164="","",IFERROR(INDEX(Students!$A:$A,MATCH(TRIM(B1164),Students!$A:$A,0)),"NOT ON LIST"))</f>
        <v/>
      </c>
      <c r="H1164" s="35">
        <f>IF(OR(G1164="",G1164="NOT ON LIST"),"",VLOOKUP(G1164,Students!$A:$C,2,FALSE))</f>
        <v/>
      </c>
      <c r="I1164" s="35">
        <f>IF(OR(G1164="",G1164="NOT ON LIST"),"",VLOOKUP(G1164,Students!$A:$C,3,FALSE)&amp;"")</f>
        <v/>
      </c>
    </row>
    <row r="1165">
      <c r="A1165" s="31" t="n">
        <v>46336.82291666666</v>
      </c>
      <c r="B1165" s="32" t="inlineStr">
        <is>
          <t>Emma Sullivan</t>
        </is>
      </c>
      <c r="C1165" s="32" t="inlineStr">
        <is>
          <t>David Sullivan</t>
        </is>
      </c>
      <c r="D1165" s="33" t="n">
        <v>25</v>
      </c>
      <c r="E1165" s="32" t="inlineStr">
        <is>
          <t>OneCause</t>
        </is>
      </c>
      <c r="F1165" s="34">
        <f>IF(A1165="","",IFERROR(INT(A1165),"check date"))</f>
        <v/>
      </c>
      <c r="G1165" s="35">
        <f>IF(B1165="","",IFERROR(INDEX(Students!$A:$A,MATCH(TRIM(B1165),Students!$A:$A,0)),"NOT ON LIST"))</f>
        <v/>
      </c>
      <c r="H1165" s="35">
        <f>IF(OR(G1165="",G1165="NOT ON LIST"),"",VLOOKUP(G1165,Students!$A:$C,2,FALSE))</f>
        <v/>
      </c>
      <c r="I1165" s="35">
        <f>IF(OR(G1165="",G1165="NOT ON LIST"),"",VLOOKUP(G1165,Students!$A:$C,3,FALSE)&amp;"")</f>
        <v/>
      </c>
    </row>
    <row r="1166">
      <c r="A1166" s="31" t="n">
        <v>46330.76041666666</v>
      </c>
      <c r="B1166" s="32" t="inlineStr">
        <is>
          <t>Isabella Sanchez</t>
        </is>
      </c>
      <c r="C1166" s="32" t="inlineStr">
        <is>
          <t>Aria Sanchez</t>
        </is>
      </c>
      <c r="D1166" s="33" t="n">
        <v>25</v>
      </c>
      <c r="E1166" s="32" t="inlineStr">
        <is>
          <t>OneCause</t>
        </is>
      </c>
      <c r="F1166" s="34">
        <f>IF(A1166="","",IFERROR(INT(A1166),"check date"))</f>
        <v/>
      </c>
      <c r="G1166" s="35">
        <f>IF(B1166="","",IFERROR(INDEX(Students!$A:$A,MATCH(TRIM(B1166),Students!$A:$A,0)),"NOT ON LIST"))</f>
        <v/>
      </c>
      <c r="H1166" s="35">
        <f>IF(OR(G1166="",G1166="NOT ON LIST"),"",VLOOKUP(G1166,Students!$A:$C,2,FALSE))</f>
        <v/>
      </c>
      <c r="I1166" s="35">
        <f>IF(OR(G1166="",G1166="NOT ON LIST"),"",VLOOKUP(G1166,Students!$A:$C,3,FALSE)&amp;"")</f>
        <v/>
      </c>
    </row>
    <row r="1167">
      <c r="A1167" s="31" t="n">
        <v>46330.67708333334</v>
      </c>
      <c r="B1167" s="32" t="inlineStr">
        <is>
          <t>Harper Brown</t>
        </is>
      </c>
      <c r="C1167" s="32" t="inlineStr">
        <is>
          <t>Mia Brown</t>
        </is>
      </c>
      <c r="D1167" s="33" t="n">
        <v>100</v>
      </c>
      <c r="E1167" s="32" t="inlineStr">
        <is>
          <t>OneCause</t>
        </is>
      </c>
      <c r="F1167" s="34">
        <f>IF(A1167="","",IFERROR(INT(A1167),"check date"))</f>
        <v/>
      </c>
      <c r="G1167" s="35">
        <f>IF(B1167="","",IFERROR(INDEX(Students!$A:$A,MATCH(TRIM(B1167),Students!$A:$A,0)),"NOT ON LIST"))</f>
        <v/>
      </c>
      <c r="H1167" s="35">
        <f>IF(OR(G1167="",G1167="NOT ON LIST"),"",VLOOKUP(G1167,Students!$A:$C,2,FALSE))</f>
        <v/>
      </c>
      <c r="I1167" s="35">
        <f>IF(OR(G1167="",G1167="NOT ON LIST"),"",VLOOKUP(G1167,Students!$A:$C,3,FALSE)&amp;"")</f>
        <v/>
      </c>
    </row>
    <row r="1168">
      <c r="A1168" s="31" t="n">
        <v>46327.59375</v>
      </c>
      <c r="B1168" s="32" t="inlineStr">
        <is>
          <t>Leo Vasquez</t>
        </is>
      </c>
      <c r="C1168" s="32" t="inlineStr">
        <is>
          <t>Gabriel Vasquez</t>
        </is>
      </c>
      <c r="D1168" s="33" t="n">
        <v>150</v>
      </c>
      <c r="E1168" s="32" t="inlineStr">
        <is>
          <t>OneCause</t>
        </is>
      </c>
      <c r="F1168" s="34">
        <f>IF(A1168="","",IFERROR(INT(A1168),"check date"))</f>
        <v/>
      </c>
      <c r="G1168" s="35">
        <f>IF(B1168="","",IFERROR(INDEX(Students!$A:$A,MATCH(TRIM(B1168),Students!$A:$A,0)),"NOT ON LIST"))</f>
        <v/>
      </c>
      <c r="H1168" s="35">
        <f>IF(OR(G1168="",G1168="NOT ON LIST"),"",VLOOKUP(G1168,Students!$A:$C,2,FALSE))</f>
        <v/>
      </c>
      <c r="I1168" s="35">
        <f>IF(OR(G1168="",G1168="NOT ON LIST"),"",VLOOKUP(G1168,Students!$A:$C,3,FALSE)&amp;"")</f>
        <v/>
      </c>
    </row>
    <row r="1169">
      <c r="A1169" s="31" t="n">
        <v>46335.45833333334</v>
      </c>
      <c r="B1169" s="32" t="inlineStr">
        <is>
          <t>Daniel Gomez</t>
        </is>
      </c>
      <c r="C1169" s="32" t="inlineStr">
        <is>
          <t>Sofia Gomez</t>
        </is>
      </c>
      <c r="D1169" s="33" t="n">
        <v>50</v>
      </c>
      <c r="E1169" s="32" t="inlineStr">
        <is>
          <t>OneCause</t>
        </is>
      </c>
      <c r="F1169" s="34">
        <f>IF(A1169="","",IFERROR(INT(A1169),"check date"))</f>
        <v/>
      </c>
      <c r="G1169" s="35">
        <f>IF(B1169="","",IFERROR(INDEX(Students!$A:$A,MATCH(TRIM(B1169),Students!$A:$A,0)),"NOT ON LIST"))</f>
        <v/>
      </c>
      <c r="H1169" s="35">
        <f>IF(OR(G1169="",G1169="NOT ON LIST"),"",VLOOKUP(G1169,Students!$A:$C,2,FALSE))</f>
        <v/>
      </c>
      <c r="I1169" s="35">
        <f>IF(OR(G1169="",G1169="NOT ON LIST"),"",VLOOKUP(G1169,Students!$A:$C,3,FALSE)&amp;"")</f>
        <v/>
      </c>
    </row>
    <row r="1170">
      <c r="A1170" s="31" t="n">
        <v>46339.5</v>
      </c>
      <c r="B1170" s="32" t="inlineStr">
        <is>
          <t>Aria Torres</t>
        </is>
      </c>
      <c r="C1170" s="32" t="inlineStr">
        <is>
          <t>Olivia Torres</t>
        </is>
      </c>
      <c r="D1170" s="33" t="n">
        <v>20</v>
      </c>
      <c r="E1170" s="32" t="inlineStr">
        <is>
          <t>OneCause</t>
        </is>
      </c>
      <c r="F1170" s="34">
        <f>IF(A1170="","",IFERROR(INT(A1170),"check date"))</f>
        <v/>
      </c>
      <c r="G1170" s="35">
        <f>IF(B1170="","",IFERROR(INDEX(Students!$A:$A,MATCH(TRIM(B1170),Students!$A:$A,0)),"NOT ON LIST"))</f>
        <v/>
      </c>
      <c r="H1170" s="35">
        <f>IF(OR(G1170="",G1170="NOT ON LIST"),"",VLOOKUP(G1170,Students!$A:$C,2,FALSE))</f>
        <v/>
      </c>
      <c r="I1170" s="35">
        <f>IF(OR(G1170="",G1170="NOT ON LIST"),"",VLOOKUP(G1170,Students!$A:$C,3,FALSE)&amp;"")</f>
        <v/>
      </c>
    </row>
    <row r="1171">
      <c r="A1171" s="31" t="n">
        <v>46333.84375</v>
      </c>
      <c r="B1171" s="32" t="inlineStr">
        <is>
          <t>Henry Lopez</t>
        </is>
      </c>
      <c r="C1171" s="32" t="inlineStr">
        <is>
          <t>Liam Lopez</t>
        </is>
      </c>
      <c r="D1171" s="33" t="n">
        <v>20</v>
      </c>
      <c r="E1171" s="32" t="inlineStr">
        <is>
          <t>OneCause</t>
        </is>
      </c>
      <c r="F1171" s="34">
        <f>IF(A1171="","",IFERROR(INT(A1171),"check date"))</f>
        <v/>
      </c>
      <c r="G1171" s="35">
        <f>IF(B1171="","",IFERROR(INDEX(Students!$A:$A,MATCH(TRIM(B1171),Students!$A:$A,0)),"NOT ON LIST"))</f>
        <v/>
      </c>
      <c r="H1171" s="35">
        <f>IF(OR(G1171="",G1171="NOT ON LIST"),"",VLOOKUP(G1171,Students!$A:$C,2,FALSE))</f>
        <v/>
      </c>
      <c r="I1171" s="35">
        <f>IF(OR(G1171="",G1171="NOT ON LIST"),"",VLOOKUP(G1171,Students!$A:$C,3,FALSE)&amp;"")</f>
        <v/>
      </c>
    </row>
    <row r="1172">
      <c r="A1172" s="31" t="n">
        <v>46327.4375</v>
      </c>
      <c r="B1172" s="32" t="inlineStr">
        <is>
          <t>Evelyn Ortiz</t>
        </is>
      </c>
      <c r="C1172" s="32" t="inlineStr">
        <is>
          <t>Lily Ortiz</t>
        </is>
      </c>
      <c r="D1172" s="33" t="n">
        <v>75</v>
      </c>
      <c r="E1172" s="32" t="inlineStr">
        <is>
          <t>OneCause</t>
        </is>
      </c>
      <c r="F1172" s="34">
        <f>IF(A1172="","",IFERROR(INT(A1172),"check date"))</f>
        <v/>
      </c>
      <c r="G1172" s="35">
        <f>IF(B1172="","",IFERROR(INDEX(Students!$A:$A,MATCH(TRIM(B1172),Students!$A:$A,0)),"NOT ON LIST"))</f>
        <v/>
      </c>
      <c r="H1172" s="35">
        <f>IF(OR(G1172="",G1172="NOT ON LIST"),"",VLOOKUP(G1172,Students!$A:$C,2,FALSE))</f>
        <v/>
      </c>
      <c r="I1172" s="35">
        <f>IF(OR(G1172="",G1172="NOT ON LIST"),"",VLOOKUP(G1172,Students!$A:$C,3,FALSE)&amp;"")</f>
        <v/>
      </c>
    </row>
    <row r="1173">
      <c r="A1173" s="31" t="n">
        <v>46338.5</v>
      </c>
      <c r="B1173" s="32" t="inlineStr">
        <is>
          <t>Thomas Cruz</t>
        </is>
      </c>
      <c r="C1173" s="32" t="inlineStr">
        <is>
          <t>Mateo Cruz</t>
        </is>
      </c>
      <c r="D1173" s="33" t="n">
        <v>40</v>
      </c>
      <c r="E1173" s="32" t="inlineStr">
        <is>
          <t>OneCause</t>
        </is>
      </c>
      <c r="F1173" s="34">
        <f>IF(A1173="","",IFERROR(INT(A1173),"check date"))</f>
        <v/>
      </c>
      <c r="G1173" s="35">
        <f>IF(B1173="","",IFERROR(INDEX(Students!$A:$A,MATCH(TRIM(B1173),Students!$A:$A,0)),"NOT ON LIST"))</f>
        <v/>
      </c>
      <c r="H1173" s="35">
        <f>IF(OR(G1173="",G1173="NOT ON LIST"),"",VLOOKUP(G1173,Students!$A:$C,2,FALSE))</f>
        <v/>
      </c>
      <c r="I1173" s="35">
        <f>IF(OR(G1173="",G1173="NOT ON LIST"),"",VLOOKUP(G1173,Students!$A:$C,3,FALSE)&amp;"")</f>
        <v/>
      </c>
    </row>
    <row r="1174">
      <c r="A1174" s="31" t="n">
        <v>46328.57291666666</v>
      </c>
      <c r="B1174" s="32" t="inlineStr">
        <is>
          <t>Joseph Gutierrez</t>
        </is>
      </c>
      <c r="C1174" s="32" t="inlineStr">
        <is>
          <t>Joseph Gutierrez</t>
        </is>
      </c>
      <c r="D1174" s="33" t="n">
        <v>10</v>
      </c>
      <c r="E1174" s="32" t="inlineStr">
        <is>
          <t>OneCause</t>
        </is>
      </c>
      <c r="F1174" s="34">
        <f>IF(A1174="","",IFERROR(INT(A1174),"check date"))</f>
        <v/>
      </c>
      <c r="G1174" s="35">
        <f>IF(B1174="","",IFERROR(INDEX(Students!$A:$A,MATCH(TRIM(B1174),Students!$A:$A,0)),"NOT ON LIST"))</f>
        <v/>
      </c>
      <c r="H1174" s="35">
        <f>IF(OR(G1174="",G1174="NOT ON LIST"),"",VLOOKUP(G1174,Students!$A:$C,2,FALSE))</f>
        <v/>
      </c>
      <c r="I1174" s="35">
        <f>IF(OR(G1174="",G1174="NOT ON LIST"),"",VLOOKUP(G1174,Students!$A:$C,3,FALSE)&amp;"")</f>
        <v/>
      </c>
    </row>
    <row r="1175">
      <c r="A1175" s="31" t="n">
        <v>46334.48958333334</v>
      </c>
      <c r="B1175" s="32" t="inlineStr">
        <is>
          <t>Noah Morales</t>
        </is>
      </c>
      <c r="C1175" s="32" t="inlineStr">
        <is>
          <t>Isaac Morales</t>
        </is>
      </c>
      <c r="D1175" s="33" t="n">
        <v>25</v>
      </c>
      <c r="E1175" s="32" t="inlineStr">
        <is>
          <t>OneCause</t>
        </is>
      </c>
      <c r="F1175" s="34">
        <f>IF(A1175="","",IFERROR(INT(A1175),"check date"))</f>
        <v/>
      </c>
      <c r="G1175" s="35">
        <f>IF(B1175="","",IFERROR(INDEX(Students!$A:$A,MATCH(TRIM(B1175),Students!$A:$A,0)),"NOT ON LIST"))</f>
        <v/>
      </c>
      <c r="H1175" s="35">
        <f>IF(OR(G1175="",G1175="NOT ON LIST"),"",VLOOKUP(G1175,Students!$A:$C,2,FALSE))</f>
        <v/>
      </c>
      <c r="I1175" s="35">
        <f>IF(OR(G1175="",G1175="NOT ON LIST"),"",VLOOKUP(G1175,Students!$A:$C,3,FALSE)&amp;"")</f>
        <v/>
      </c>
    </row>
    <row r="1176">
      <c r="A1176" s="31" t="n">
        <v>46327.45833333334</v>
      </c>
      <c r="B1176" s="32" t="inlineStr">
        <is>
          <t>Maya Patel</t>
        </is>
      </c>
      <c r="C1176" s="32" t="inlineStr">
        <is>
          <t>Joseph Patel</t>
        </is>
      </c>
      <c r="D1176" s="33" t="n">
        <v>50</v>
      </c>
      <c r="E1176" s="32" t="inlineStr">
        <is>
          <t>OneCause</t>
        </is>
      </c>
      <c r="F1176" s="34">
        <f>IF(A1176="","",IFERROR(INT(A1176),"check date"))</f>
        <v/>
      </c>
      <c r="G1176" s="35">
        <f>IF(B1176="","",IFERROR(INDEX(Students!$A:$A,MATCH(TRIM(B1176),Students!$A:$A,0)),"NOT ON LIST"))</f>
        <v/>
      </c>
      <c r="H1176" s="35">
        <f>IF(OR(G1176="",G1176="NOT ON LIST"),"",VLOOKUP(G1176,Students!$A:$C,2,FALSE))</f>
        <v/>
      </c>
      <c r="I1176" s="35">
        <f>IF(OR(G1176="",G1176="NOT ON LIST"),"",VLOOKUP(G1176,Students!$A:$C,3,FALSE)&amp;"")</f>
        <v/>
      </c>
    </row>
    <row r="1177">
      <c r="A1177" s="31" t="n">
        <v>46338.4375</v>
      </c>
      <c r="B1177" s="32" t="inlineStr">
        <is>
          <t>Gabriel Flores</t>
        </is>
      </c>
      <c r="C1177" s="32" t="inlineStr">
        <is>
          <t>Henry Flores</t>
        </is>
      </c>
      <c r="D1177" s="33" t="n">
        <v>50</v>
      </c>
      <c r="E1177" s="32" t="inlineStr">
        <is>
          <t>OneCause</t>
        </is>
      </c>
      <c r="F1177" s="34">
        <f>IF(A1177="","",IFERROR(INT(A1177),"check date"))</f>
        <v/>
      </c>
      <c r="G1177" s="35">
        <f>IF(B1177="","",IFERROR(INDEX(Students!$A:$A,MATCH(TRIM(B1177),Students!$A:$A,0)),"NOT ON LIST"))</f>
        <v/>
      </c>
      <c r="H1177" s="35">
        <f>IF(OR(G1177="",G1177="NOT ON LIST"),"",VLOOKUP(G1177,Students!$A:$C,2,FALSE))</f>
        <v/>
      </c>
      <c r="I1177" s="35">
        <f>IF(OR(G1177="",G1177="NOT ON LIST"),"",VLOOKUP(G1177,Students!$A:$C,3,FALSE)&amp;"")</f>
        <v/>
      </c>
    </row>
    <row r="1178">
      <c r="A1178" s="31" t="n">
        <v>46325.3125</v>
      </c>
      <c r="B1178" s="32" t="inlineStr">
        <is>
          <t>Ella Gutierrez</t>
        </is>
      </c>
      <c r="C1178" s="32" t="inlineStr">
        <is>
          <t>Maya Gutierrez</t>
        </is>
      </c>
      <c r="D1178" s="33" t="n">
        <v>25</v>
      </c>
      <c r="E1178" s="32" t="inlineStr">
        <is>
          <t>OneCause</t>
        </is>
      </c>
      <c r="F1178" s="34">
        <f>IF(A1178="","",IFERROR(INT(A1178),"check date"))</f>
        <v/>
      </c>
      <c r="G1178" s="35">
        <f>IF(B1178="","",IFERROR(INDEX(Students!$A:$A,MATCH(TRIM(B1178),Students!$A:$A,0)),"NOT ON LIST"))</f>
        <v/>
      </c>
      <c r="H1178" s="35">
        <f>IF(OR(G1178="",G1178="NOT ON LIST"),"",VLOOKUP(G1178,Students!$A:$C,2,FALSE))</f>
        <v/>
      </c>
      <c r="I1178" s="35">
        <f>IF(OR(G1178="",G1178="NOT ON LIST"),"",VLOOKUP(G1178,Students!$A:$C,3,FALSE)&amp;"")</f>
        <v/>
      </c>
    </row>
    <row r="1179">
      <c r="A1179" s="31" t="n">
        <v>46326.35416666666</v>
      </c>
      <c r="B1179" s="32" t="inlineStr">
        <is>
          <t>Diego Morales</t>
        </is>
      </c>
      <c r="C1179" s="32" t="inlineStr">
        <is>
          <t>Samuel Morales</t>
        </is>
      </c>
      <c r="D1179" s="33" t="n">
        <v>10</v>
      </c>
      <c r="E1179" s="32" t="inlineStr">
        <is>
          <t>OneCause</t>
        </is>
      </c>
      <c r="F1179" s="34">
        <f>IF(A1179="","",IFERROR(INT(A1179),"check date"))</f>
        <v/>
      </c>
      <c r="G1179" s="35">
        <f>IF(B1179="","",IFERROR(INDEX(Students!$A:$A,MATCH(TRIM(B1179),Students!$A:$A,0)),"NOT ON LIST"))</f>
        <v/>
      </c>
      <c r="H1179" s="35">
        <f>IF(OR(G1179="",G1179="NOT ON LIST"),"",VLOOKUP(G1179,Students!$A:$C,2,FALSE))</f>
        <v/>
      </c>
      <c r="I1179" s="35">
        <f>IF(OR(G1179="",G1179="NOT ON LIST"),"",VLOOKUP(G1179,Students!$A:$C,3,FALSE)&amp;"")</f>
        <v/>
      </c>
    </row>
    <row r="1180">
      <c r="A1180" s="31" t="n">
        <v>46331</v>
      </c>
      <c r="B1180" s="32" t="inlineStr">
        <is>
          <t>Diego Johnson</t>
        </is>
      </c>
      <c r="C1180" s="32" t="inlineStr">
        <is>
          <t>Luna Johnson</t>
        </is>
      </c>
      <c r="D1180" s="33" t="n">
        <v>10</v>
      </c>
      <c r="E1180" s="32" t="inlineStr">
        <is>
          <t>Check</t>
        </is>
      </c>
      <c r="F1180" s="34">
        <f>IF(A1180="","",IFERROR(INT(A1180),"check date"))</f>
        <v/>
      </c>
      <c r="G1180" s="35">
        <f>IF(B1180="","",IFERROR(INDEX(Students!$A:$A,MATCH(TRIM(B1180),Students!$A:$A,0)),"NOT ON LIST"))</f>
        <v/>
      </c>
      <c r="H1180" s="35">
        <f>IF(OR(G1180="",G1180="NOT ON LIST"),"",VLOOKUP(G1180,Students!$A:$C,2,FALSE))</f>
        <v/>
      </c>
      <c r="I1180" s="35">
        <f>IF(OR(G1180="",G1180="NOT ON LIST"),"",VLOOKUP(G1180,Students!$A:$C,3,FALSE)&amp;"")</f>
        <v/>
      </c>
    </row>
    <row r="1181">
      <c r="A1181" s="31" t="n">
        <v>46326.84375</v>
      </c>
      <c r="B1181" s="32" t="inlineStr">
        <is>
          <t>Grace Garcia</t>
        </is>
      </c>
      <c r="C1181" s="32" t="inlineStr">
        <is>
          <t>Thomas Garcia</t>
        </is>
      </c>
      <c r="D1181" s="33" t="n">
        <v>100</v>
      </c>
      <c r="E1181" s="32" t="inlineStr">
        <is>
          <t>OneCause</t>
        </is>
      </c>
      <c r="F1181" s="34">
        <f>IF(A1181="","",IFERROR(INT(A1181),"check date"))</f>
        <v/>
      </c>
      <c r="G1181" s="35">
        <f>IF(B1181="","",IFERROR(INDEX(Students!$A:$A,MATCH(TRIM(B1181),Students!$A:$A,0)),"NOT ON LIST"))</f>
        <v/>
      </c>
      <c r="H1181" s="35">
        <f>IF(OR(G1181="",G1181="NOT ON LIST"),"",VLOOKUP(G1181,Students!$A:$C,2,FALSE))</f>
        <v/>
      </c>
      <c r="I1181" s="35">
        <f>IF(OR(G1181="",G1181="NOT ON LIST"),"",VLOOKUP(G1181,Students!$A:$C,3,FALSE)&amp;"")</f>
        <v/>
      </c>
    </row>
    <row r="1182">
      <c r="A1182" s="31" t="n">
        <v>46335.52083333334</v>
      </c>
      <c r="B1182" s="32" t="inlineStr">
        <is>
          <t>Joseph Williams</t>
        </is>
      </c>
      <c r="C1182" s="32" t="inlineStr">
        <is>
          <t>Zoe Williams</t>
        </is>
      </c>
      <c r="D1182" s="33" t="n">
        <v>25</v>
      </c>
      <c r="E1182" s="32" t="inlineStr">
        <is>
          <t>OneCause</t>
        </is>
      </c>
      <c r="F1182" s="34">
        <f>IF(A1182="","",IFERROR(INT(A1182),"check date"))</f>
        <v/>
      </c>
      <c r="G1182" s="35">
        <f>IF(B1182="","",IFERROR(INDEX(Students!$A:$A,MATCH(TRIM(B1182),Students!$A:$A,0)),"NOT ON LIST"))</f>
        <v/>
      </c>
      <c r="H1182" s="35">
        <f>IF(OR(G1182="",G1182="NOT ON LIST"),"",VLOOKUP(G1182,Students!$A:$C,2,FALSE))</f>
        <v/>
      </c>
      <c r="I1182" s="35">
        <f>IF(OR(G1182="",G1182="NOT ON LIST"),"",VLOOKUP(G1182,Students!$A:$C,3,FALSE)&amp;"")</f>
        <v/>
      </c>
    </row>
    <row r="1183">
      <c r="A1183" s="31" t="n">
        <v>46336.70833333334</v>
      </c>
      <c r="B1183" s="32" t="inlineStr">
        <is>
          <t>Joseph Sanchez</t>
        </is>
      </c>
      <c r="C1183" s="32" t="inlineStr">
        <is>
          <t>Gabriel Sanchez</t>
        </is>
      </c>
      <c r="D1183" s="33" t="n">
        <v>25</v>
      </c>
      <c r="E1183" s="32" t="inlineStr">
        <is>
          <t>OneCause</t>
        </is>
      </c>
      <c r="F1183" s="34">
        <f>IF(A1183="","",IFERROR(INT(A1183),"check date"))</f>
        <v/>
      </c>
      <c r="G1183" s="35">
        <f>IF(B1183="","",IFERROR(INDEX(Students!$A:$A,MATCH(TRIM(B1183),Students!$A:$A,0)),"NOT ON LIST"))</f>
        <v/>
      </c>
      <c r="H1183" s="35">
        <f>IF(OR(G1183="",G1183="NOT ON LIST"),"",VLOOKUP(G1183,Students!$A:$C,2,FALSE))</f>
        <v/>
      </c>
      <c r="I1183" s="35">
        <f>IF(OR(G1183="",G1183="NOT ON LIST"),"",VLOOKUP(G1183,Students!$A:$C,3,FALSE)&amp;"")</f>
        <v/>
      </c>
    </row>
    <row r="1184">
      <c r="A1184" s="31" t="n">
        <v>46339.60416666666</v>
      </c>
      <c r="B1184" s="32" t="inlineStr">
        <is>
          <t>Julian Kim</t>
        </is>
      </c>
      <c r="C1184" s="32" t="inlineStr">
        <is>
          <t>Ella Kim</t>
        </is>
      </c>
      <c r="D1184" s="33" t="n">
        <v>25</v>
      </c>
      <c r="E1184" s="32" t="inlineStr">
        <is>
          <t>OneCause</t>
        </is>
      </c>
      <c r="F1184" s="34">
        <f>IF(A1184="","",IFERROR(INT(A1184),"check date"))</f>
        <v/>
      </c>
      <c r="G1184" s="35">
        <f>IF(B1184="","",IFERROR(INDEX(Students!$A:$A,MATCH(TRIM(B1184),Students!$A:$A,0)),"NOT ON LIST"))</f>
        <v/>
      </c>
      <c r="H1184" s="35">
        <f>IF(OR(G1184="",G1184="NOT ON LIST"),"",VLOOKUP(G1184,Students!$A:$C,2,FALSE))</f>
        <v/>
      </c>
      <c r="I1184" s="35">
        <f>IF(OR(G1184="",G1184="NOT ON LIST"),"",VLOOKUP(G1184,Students!$A:$C,3,FALSE)&amp;"")</f>
        <v/>
      </c>
    </row>
    <row r="1185">
      <c r="A1185" s="31" t="n">
        <v>46332.75</v>
      </c>
      <c r="B1185" s="32" t="inlineStr">
        <is>
          <t>Emma Murphy</t>
        </is>
      </c>
      <c r="C1185" s="32" t="inlineStr">
        <is>
          <t>Joseph Murphy</t>
        </is>
      </c>
      <c r="D1185" s="33" t="n">
        <v>10</v>
      </c>
      <c r="E1185" s="32" t="inlineStr">
        <is>
          <t>OneCause</t>
        </is>
      </c>
      <c r="F1185" s="34">
        <f>IF(A1185="","",IFERROR(INT(A1185),"check date"))</f>
        <v/>
      </c>
      <c r="G1185" s="35">
        <f>IF(B1185="","",IFERROR(INDEX(Students!$A:$A,MATCH(TRIM(B1185),Students!$A:$A,0)),"NOT ON LIST"))</f>
        <v/>
      </c>
      <c r="H1185" s="35">
        <f>IF(OR(G1185="",G1185="NOT ON LIST"),"",VLOOKUP(G1185,Students!$A:$C,2,FALSE))</f>
        <v/>
      </c>
      <c r="I1185" s="35">
        <f>IF(OR(G1185="",G1185="NOT ON LIST"),"",VLOOKUP(G1185,Students!$A:$C,3,FALSE)&amp;"")</f>
        <v/>
      </c>
    </row>
    <row r="1186">
      <c r="A1186" s="31" t="n">
        <v>46331.375</v>
      </c>
      <c r="B1186" s="32" t="inlineStr">
        <is>
          <t>Isabella Johnson</t>
        </is>
      </c>
      <c r="C1186" s="32" t="inlineStr">
        <is>
          <t>Isaac Johnson</t>
        </is>
      </c>
      <c r="D1186" s="33" t="n">
        <v>40</v>
      </c>
      <c r="E1186" s="32" t="inlineStr">
        <is>
          <t>OneCause</t>
        </is>
      </c>
      <c r="F1186" s="34">
        <f>IF(A1186="","",IFERROR(INT(A1186),"check date"))</f>
        <v/>
      </c>
      <c r="G1186" s="35">
        <f>IF(B1186="","",IFERROR(INDEX(Students!$A:$A,MATCH(TRIM(B1186),Students!$A:$A,0)),"NOT ON LIST"))</f>
        <v/>
      </c>
      <c r="H1186" s="35">
        <f>IF(OR(G1186="",G1186="NOT ON LIST"),"",VLOOKUP(G1186,Students!$A:$C,2,FALSE))</f>
        <v/>
      </c>
      <c r="I1186" s="35">
        <f>IF(OR(G1186="",G1186="NOT ON LIST"),"",VLOOKUP(G1186,Students!$A:$C,3,FALSE)&amp;"")</f>
        <v/>
      </c>
    </row>
    <row r="1187">
      <c r="A1187" s="31" t="n">
        <v>46329</v>
      </c>
      <c r="B1187" s="32" t="inlineStr">
        <is>
          <t>Samuel Murphy</t>
        </is>
      </c>
      <c r="C1187" s="32" t="inlineStr">
        <is>
          <t>Mateo Murphy</t>
        </is>
      </c>
      <c r="D1187" s="33" t="n">
        <v>20</v>
      </c>
      <c r="E1187" s="32" t="inlineStr">
        <is>
          <t>Cash</t>
        </is>
      </c>
      <c r="F1187" s="34">
        <f>IF(A1187="","",IFERROR(INT(A1187),"check date"))</f>
        <v/>
      </c>
      <c r="G1187" s="35">
        <f>IF(B1187="","",IFERROR(INDEX(Students!$A:$A,MATCH(TRIM(B1187),Students!$A:$A,0)),"NOT ON LIST"))</f>
        <v/>
      </c>
      <c r="H1187" s="35">
        <f>IF(OR(G1187="",G1187="NOT ON LIST"),"",VLOOKUP(G1187,Students!$A:$C,2,FALSE))</f>
        <v/>
      </c>
      <c r="I1187" s="35">
        <f>IF(OR(G1187="",G1187="NOT ON LIST"),"",VLOOKUP(G1187,Students!$A:$C,3,FALSE)&amp;"")</f>
        <v/>
      </c>
    </row>
    <row r="1188">
      <c r="A1188" s="31" t="n">
        <v>46331.30208333334</v>
      </c>
      <c r="B1188" s="32" t="inlineStr">
        <is>
          <t>Aria Perez</t>
        </is>
      </c>
      <c r="C1188" s="32" t="inlineStr">
        <is>
          <t>Lucas Perez</t>
        </is>
      </c>
      <c r="D1188" s="33" t="n">
        <v>50</v>
      </c>
      <c r="E1188" s="32" t="inlineStr">
        <is>
          <t>OneCause</t>
        </is>
      </c>
      <c r="F1188" s="34">
        <f>IF(A1188="","",IFERROR(INT(A1188),"check date"))</f>
        <v/>
      </c>
      <c r="G1188" s="35">
        <f>IF(B1188="","",IFERROR(INDEX(Students!$A:$A,MATCH(TRIM(B1188),Students!$A:$A,0)),"NOT ON LIST"))</f>
        <v/>
      </c>
      <c r="H1188" s="35">
        <f>IF(OR(G1188="",G1188="NOT ON LIST"),"",VLOOKUP(G1188,Students!$A:$C,2,FALSE))</f>
        <v/>
      </c>
      <c r="I1188" s="35">
        <f>IF(OR(G1188="",G1188="NOT ON LIST"),"",VLOOKUP(G1188,Students!$A:$C,3,FALSE)&amp;"")</f>
        <v/>
      </c>
    </row>
    <row r="1189">
      <c r="A1189" s="31" t="n">
        <v>46328.54166666666</v>
      </c>
      <c r="B1189" s="32" t="inlineStr">
        <is>
          <t>Clara Garcia</t>
        </is>
      </c>
      <c r="C1189" s="32" t="inlineStr">
        <is>
          <t>Samuel Garcia</t>
        </is>
      </c>
      <c r="D1189" s="33" t="n">
        <v>150</v>
      </c>
      <c r="E1189" s="32" t="inlineStr">
        <is>
          <t>OneCause</t>
        </is>
      </c>
      <c r="F1189" s="34">
        <f>IF(A1189="","",IFERROR(INT(A1189),"check date"))</f>
        <v/>
      </c>
      <c r="G1189" s="35">
        <f>IF(B1189="","",IFERROR(INDEX(Students!$A:$A,MATCH(TRIM(B1189),Students!$A:$A,0)),"NOT ON LIST"))</f>
        <v/>
      </c>
      <c r="H1189" s="35">
        <f>IF(OR(G1189="",G1189="NOT ON LIST"),"",VLOOKUP(G1189,Students!$A:$C,2,FALSE))</f>
        <v/>
      </c>
      <c r="I1189" s="35">
        <f>IF(OR(G1189="",G1189="NOT ON LIST"),"",VLOOKUP(G1189,Students!$A:$C,3,FALSE)&amp;"")</f>
        <v/>
      </c>
    </row>
    <row r="1190">
      <c r="A1190" s="31" t="n">
        <v>46328.75</v>
      </c>
      <c r="B1190" s="32" t="inlineStr">
        <is>
          <t>Benjamin Nguyen</t>
        </is>
      </c>
      <c r="C1190" s="32" t="inlineStr">
        <is>
          <t>Joseph Nguyen</t>
        </is>
      </c>
      <c r="D1190" s="33" t="n">
        <v>25</v>
      </c>
      <c r="E1190" s="32" t="inlineStr">
        <is>
          <t>OneCause</t>
        </is>
      </c>
      <c r="F1190" s="34">
        <f>IF(A1190="","",IFERROR(INT(A1190),"check date"))</f>
        <v/>
      </c>
      <c r="G1190" s="35">
        <f>IF(B1190="","",IFERROR(INDEX(Students!$A:$A,MATCH(TRIM(B1190),Students!$A:$A,0)),"NOT ON LIST"))</f>
        <v/>
      </c>
      <c r="H1190" s="35">
        <f>IF(OR(G1190="",G1190="NOT ON LIST"),"",VLOOKUP(G1190,Students!$A:$C,2,FALSE))</f>
        <v/>
      </c>
      <c r="I1190" s="35">
        <f>IF(OR(G1190="",G1190="NOT ON LIST"),"",VLOOKUP(G1190,Students!$A:$C,3,FALSE)&amp;"")</f>
        <v/>
      </c>
    </row>
    <row r="1191">
      <c r="A1191" s="31" t="n">
        <v>46335.57291666666</v>
      </c>
      <c r="B1191" s="32" t="inlineStr">
        <is>
          <t>Adrian Diaz</t>
        </is>
      </c>
      <c r="C1191" s="32" t="inlineStr">
        <is>
          <t>Leo Diaz</t>
        </is>
      </c>
      <c r="D1191" s="33" t="n">
        <v>25</v>
      </c>
      <c r="E1191" s="32" t="inlineStr">
        <is>
          <t>OneCause</t>
        </is>
      </c>
      <c r="F1191" s="34">
        <f>IF(A1191="","",IFERROR(INT(A1191),"check date"))</f>
        <v/>
      </c>
      <c r="G1191" s="35">
        <f>IF(B1191="","",IFERROR(INDEX(Students!$A:$A,MATCH(TRIM(B1191),Students!$A:$A,0)),"NOT ON LIST"))</f>
        <v/>
      </c>
      <c r="H1191" s="35">
        <f>IF(OR(G1191="",G1191="NOT ON LIST"),"",VLOOKUP(G1191,Students!$A:$C,2,FALSE))</f>
        <v/>
      </c>
      <c r="I1191" s="35">
        <f>IF(OR(G1191="",G1191="NOT ON LIST"),"",VLOOKUP(G1191,Students!$A:$C,3,FALSE)&amp;"")</f>
        <v/>
      </c>
    </row>
    <row r="1192">
      <c r="A1192" s="31" t="n">
        <v>46325.63541666666</v>
      </c>
      <c r="B1192" s="32" t="inlineStr">
        <is>
          <t>Mia Garcia</t>
        </is>
      </c>
      <c r="C1192" s="32" t="inlineStr">
        <is>
          <t>Adrian Garcia</t>
        </is>
      </c>
      <c r="D1192" s="33" t="n">
        <v>50</v>
      </c>
      <c r="E1192" s="32" t="inlineStr">
        <is>
          <t>OneCause</t>
        </is>
      </c>
      <c r="F1192" s="34">
        <f>IF(A1192="","",IFERROR(INT(A1192),"check date"))</f>
        <v/>
      </c>
      <c r="G1192" s="35">
        <f>IF(B1192="","",IFERROR(INDEX(Students!$A:$A,MATCH(TRIM(B1192),Students!$A:$A,0)),"NOT ON LIST"))</f>
        <v/>
      </c>
      <c r="H1192" s="35">
        <f>IF(OR(G1192="",G1192="NOT ON LIST"),"",VLOOKUP(G1192,Students!$A:$C,2,FALSE))</f>
        <v/>
      </c>
      <c r="I1192" s="35">
        <f>IF(OR(G1192="",G1192="NOT ON LIST"),"",VLOOKUP(G1192,Students!$A:$C,3,FALSE)&amp;"")</f>
        <v/>
      </c>
    </row>
    <row r="1193">
      <c r="A1193" s="31" t="n">
        <v>46329.40625</v>
      </c>
      <c r="B1193" s="32" t="inlineStr">
        <is>
          <t>Harper Diaz</t>
        </is>
      </c>
      <c r="C1193" s="32" t="inlineStr">
        <is>
          <t>Diego Diaz</t>
        </is>
      </c>
      <c r="D1193" s="33" t="n">
        <v>20</v>
      </c>
      <c r="E1193" s="32" t="inlineStr">
        <is>
          <t>OneCause</t>
        </is>
      </c>
      <c r="F1193" s="34">
        <f>IF(A1193="","",IFERROR(INT(A1193),"check date"))</f>
        <v/>
      </c>
      <c r="G1193" s="35">
        <f>IF(B1193="","",IFERROR(INDEX(Students!$A:$A,MATCH(TRIM(B1193),Students!$A:$A,0)),"NOT ON LIST"))</f>
        <v/>
      </c>
      <c r="H1193" s="35">
        <f>IF(OR(G1193="",G1193="NOT ON LIST"),"",VLOOKUP(G1193,Students!$A:$C,2,FALSE))</f>
        <v/>
      </c>
      <c r="I1193" s="35">
        <f>IF(OR(G1193="",G1193="NOT ON LIST"),"",VLOOKUP(G1193,Students!$A:$C,3,FALSE)&amp;"")</f>
        <v/>
      </c>
    </row>
    <row r="1194">
      <c r="A1194" s="31" t="n">
        <v>46338.375</v>
      </c>
      <c r="B1194" s="32" t="inlineStr">
        <is>
          <t>Isaac Rodriguez</t>
        </is>
      </c>
      <c r="C1194" s="32" t="inlineStr">
        <is>
          <t>Isaac Rodriguez</t>
        </is>
      </c>
      <c r="D1194" s="33" t="n">
        <v>75</v>
      </c>
      <c r="E1194" s="32" t="inlineStr">
        <is>
          <t>OneCause</t>
        </is>
      </c>
      <c r="F1194" s="34">
        <f>IF(A1194="","",IFERROR(INT(A1194),"check date"))</f>
        <v/>
      </c>
      <c r="G1194" s="35">
        <f>IF(B1194="","",IFERROR(INDEX(Students!$A:$A,MATCH(TRIM(B1194),Students!$A:$A,0)),"NOT ON LIST"))</f>
        <v/>
      </c>
      <c r="H1194" s="35">
        <f>IF(OR(G1194="",G1194="NOT ON LIST"),"",VLOOKUP(G1194,Students!$A:$C,2,FALSE))</f>
        <v/>
      </c>
      <c r="I1194" s="35">
        <f>IF(OR(G1194="",G1194="NOT ON LIST"),"",VLOOKUP(G1194,Students!$A:$C,3,FALSE)&amp;"")</f>
        <v/>
      </c>
    </row>
    <row r="1195">
      <c r="A1195" s="31" t="n">
        <v>46336.875</v>
      </c>
      <c r="B1195" s="32" t="inlineStr">
        <is>
          <t>Elijah O'Brien</t>
        </is>
      </c>
      <c r="C1195" s="32" t="inlineStr">
        <is>
          <t>Henry O'Brien</t>
        </is>
      </c>
      <c r="D1195" s="33" t="n">
        <v>20</v>
      </c>
      <c r="E1195" s="32" t="inlineStr">
        <is>
          <t>OneCause</t>
        </is>
      </c>
      <c r="F1195" s="34">
        <f>IF(A1195="","",IFERROR(INT(A1195),"check date"))</f>
        <v/>
      </c>
      <c r="G1195" s="35">
        <f>IF(B1195="","",IFERROR(INDEX(Students!$A:$A,MATCH(TRIM(B1195),Students!$A:$A,0)),"NOT ON LIST"))</f>
        <v/>
      </c>
      <c r="H1195" s="35">
        <f>IF(OR(G1195="",G1195="NOT ON LIST"),"",VLOOKUP(G1195,Students!$A:$C,2,FALSE))</f>
        <v/>
      </c>
      <c r="I1195" s="35">
        <f>IF(OR(G1195="",G1195="NOT ON LIST"),"",VLOOKUP(G1195,Students!$A:$C,3,FALSE)&amp;"")</f>
        <v/>
      </c>
    </row>
    <row r="1196">
      <c r="A1196" s="31" t="n">
        <v>46338.59375</v>
      </c>
      <c r="B1196" s="32" t="inlineStr">
        <is>
          <t>Camila Johnson</t>
        </is>
      </c>
      <c r="C1196" s="32" t="inlineStr">
        <is>
          <t>Evelyn Johnson</t>
        </is>
      </c>
      <c r="D1196" s="33" t="n">
        <v>20</v>
      </c>
      <c r="E1196" s="32" t="inlineStr">
        <is>
          <t>OneCause</t>
        </is>
      </c>
      <c r="F1196" s="34">
        <f>IF(A1196="","",IFERROR(INT(A1196),"check date"))</f>
        <v/>
      </c>
      <c r="G1196" s="35">
        <f>IF(B1196="","",IFERROR(INDEX(Students!$A:$A,MATCH(TRIM(B1196),Students!$A:$A,0)),"NOT ON LIST"))</f>
        <v/>
      </c>
      <c r="H1196" s="35">
        <f>IF(OR(G1196="",G1196="NOT ON LIST"),"",VLOOKUP(G1196,Students!$A:$C,2,FALSE))</f>
        <v/>
      </c>
      <c r="I1196" s="35">
        <f>IF(OR(G1196="",G1196="NOT ON LIST"),"",VLOOKUP(G1196,Students!$A:$C,3,FALSE)&amp;"")</f>
        <v/>
      </c>
    </row>
    <row r="1197">
      <c r="A1197" s="31" t="n">
        <v>46327.42708333334</v>
      </c>
      <c r="B1197" s="32" t="inlineStr">
        <is>
          <t>Mia Kim</t>
        </is>
      </c>
      <c r="C1197" s="32" t="inlineStr">
        <is>
          <t>David Kim</t>
        </is>
      </c>
      <c r="D1197" s="33" t="n">
        <v>10</v>
      </c>
      <c r="E1197" s="32" t="inlineStr">
        <is>
          <t>OneCause</t>
        </is>
      </c>
      <c r="F1197" s="34">
        <f>IF(A1197="","",IFERROR(INT(A1197),"check date"))</f>
        <v/>
      </c>
      <c r="G1197" s="35">
        <f>IF(B1197="","",IFERROR(INDEX(Students!$A:$A,MATCH(TRIM(B1197),Students!$A:$A,0)),"NOT ON LIST"))</f>
        <v/>
      </c>
      <c r="H1197" s="35">
        <f>IF(OR(G1197="",G1197="NOT ON LIST"),"",VLOOKUP(G1197,Students!$A:$C,2,FALSE))</f>
        <v/>
      </c>
      <c r="I1197" s="35">
        <f>IF(OR(G1197="",G1197="NOT ON LIST"),"",VLOOKUP(G1197,Students!$A:$C,3,FALSE)&amp;"")</f>
        <v/>
      </c>
    </row>
    <row r="1198">
      <c r="A1198" s="31" t="n">
        <v>46339.46875</v>
      </c>
      <c r="B1198" s="32" t="inlineStr">
        <is>
          <t>Lily Garcia</t>
        </is>
      </c>
      <c r="C1198" s="32" t="inlineStr">
        <is>
          <t>Diego Garcia</t>
        </is>
      </c>
      <c r="D1198" s="33" t="n">
        <v>50</v>
      </c>
      <c r="E1198" s="32" t="inlineStr">
        <is>
          <t>OneCause</t>
        </is>
      </c>
      <c r="F1198" s="34">
        <f>IF(A1198="","",IFERROR(INT(A1198),"check date"))</f>
        <v/>
      </c>
      <c r="G1198" s="35">
        <f>IF(B1198="","",IFERROR(INDEX(Students!$A:$A,MATCH(TRIM(B1198),Students!$A:$A,0)),"NOT ON LIST"))</f>
        <v/>
      </c>
      <c r="H1198" s="35">
        <f>IF(OR(G1198="",G1198="NOT ON LIST"),"",VLOOKUP(G1198,Students!$A:$C,2,FALSE))</f>
        <v/>
      </c>
      <c r="I1198" s="35">
        <f>IF(OR(G1198="",G1198="NOT ON LIST"),"",VLOOKUP(G1198,Students!$A:$C,3,FALSE)&amp;"")</f>
        <v/>
      </c>
    </row>
    <row r="1199">
      <c r="A1199" s="31" t="n">
        <v>46339.80208333334</v>
      </c>
      <c r="B1199" s="32" t="inlineStr">
        <is>
          <t>Julian Lopez</t>
        </is>
      </c>
      <c r="C1199" s="32" t="inlineStr">
        <is>
          <t>Isaac Lopez</t>
        </is>
      </c>
      <c r="D1199" s="33" t="n">
        <v>100</v>
      </c>
      <c r="E1199" s="32" t="inlineStr">
        <is>
          <t>OneCause</t>
        </is>
      </c>
      <c r="F1199" s="34">
        <f>IF(A1199="","",IFERROR(INT(A1199),"check date"))</f>
        <v/>
      </c>
      <c r="G1199" s="35">
        <f>IF(B1199="","",IFERROR(INDEX(Students!$A:$A,MATCH(TRIM(B1199),Students!$A:$A,0)),"NOT ON LIST"))</f>
        <v/>
      </c>
      <c r="H1199" s="35">
        <f>IF(OR(G1199="",G1199="NOT ON LIST"),"",VLOOKUP(G1199,Students!$A:$C,2,FALSE))</f>
        <v/>
      </c>
      <c r="I1199" s="35">
        <f>IF(OR(G1199="",G1199="NOT ON LIST"),"",VLOOKUP(G1199,Students!$A:$C,3,FALSE)&amp;"")</f>
        <v/>
      </c>
    </row>
    <row r="1200">
      <c r="A1200" s="31" t="n">
        <v>46332.58333333334</v>
      </c>
      <c r="B1200" s="32" t="inlineStr">
        <is>
          <t>Joseph O'Brien</t>
        </is>
      </c>
      <c r="C1200" s="32" t="inlineStr">
        <is>
          <t>Isabella O'Brien</t>
        </is>
      </c>
      <c r="D1200" s="33" t="n">
        <v>150</v>
      </c>
      <c r="E1200" s="32" t="inlineStr">
        <is>
          <t>OneCause</t>
        </is>
      </c>
      <c r="F1200" s="34">
        <f>IF(A1200="","",IFERROR(INT(A1200),"check date"))</f>
        <v/>
      </c>
      <c r="G1200" s="35">
        <f>IF(B1200="","",IFERROR(INDEX(Students!$A:$A,MATCH(TRIM(B1200),Students!$A:$A,0)),"NOT ON LIST"))</f>
        <v/>
      </c>
      <c r="H1200" s="35">
        <f>IF(OR(G1200="",G1200="NOT ON LIST"),"",VLOOKUP(G1200,Students!$A:$C,2,FALSE))</f>
        <v/>
      </c>
      <c r="I1200" s="35">
        <f>IF(OR(G1200="",G1200="NOT ON LIST"),"",VLOOKUP(G1200,Students!$A:$C,3,FALSE)&amp;"")</f>
        <v/>
      </c>
    </row>
    <row r="1201">
      <c r="A1201" s="31" t="n">
        <v>46335.85416666666</v>
      </c>
      <c r="B1201" s="32" t="inlineStr">
        <is>
          <t>Chloe Torres</t>
        </is>
      </c>
      <c r="C1201" s="32" t="inlineStr">
        <is>
          <t>Nora Torres</t>
        </is>
      </c>
      <c r="D1201" s="33" t="n">
        <v>25</v>
      </c>
      <c r="E1201" s="32" t="inlineStr">
        <is>
          <t>OneCause</t>
        </is>
      </c>
      <c r="F1201" s="34">
        <f>IF(A1201="","",IFERROR(INT(A1201),"check date"))</f>
        <v/>
      </c>
      <c r="G1201" s="35">
        <f>IF(B1201="","",IFERROR(INDEX(Students!$A:$A,MATCH(TRIM(B1201),Students!$A:$A,0)),"NOT ON LIST"))</f>
        <v/>
      </c>
      <c r="H1201" s="35">
        <f>IF(OR(G1201="",G1201="NOT ON LIST"),"",VLOOKUP(G1201,Students!$A:$C,2,FALSE))</f>
        <v/>
      </c>
      <c r="I1201" s="35">
        <f>IF(OR(G1201="",G1201="NOT ON LIST"),"",VLOOKUP(G1201,Students!$A:$C,3,FALSE)&amp;"")</f>
        <v/>
      </c>
    </row>
    <row r="1202">
      <c r="A1202" s="31" t="n">
        <v>46331.51041666666</v>
      </c>
      <c r="B1202" s="32" t="inlineStr">
        <is>
          <t>Liam O'Brien</t>
        </is>
      </c>
      <c r="C1202" s="32" t="inlineStr">
        <is>
          <t>Daniel O'Brien</t>
        </is>
      </c>
      <c r="D1202" s="33" t="n">
        <v>100</v>
      </c>
      <c r="E1202" s="32" t="inlineStr">
        <is>
          <t>OneCause</t>
        </is>
      </c>
      <c r="F1202" s="34">
        <f>IF(A1202="","",IFERROR(INT(A1202),"check date"))</f>
        <v/>
      </c>
      <c r="G1202" s="35">
        <f>IF(B1202="","",IFERROR(INDEX(Students!$A:$A,MATCH(TRIM(B1202),Students!$A:$A,0)),"NOT ON LIST"))</f>
        <v/>
      </c>
      <c r="H1202" s="35">
        <f>IF(OR(G1202="",G1202="NOT ON LIST"),"",VLOOKUP(G1202,Students!$A:$C,2,FALSE))</f>
        <v/>
      </c>
      <c r="I1202" s="35">
        <f>IF(OR(G1202="",G1202="NOT ON LIST"),"",VLOOKUP(G1202,Students!$A:$C,3,FALSE)&amp;"")</f>
        <v/>
      </c>
    </row>
    <row r="1203">
      <c r="A1203" s="31" t="n">
        <v>46336.58333333334</v>
      </c>
      <c r="B1203" s="32" t="inlineStr">
        <is>
          <t>Olivia Gutierrez</t>
        </is>
      </c>
      <c r="C1203" s="32" t="inlineStr">
        <is>
          <t>Nora Gutierrez</t>
        </is>
      </c>
      <c r="D1203" s="33" t="n">
        <v>10</v>
      </c>
      <c r="E1203" s="32" t="inlineStr">
        <is>
          <t>OneCause</t>
        </is>
      </c>
      <c r="F1203" s="34">
        <f>IF(A1203="","",IFERROR(INT(A1203),"check date"))</f>
        <v/>
      </c>
      <c r="G1203" s="35">
        <f>IF(B1203="","",IFERROR(INDEX(Students!$A:$A,MATCH(TRIM(B1203),Students!$A:$A,0)),"NOT ON LIST"))</f>
        <v/>
      </c>
      <c r="H1203" s="35">
        <f>IF(OR(G1203="",G1203="NOT ON LIST"),"",VLOOKUP(G1203,Students!$A:$C,2,FALSE))</f>
        <v/>
      </c>
      <c r="I1203" s="35">
        <f>IF(OR(G1203="",G1203="NOT ON LIST"),"",VLOOKUP(G1203,Students!$A:$C,3,FALSE)&amp;"")</f>
        <v/>
      </c>
    </row>
    <row r="1204">
      <c r="A1204" s="31" t="n">
        <v>46336.58333333334</v>
      </c>
      <c r="B1204" s="32" t="inlineStr">
        <is>
          <t>Samuel Mendoza</t>
        </is>
      </c>
      <c r="C1204" s="32" t="inlineStr">
        <is>
          <t>Thomas Mendoza</t>
        </is>
      </c>
      <c r="D1204" s="33" t="n">
        <v>20</v>
      </c>
      <c r="E1204" s="32" t="inlineStr">
        <is>
          <t>OneCause</t>
        </is>
      </c>
      <c r="F1204" s="34">
        <f>IF(A1204="","",IFERROR(INT(A1204),"check date"))</f>
        <v/>
      </c>
      <c r="G1204" s="35">
        <f>IF(B1204="","",IFERROR(INDEX(Students!$A:$A,MATCH(TRIM(B1204),Students!$A:$A,0)),"NOT ON LIST"))</f>
        <v/>
      </c>
      <c r="H1204" s="35">
        <f>IF(OR(G1204="",G1204="NOT ON LIST"),"",VLOOKUP(G1204,Students!$A:$C,2,FALSE))</f>
        <v/>
      </c>
      <c r="I1204" s="35">
        <f>IF(OR(G1204="",G1204="NOT ON LIST"),"",VLOOKUP(G1204,Students!$A:$C,3,FALSE)&amp;"")</f>
        <v/>
      </c>
    </row>
    <row r="1205">
      <c r="A1205" s="31" t="n">
        <v>46328.64583333334</v>
      </c>
      <c r="B1205" s="32" t="inlineStr">
        <is>
          <t>Thomas Ortiz</t>
        </is>
      </c>
      <c r="C1205" s="32" t="inlineStr">
        <is>
          <t>David Ortiz</t>
        </is>
      </c>
      <c r="D1205" s="33" t="n">
        <v>50</v>
      </c>
      <c r="E1205" s="32" t="inlineStr">
        <is>
          <t>OneCause</t>
        </is>
      </c>
      <c r="F1205" s="34">
        <f>IF(A1205="","",IFERROR(INT(A1205),"check date"))</f>
        <v/>
      </c>
      <c r="G1205" s="35">
        <f>IF(B1205="","",IFERROR(INDEX(Students!$A:$A,MATCH(TRIM(B1205),Students!$A:$A,0)),"NOT ON LIST"))</f>
        <v/>
      </c>
      <c r="H1205" s="35">
        <f>IF(OR(G1205="",G1205="NOT ON LIST"),"",VLOOKUP(G1205,Students!$A:$C,2,FALSE))</f>
        <v/>
      </c>
      <c r="I1205" s="35">
        <f>IF(OR(G1205="",G1205="NOT ON LIST"),"",VLOOKUP(G1205,Students!$A:$C,3,FALSE)&amp;"")</f>
        <v/>
      </c>
    </row>
    <row r="1206">
      <c r="A1206" s="31" t="n">
        <v>46339</v>
      </c>
      <c r="B1206" s="32" t="inlineStr">
        <is>
          <t>Santiago Williams</t>
        </is>
      </c>
      <c r="C1206" s="32" t="inlineStr">
        <is>
          <t>Elijah Williams</t>
        </is>
      </c>
      <c r="D1206" s="33" t="n">
        <v>150</v>
      </c>
      <c r="E1206" s="32" t="inlineStr">
        <is>
          <t>Cash</t>
        </is>
      </c>
      <c r="F1206" s="34">
        <f>IF(A1206="","",IFERROR(INT(A1206),"check date"))</f>
        <v/>
      </c>
      <c r="G1206" s="35">
        <f>IF(B1206="","",IFERROR(INDEX(Students!$A:$A,MATCH(TRIM(B1206),Students!$A:$A,0)),"NOT ON LIST"))</f>
        <v/>
      </c>
      <c r="H1206" s="35">
        <f>IF(OR(G1206="",G1206="NOT ON LIST"),"",VLOOKUP(G1206,Students!$A:$C,2,FALSE))</f>
        <v/>
      </c>
      <c r="I1206" s="35">
        <f>IF(OR(G1206="",G1206="NOT ON LIST"),"",VLOOKUP(G1206,Students!$A:$C,3,FALSE)&amp;"")</f>
        <v/>
      </c>
    </row>
    <row r="1207">
      <c r="A1207" s="31" t="n">
        <v>46332.65625</v>
      </c>
      <c r="B1207" s="32" t="inlineStr">
        <is>
          <t>Thomas Gutierrez</t>
        </is>
      </c>
      <c r="C1207" s="32" t="inlineStr">
        <is>
          <t>Olivia Gutierrez</t>
        </is>
      </c>
      <c r="D1207" s="33" t="n">
        <v>100</v>
      </c>
      <c r="E1207" s="32" t="inlineStr">
        <is>
          <t>OneCause</t>
        </is>
      </c>
      <c r="F1207" s="34">
        <f>IF(A1207="","",IFERROR(INT(A1207),"check date"))</f>
        <v/>
      </c>
      <c r="G1207" s="35">
        <f>IF(B1207="","",IFERROR(INDEX(Students!$A:$A,MATCH(TRIM(B1207),Students!$A:$A,0)),"NOT ON LIST"))</f>
        <v/>
      </c>
      <c r="H1207" s="35">
        <f>IF(OR(G1207="",G1207="NOT ON LIST"),"",VLOOKUP(G1207,Students!$A:$C,2,FALSE))</f>
        <v/>
      </c>
      <c r="I1207" s="35">
        <f>IF(OR(G1207="",G1207="NOT ON LIST"),"",VLOOKUP(G1207,Students!$A:$C,3,FALSE)&amp;"")</f>
        <v/>
      </c>
    </row>
    <row r="1208">
      <c r="A1208" s="31" t="n">
        <v>46326.54166666666</v>
      </c>
      <c r="B1208" s="32" t="inlineStr">
        <is>
          <t>Lily Garcia</t>
        </is>
      </c>
      <c r="C1208" s="32" t="inlineStr">
        <is>
          <t>Noah Garcia</t>
        </is>
      </c>
      <c r="D1208" s="33" t="n">
        <v>20</v>
      </c>
      <c r="E1208" s="32" t="inlineStr">
        <is>
          <t>OneCause</t>
        </is>
      </c>
      <c r="F1208" s="34">
        <f>IF(A1208="","",IFERROR(INT(A1208),"check date"))</f>
        <v/>
      </c>
      <c r="G1208" s="35">
        <f>IF(B1208="","",IFERROR(INDEX(Students!$A:$A,MATCH(TRIM(B1208),Students!$A:$A,0)),"NOT ON LIST"))</f>
        <v/>
      </c>
      <c r="H1208" s="35">
        <f>IF(OR(G1208="",G1208="NOT ON LIST"),"",VLOOKUP(G1208,Students!$A:$C,2,FALSE))</f>
        <v/>
      </c>
      <c r="I1208" s="35">
        <f>IF(OR(G1208="",G1208="NOT ON LIST"),"",VLOOKUP(G1208,Students!$A:$C,3,FALSE)&amp;"")</f>
        <v/>
      </c>
    </row>
    <row r="1209">
      <c r="A1209" s="31" t="n">
        <v>46337.85416666666</v>
      </c>
      <c r="B1209" s="32" t="inlineStr">
        <is>
          <t>Gabriel Murphy</t>
        </is>
      </c>
      <c r="C1209" s="32" t="inlineStr">
        <is>
          <t>Amelia Murphy</t>
        </is>
      </c>
      <c r="D1209" s="33" t="n">
        <v>40</v>
      </c>
      <c r="E1209" s="32" t="inlineStr">
        <is>
          <t>OneCause</t>
        </is>
      </c>
      <c r="F1209" s="34">
        <f>IF(A1209="","",IFERROR(INT(A1209),"check date"))</f>
        <v/>
      </c>
      <c r="G1209" s="35">
        <f>IF(B1209="","",IFERROR(INDEX(Students!$A:$A,MATCH(TRIM(B1209),Students!$A:$A,0)),"NOT ON LIST"))</f>
        <v/>
      </c>
      <c r="H1209" s="35">
        <f>IF(OR(G1209="",G1209="NOT ON LIST"),"",VLOOKUP(G1209,Students!$A:$C,2,FALSE))</f>
        <v/>
      </c>
      <c r="I1209" s="35">
        <f>IF(OR(G1209="",G1209="NOT ON LIST"),"",VLOOKUP(G1209,Students!$A:$C,3,FALSE)&amp;"")</f>
        <v/>
      </c>
    </row>
    <row r="1210">
      <c r="A1210" s="31" t="n">
        <v>46335</v>
      </c>
      <c r="B1210" s="32" t="inlineStr">
        <is>
          <t>Elena Alvarez</t>
        </is>
      </c>
      <c r="C1210" s="32" t="inlineStr">
        <is>
          <t>Adrian Alvarez</t>
        </is>
      </c>
      <c r="D1210" s="33" t="n">
        <v>50</v>
      </c>
      <c r="E1210" s="32" t="inlineStr">
        <is>
          <t>Cash</t>
        </is>
      </c>
      <c r="F1210" s="34">
        <f>IF(A1210="","",IFERROR(INT(A1210),"check date"))</f>
        <v/>
      </c>
      <c r="G1210" s="35">
        <f>IF(B1210="","",IFERROR(INDEX(Students!$A:$A,MATCH(TRIM(B1210),Students!$A:$A,0)),"NOT ON LIST"))</f>
        <v/>
      </c>
      <c r="H1210" s="35">
        <f>IF(OR(G1210="",G1210="NOT ON LIST"),"",VLOOKUP(G1210,Students!$A:$C,2,FALSE))</f>
        <v/>
      </c>
      <c r="I1210" s="35">
        <f>IF(OR(G1210="",G1210="NOT ON LIST"),"",VLOOKUP(G1210,Students!$A:$C,3,FALSE)&amp;"")</f>
        <v/>
      </c>
    </row>
    <row r="1211">
      <c r="A1211" s="31" t="n">
        <v>46330.55208333334</v>
      </c>
      <c r="B1211" s="32" t="inlineStr">
        <is>
          <t>Lucas Garcia</t>
        </is>
      </c>
      <c r="C1211" s="32" t="inlineStr">
        <is>
          <t>Maya Garcia</t>
        </is>
      </c>
      <c r="D1211" s="33" t="n">
        <v>10</v>
      </c>
      <c r="E1211" s="32" t="inlineStr">
        <is>
          <t>OneCause</t>
        </is>
      </c>
      <c r="F1211" s="34">
        <f>IF(A1211="","",IFERROR(INT(A1211),"check date"))</f>
        <v/>
      </c>
      <c r="G1211" s="35">
        <f>IF(B1211="","",IFERROR(INDEX(Students!$A:$A,MATCH(TRIM(B1211),Students!$A:$A,0)),"NOT ON LIST"))</f>
        <v/>
      </c>
      <c r="H1211" s="35">
        <f>IF(OR(G1211="",G1211="NOT ON LIST"),"",VLOOKUP(G1211,Students!$A:$C,2,FALSE))</f>
        <v/>
      </c>
      <c r="I1211" s="35">
        <f>IF(OR(G1211="",G1211="NOT ON LIST"),"",VLOOKUP(G1211,Students!$A:$C,3,FALSE)&amp;"")</f>
        <v/>
      </c>
    </row>
    <row r="1212">
      <c r="A1212" s="31" t="n">
        <v>46335</v>
      </c>
      <c r="B1212" s="32" t="inlineStr">
        <is>
          <t>Noah Castillo</t>
        </is>
      </c>
      <c r="C1212" s="32" t="inlineStr">
        <is>
          <t>Luna Castillo</t>
        </is>
      </c>
      <c r="D1212" s="33" t="n">
        <v>150</v>
      </c>
      <c r="E1212" s="32" t="inlineStr">
        <is>
          <t>Cash</t>
        </is>
      </c>
      <c r="F1212" s="34">
        <f>IF(A1212="","",IFERROR(INT(A1212),"check date"))</f>
        <v/>
      </c>
      <c r="G1212" s="35">
        <f>IF(B1212="","",IFERROR(INDEX(Students!$A:$A,MATCH(TRIM(B1212),Students!$A:$A,0)),"NOT ON LIST"))</f>
        <v/>
      </c>
      <c r="H1212" s="35">
        <f>IF(OR(G1212="",G1212="NOT ON LIST"),"",VLOOKUP(G1212,Students!$A:$C,2,FALSE))</f>
        <v/>
      </c>
      <c r="I1212" s="35">
        <f>IF(OR(G1212="",G1212="NOT ON LIST"),"",VLOOKUP(G1212,Students!$A:$C,3,FALSE)&amp;"")</f>
        <v/>
      </c>
    </row>
    <row r="1213">
      <c r="A1213" s="31" t="n">
        <v>46336.64583333334</v>
      </c>
      <c r="B1213" s="32" t="inlineStr">
        <is>
          <t>Grace Gomez</t>
        </is>
      </c>
      <c r="C1213" s="32" t="inlineStr">
        <is>
          <t>Adrian Gomez</t>
        </is>
      </c>
      <c r="D1213" s="33" t="n">
        <v>25</v>
      </c>
      <c r="E1213" s="32" t="inlineStr">
        <is>
          <t>OneCause</t>
        </is>
      </c>
      <c r="F1213" s="34">
        <f>IF(A1213="","",IFERROR(INT(A1213),"check date"))</f>
        <v/>
      </c>
      <c r="G1213" s="35">
        <f>IF(B1213="","",IFERROR(INDEX(Students!$A:$A,MATCH(TRIM(B1213),Students!$A:$A,0)),"NOT ON LIST"))</f>
        <v/>
      </c>
      <c r="H1213" s="35">
        <f>IF(OR(G1213="",G1213="NOT ON LIST"),"",VLOOKUP(G1213,Students!$A:$C,2,FALSE))</f>
        <v/>
      </c>
      <c r="I1213" s="35">
        <f>IF(OR(G1213="",G1213="NOT ON LIST"),"",VLOOKUP(G1213,Students!$A:$C,3,FALSE)&amp;"")</f>
        <v/>
      </c>
    </row>
    <row r="1214">
      <c r="A1214" s="31" t="n">
        <v>46336.4375</v>
      </c>
      <c r="B1214" s="32" t="inlineStr">
        <is>
          <t>Clara Garcia</t>
        </is>
      </c>
      <c r="C1214" s="32" t="inlineStr">
        <is>
          <t>Emma Garcia</t>
        </is>
      </c>
      <c r="D1214" s="33" t="n">
        <v>75</v>
      </c>
      <c r="E1214" s="32" t="inlineStr">
        <is>
          <t>OneCause</t>
        </is>
      </c>
      <c r="F1214" s="34">
        <f>IF(A1214="","",IFERROR(INT(A1214),"check date"))</f>
        <v/>
      </c>
      <c r="G1214" s="35">
        <f>IF(B1214="","",IFERROR(INDEX(Students!$A:$A,MATCH(TRIM(B1214),Students!$A:$A,0)),"NOT ON LIST"))</f>
        <v/>
      </c>
      <c r="H1214" s="35">
        <f>IF(OR(G1214="",G1214="NOT ON LIST"),"",VLOOKUP(G1214,Students!$A:$C,2,FALSE))</f>
        <v/>
      </c>
      <c r="I1214" s="35">
        <f>IF(OR(G1214="",G1214="NOT ON LIST"),"",VLOOKUP(G1214,Students!$A:$C,3,FALSE)&amp;"")</f>
        <v/>
      </c>
    </row>
    <row r="1215">
      <c r="A1215" s="31" t="n">
        <v>46333.78125</v>
      </c>
      <c r="B1215" s="32" t="inlineStr">
        <is>
          <t>Valentina Hernandez</t>
        </is>
      </c>
      <c r="C1215" s="32" t="inlineStr">
        <is>
          <t>Valentina Hernandez</t>
        </is>
      </c>
      <c r="D1215" s="33" t="n">
        <v>50</v>
      </c>
      <c r="E1215" s="32" t="inlineStr">
        <is>
          <t>OneCause</t>
        </is>
      </c>
      <c r="F1215" s="34">
        <f>IF(A1215="","",IFERROR(INT(A1215),"check date"))</f>
        <v/>
      </c>
      <c r="G1215" s="35">
        <f>IF(B1215="","",IFERROR(INDEX(Students!$A:$A,MATCH(TRIM(B1215),Students!$A:$A,0)),"NOT ON LIST"))</f>
        <v/>
      </c>
      <c r="H1215" s="35">
        <f>IF(OR(G1215="",G1215="NOT ON LIST"),"",VLOOKUP(G1215,Students!$A:$C,2,FALSE))</f>
        <v/>
      </c>
      <c r="I1215" s="35">
        <f>IF(OR(G1215="",G1215="NOT ON LIST"),"",VLOOKUP(G1215,Students!$A:$C,3,FALSE)&amp;"")</f>
        <v/>
      </c>
    </row>
    <row r="1216">
      <c r="A1216" s="31" t="n">
        <v>46331.44791666666</v>
      </c>
      <c r="B1216" s="32" t="inlineStr">
        <is>
          <t>Julian Lopez</t>
        </is>
      </c>
      <c r="C1216" s="32" t="inlineStr">
        <is>
          <t>Harper Lopez</t>
        </is>
      </c>
      <c r="D1216" s="33" t="n">
        <v>150</v>
      </c>
      <c r="E1216" s="32" t="inlineStr">
        <is>
          <t>OneCause</t>
        </is>
      </c>
      <c r="F1216" s="34">
        <f>IF(A1216="","",IFERROR(INT(A1216),"check date"))</f>
        <v/>
      </c>
      <c r="G1216" s="35">
        <f>IF(B1216="","",IFERROR(INDEX(Students!$A:$A,MATCH(TRIM(B1216),Students!$A:$A,0)),"NOT ON LIST"))</f>
        <v/>
      </c>
      <c r="H1216" s="35">
        <f>IF(OR(G1216="",G1216="NOT ON LIST"),"",VLOOKUP(G1216,Students!$A:$C,2,FALSE))</f>
        <v/>
      </c>
      <c r="I1216" s="35">
        <f>IF(OR(G1216="",G1216="NOT ON LIST"),"",VLOOKUP(G1216,Students!$A:$C,3,FALSE)&amp;"")</f>
        <v/>
      </c>
    </row>
    <row r="1217">
      <c r="A1217" s="31" t="n">
        <v>46336.40625</v>
      </c>
      <c r="B1217" s="32" t="inlineStr">
        <is>
          <t>David Cruz</t>
        </is>
      </c>
      <c r="C1217" s="32" t="inlineStr">
        <is>
          <t>Mia Cruz</t>
        </is>
      </c>
      <c r="D1217" s="33" t="n">
        <v>20</v>
      </c>
      <c r="E1217" s="32" t="inlineStr">
        <is>
          <t>OneCause</t>
        </is>
      </c>
      <c r="F1217" s="34">
        <f>IF(A1217="","",IFERROR(INT(A1217),"check date"))</f>
        <v/>
      </c>
      <c r="G1217" s="35">
        <f>IF(B1217="","",IFERROR(INDEX(Students!$A:$A,MATCH(TRIM(B1217),Students!$A:$A,0)),"NOT ON LIST"))</f>
        <v/>
      </c>
      <c r="H1217" s="35">
        <f>IF(OR(G1217="",G1217="NOT ON LIST"),"",VLOOKUP(G1217,Students!$A:$C,2,FALSE))</f>
        <v/>
      </c>
      <c r="I1217" s="35">
        <f>IF(OR(G1217="",G1217="NOT ON LIST"),"",VLOOKUP(G1217,Students!$A:$C,3,FALSE)&amp;"")</f>
        <v/>
      </c>
    </row>
    <row r="1218">
      <c r="A1218" s="31" t="n">
        <v>46325.53125</v>
      </c>
      <c r="B1218" s="32" t="inlineStr">
        <is>
          <t>Ella Gutierrez</t>
        </is>
      </c>
      <c r="C1218" s="32" t="inlineStr">
        <is>
          <t>Noah Gutierrez</t>
        </is>
      </c>
      <c r="D1218" s="33" t="n">
        <v>20</v>
      </c>
      <c r="E1218" s="32" t="inlineStr">
        <is>
          <t>OneCause</t>
        </is>
      </c>
      <c r="F1218" s="34">
        <f>IF(A1218="","",IFERROR(INT(A1218),"check date"))</f>
        <v/>
      </c>
      <c r="G1218" s="35">
        <f>IF(B1218="","",IFERROR(INDEX(Students!$A:$A,MATCH(TRIM(B1218),Students!$A:$A,0)),"NOT ON LIST"))</f>
        <v/>
      </c>
      <c r="H1218" s="35">
        <f>IF(OR(G1218="",G1218="NOT ON LIST"),"",VLOOKUP(G1218,Students!$A:$C,2,FALSE))</f>
        <v/>
      </c>
      <c r="I1218" s="35">
        <f>IF(OR(G1218="",G1218="NOT ON LIST"),"",VLOOKUP(G1218,Students!$A:$C,3,FALSE)&amp;"")</f>
        <v/>
      </c>
    </row>
    <row r="1219">
      <c r="A1219" s="31" t="n">
        <v>46338.29166666666</v>
      </c>
      <c r="B1219" s="32" t="inlineStr">
        <is>
          <t>Camila Reyes</t>
        </is>
      </c>
      <c r="C1219" s="32" t="inlineStr">
        <is>
          <t>Noah Reyes</t>
        </is>
      </c>
      <c r="D1219" s="33" t="n">
        <v>20</v>
      </c>
      <c r="E1219" s="32" t="inlineStr">
        <is>
          <t>OneCause</t>
        </is>
      </c>
      <c r="F1219" s="34">
        <f>IF(A1219="","",IFERROR(INT(A1219),"check date"))</f>
        <v/>
      </c>
      <c r="G1219" s="35">
        <f>IF(B1219="","",IFERROR(INDEX(Students!$A:$A,MATCH(TRIM(B1219),Students!$A:$A,0)),"NOT ON LIST"))</f>
        <v/>
      </c>
      <c r="H1219" s="35">
        <f>IF(OR(G1219="",G1219="NOT ON LIST"),"",VLOOKUP(G1219,Students!$A:$C,2,FALSE))</f>
        <v/>
      </c>
      <c r="I1219" s="35">
        <f>IF(OR(G1219="",G1219="NOT ON LIST"),"",VLOOKUP(G1219,Students!$A:$C,3,FALSE)&amp;"")</f>
        <v/>
      </c>
    </row>
    <row r="1220">
      <c r="A1220" s="31" t="n">
        <v>46332.375</v>
      </c>
      <c r="B1220" s="32" t="inlineStr">
        <is>
          <t>Amelia Castillo</t>
        </is>
      </c>
      <c r="C1220" s="32" t="inlineStr">
        <is>
          <t>Aria Castillo</t>
        </is>
      </c>
      <c r="D1220" s="33" t="n">
        <v>50</v>
      </c>
      <c r="E1220" s="32" t="inlineStr">
        <is>
          <t>OneCause</t>
        </is>
      </c>
      <c r="F1220" s="34">
        <f>IF(A1220="","",IFERROR(INT(A1220),"check date"))</f>
        <v/>
      </c>
      <c r="G1220" s="35">
        <f>IF(B1220="","",IFERROR(INDEX(Students!$A:$A,MATCH(TRIM(B1220),Students!$A:$A,0)),"NOT ON LIST"))</f>
        <v/>
      </c>
      <c r="H1220" s="35">
        <f>IF(OR(G1220="",G1220="NOT ON LIST"),"",VLOOKUP(G1220,Students!$A:$C,2,FALSE))</f>
        <v/>
      </c>
      <c r="I1220" s="35">
        <f>IF(OR(G1220="",G1220="NOT ON LIST"),"",VLOOKUP(G1220,Students!$A:$C,3,FALSE)&amp;"")</f>
        <v/>
      </c>
    </row>
    <row r="1221">
      <c r="A1221" s="31" t="n">
        <v>46328</v>
      </c>
      <c r="B1221" s="32" t="inlineStr">
        <is>
          <t>Evelyn Ortiz</t>
        </is>
      </c>
      <c r="C1221" s="32" t="inlineStr">
        <is>
          <t>Diego Ortiz</t>
        </is>
      </c>
      <c r="D1221" s="33" t="n">
        <v>10</v>
      </c>
      <c r="E1221" s="32" t="inlineStr">
        <is>
          <t>Check</t>
        </is>
      </c>
      <c r="F1221" s="34">
        <f>IF(A1221="","",IFERROR(INT(A1221),"check date"))</f>
        <v/>
      </c>
      <c r="G1221" s="35">
        <f>IF(B1221="","",IFERROR(INDEX(Students!$A:$A,MATCH(TRIM(B1221),Students!$A:$A,0)),"NOT ON LIST"))</f>
        <v/>
      </c>
      <c r="H1221" s="35">
        <f>IF(OR(G1221="",G1221="NOT ON LIST"),"",VLOOKUP(G1221,Students!$A:$C,2,FALSE))</f>
        <v/>
      </c>
      <c r="I1221" s="35">
        <f>IF(OR(G1221="",G1221="NOT ON LIST"),"",VLOOKUP(G1221,Students!$A:$C,3,FALSE)&amp;"")</f>
        <v/>
      </c>
    </row>
    <row r="1222">
      <c r="A1222" s="31" t="n">
        <v>46338.90625</v>
      </c>
      <c r="B1222" s="32" t="inlineStr">
        <is>
          <t>Harper Gutierrez</t>
        </is>
      </c>
      <c r="C1222" s="32" t="inlineStr">
        <is>
          <t>Benjamin Gutierrez</t>
        </is>
      </c>
      <c r="D1222" s="33" t="n">
        <v>25</v>
      </c>
      <c r="E1222" s="32" t="inlineStr">
        <is>
          <t>OneCause</t>
        </is>
      </c>
      <c r="F1222" s="34">
        <f>IF(A1222="","",IFERROR(INT(A1222),"check date"))</f>
        <v/>
      </c>
      <c r="G1222" s="35">
        <f>IF(B1222="","",IFERROR(INDEX(Students!$A:$A,MATCH(TRIM(B1222),Students!$A:$A,0)),"NOT ON LIST"))</f>
        <v/>
      </c>
      <c r="H1222" s="35">
        <f>IF(OR(G1222="",G1222="NOT ON LIST"),"",VLOOKUP(G1222,Students!$A:$C,2,FALSE))</f>
        <v/>
      </c>
      <c r="I1222" s="35">
        <f>IF(OR(G1222="",G1222="NOT ON LIST"),"",VLOOKUP(G1222,Students!$A:$C,3,FALSE)&amp;"")</f>
        <v/>
      </c>
    </row>
    <row r="1223">
      <c r="A1223" s="31" t="n">
        <v>46336</v>
      </c>
      <c r="B1223" s="32" t="inlineStr">
        <is>
          <t>Thomas Patel</t>
        </is>
      </c>
      <c r="C1223" s="32" t="inlineStr">
        <is>
          <t>Mia Patel</t>
        </is>
      </c>
      <c r="D1223" s="33" t="n">
        <v>50</v>
      </c>
      <c r="E1223" s="32" t="inlineStr">
        <is>
          <t>Cash</t>
        </is>
      </c>
      <c r="F1223" s="34">
        <f>IF(A1223="","",IFERROR(INT(A1223),"check date"))</f>
        <v/>
      </c>
      <c r="G1223" s="35">
        <f>IF(B1223="","",IFERROR(INDEX(Students!$A:$A,MATCH(TRIM(B1223),Students!$A:$A,0)),"NOT ON LIST"))</f>
        <v/>
      </c>
      <c r="H1223" s="35">
        <f>IF(OR(G1223="",G1223="NOT ON LIST"),"",VLOOKUP(G1223,Students!$A:$C,2,FALSE))</f>
        <v/>
      </c>
      <c r="I1223" s="35">
        <f>IF(OR(G1223="",G1223="NOT ON LIST"),"",VLOOKUP(G1223,Students!$A:$C,3,FALSE)&amp;"")</f>
        <v/>
      </c>
    </row>
    <row r="1224">
      <c r="A1224" s="31" t="n">
        <v>46331.84375</v>
      </c>
      <c r="B1224" s="32" t="inlineStr">
        <is>
          <t>Maya Kim</t>
        </is>
      </c>
      <c r="C1224" s="32" t="inlineStr">
        <is>
          <t>Luna Kim</t>
        </is>
      </c>
      <c r="D1224" s="33" t="n">
        <v>25</v>
      </c>
      <c r="E1224" s="32" t="inlineStr">
        <is>
          <t>OneCause</t>
        </is>
      </c>
      <c r="F1224" s="34">
        <f>IF(A1224="","",IFERROR(INT(A1224),"check date"))</f>
        <v/>
      </c>
      <c r="G1224" s="35">
        <f>IF(B1224="","",IFERROR(INDEX(Students!$A:$A,MATCH(TRIM(B1224),Students!$A:$A,0)),"NOT ON LIST"))</f>
        <v/>
      </c>
      <c r="H1224" s="35">
        <f>IF(OR(G1224="",G1224="NOT ON LIST"),"",VLOOKUP(G1224,Students!$A:$C,2,FALSE))</f>
        <v/>
      </c>
      <c r="I1224" s="35">
        <f>IF(OR(G1224="",G1224="NOT ON LIST"),"",VLOOKUP(G1224,Students!$A:$C,3,FALSE)&amp;"")</f>
        <v/>
      </c>
    </row>
    <row r="1225">
      <c r="A1225" s="31" t="n">
        <v>46328.54166666666</v>
      </c>
      <c r="B1225" s="32" t="inlineStr">
        <is>
          <t>Grace Ramos</t>
        </is>
      </c>
      <c r="C1225" s="32" t="inlineStr">
        <is>
          <t>Leo Ramos</t>
        </is>
      </c>
      <c r="D1225" s="33" t="n">
        <v>75</v>
      </c>
      <c r="E1225" s="32" t="inlineStr">
        <is>
          <t>OneCause</t>
        </is>
      </c>
      <c r="F1225" s="34">
        <f>IF(A1225="","",IFERROR(INT(A1225),"check date"))</f>
        <v/>
      </c>
      <c r="G1225" s="35">
        <f>IF(B1225="","",IFERROR(INDEX(Students!$A:$A,MATCH(TRIM(B1225),Students!$A:$A,0)),"NOT ON LIST"))</f>
        <v/>
      </c>
      <c r="H1225" s="35">
        <f>IF(OR(G1225="",G1225="NOT ON LIST"),"",VLOOKUP(G1225,Students!$A:$C,2,FALSE))</f>
        <v/>
      </c>
      <c r="I1225" s="35">
        <f>IF(OR(G1225="",G1225="NOT ON LIST"),"",VLOOKUP(G1225,Students!$A:$C,3,FALSE)&amp;"")</f>
        <v/>
      </c>
    </row>
    <row r="1226">
      <c r="A1226" s="31" t="n">
        <v>46336</v>
      </c>
      <c r="B1226" s="32" t="inlineStr">
        <is>
          <t>Zoe Castillo</t>
        </is>
      </c>
      <c r="C1226" s="32" t="inlineStr">
        <is>
          <t>Mia Castillo</t>
        </is>
      </c>
      <c r="D1226" s="33" t="n">
        <v>100</v>
      </c>
      <c r="E1226" s="32" t="inlineStr">
        <is>
          <t>Cash</t>
        </is>
      </c>
      <c r="F1226" s="34">
        <f>IF(A1226="","",IFERROR(INT(A1226),"check date"))</f>
        <v/>
      </c>
      <c r="G1226" s="35">
        <f>IF(B1226="","",IFERROR(INDEX(Students!$A:$A,MATCH(TRIM(B1226),Students!$A:$A,0)),"NOT ON LIST"))</f>
        <v/>
      </c>
      <c r="H1226" s="35">
        <f>IF(OR(G1226="",G1226="NOT ON LIST"),"",VLOOKUP(G1226,Students!$A:$C,2,FALSE))</f>
        <v/>
      </c>
      <c r="I1226" s="35">
        <f>IF(OR(G1226="",G1226="NOT ON LIST"),"",VLOOKUP(G1226,Students!$A:$C,3,FALSE)&amp;"")</f>
        <v/>
      </c>
    </row>
    <row r="1227">
      <c r="A1227" s="31" t="n">
        <v>46335.46875</v>
      </c>
      <c r="B1227" s="32" t="inlineStr">
        <is>
          <t>Mia Martinez</t>
        </is>
      </c>
      <c r="C1227" s="32" t="inlineStr">
        <is>
          <t>Benjamin Martinez</t>
        </is>
      </c>
      <c r="D1227" s="33" t="n">
        <v>50</v>
      </c>
      <c r="E1227" s="32" t="inlineStr">
        <is>
          <t>OneCause</t>
        </is>
      </c>
      <c r="F1227" s="34">
        <f>IF(A1227="","",IFERROR(INT(A1227),"check date"))</f>
        <v/>
      </c>
      <c r="G1227" s="35">
        <f>IF(B1227="","",IFERROR(INDEX(Students!$A:$A,MATCH(TRIM(B1227),Students!$A:$A,0)),"NOT ON LIST"))</f>
        <v/>
      </c>
      <c r="H1227" s="35">
        <f>IF(OR(G1227="",G1227="NOT ON LIST"),"",VLOOKUP(G1227,Students!$A:$C,2,FALSE))</f>
        <v/>
      </c>
      <c r="I1227" s="35">
        <f>IF(OR(G1227="",G1227="NOT ON LIST"),"",VLOOKUP(G1227,Students!$A:$C,3,FALSE)&amp;"")</f>
        <v/>
      </c>
    </row>
    <row r="1228">
      <c r="A1228" s="31" t="n">
        <v>46325.65625</v>
      </c>
      <c r="B1228" s="32" t="inlineStr">
        <is>
          <t>Nora Williams</t>
        </is>
      </c>
      <c r="C1228" s="32" t="inlineStr">
        <is>
          <t>Lily Williams</t>
        </is>
      </c>
      <c r="D1228" s="33" t="n">
        <v>75</v>
      </c>
      <c r="E1228" s="32" t="inlineStr">
        <is>
          <t>OneCause</t>
        </is>
      </c>
      <c r="F1228" s="34">
        <f>IF(A1228="","",IFERROR(INT(A1228),"check date"))</f>
        <v/>
      </c>
      <c r="G1228" s="35">
        <f>IF(B1228="","",IFERROR(INDEX(Students!$A:$A,MATCH(TRIM(B1228),Students!$A:$A,0)),"NOT ON LIST"))</f>
        <v/>
      </c>
      <c r="H1228" s="35">
        <f>IF(OR(G1228="",G1228="NOT ON LIST"),"",VLOOKUP(G1228,Students!$A:$C,2,FALSE))</f>
        <v/>
      </c>
      <c r="I1228" s="35">
        <f>IF(OR(G1228="",G1228="NOT ON LIST"),"",VLOOKUP(G1228,Students!$A:$C,3,FALSE)&amp;"")</f>
        <v/>
      </c>
    </row>
    <row r="1229">
      <c r="A1229" s="31" t="n">
        <v>46325.77083333334</v>
      </c>
      <c r="B1229" s="32" t="inlineStr">
        <is>
          <t>Luna Byrne</t>
        </is>
      </c>
      <c r="C1229" s="32" t="inlineStr">
        <is>
          <t>Amelia Byrne</t>
        </is>
      </c>
      <c r="D1229" s="33" t="n">
        <v>100</v>
      </c>
      <c r="E1229" s="32" t="inlineStr">
        <is>
          <t>OneCause</t>
        </is>
      </c>
      <c r="F1229" s="34">
        <f>IF(A1229="","",IFERROR(INT(A1229),"check date"))</f>
        <v/>
      </c>
      <c r="G1229" s="35">
        <f>IF(B1229="","",IFERROR(INDEX(Students!$A:$A,MATCH(TRIM(B1229),Students!$A:$A,0)),"NOT ON LIST"))</f>
        <v/>
      </c>
      <c r="H1229" s="35">
        <f>IF(OR(G1229="",G1229="NOT ON LIST"),"",VLOOKUP(G1229,Students!$A:$C,2,FALSE))</f>
        <v/>
      </c>
      <c r="I1229" s="35">
        <f>IF(OR(G1229="",G1229="NOT ON LIST"),"",VLOOKUP(G1229,Students!$A:$C,3,FALSE)&amp;"")</f>
        <v/>
      </c>
    </row>
    <row r="1230">
      <c r="A1230" s="31" t="n">
        <v>46335</v>
      </c>
      <c r="B1230" s="32" t="inlineStr">
        <is>
          <t>Emma Murphy</t>
        </is>
      </c>
      <c r="C1230" s="32" t="inlineStr">
        <is>
          <t>Henry Murphy</t>
        </is>
      </c>
      <c r="D1230" s="33" t="n">
        <v>25</v>
      </c>
      <c r="E1230" s="32" t="inlineStr">
        <is>
          <t>Check</t>
        </is>
      </c>
      <c r="F1230" s="34">
        <f>IF(A1230="","",IFERROR(INT(A1230),"check date"))</f>
        <v/>
      </c>
      <c r="G1230" s="35">
        <f>IF(B1230="","",IFERROR(INDEX(Students!$A:$A,MATCH(TRIM(B1230),Students!$A:$A,0)),"NOT ON LIST"))</f>
        <v/>
      </c>
      <c r="H1230" s="35">
        <f>IF(OR(G1230="",G1230="NOT ON LIST"),"",VLOOKUP(G1230,Students!$A:$C,2,FALSE))</f>
        <v/>
      </c>
      <c r="I1230" s="35">
        <f>IF(OR(G1230="",G1230="NOT ON LIST"),"",VLOOKUP(G1230,Students!$A:$C,3,FALSE)&amp;"")</f>
        <v/>
      </c>
    </row>
    <row r="1231">
      <c r="A1231" s="31" t="n">
        <v>46330.30208333334</v>
      </c>
      <c r="B1231" s="32" t="inlineStr">
        <is>
          <t>Isaac O'Brien</t>
        </is>
      </c>
      <c r="C1231" s="32" t="inlineStr">
        <is>
          <t>Leo O'Brien</t>
        </is>
      </c>
      <c r="D1231" s="33" t="n">
        <v>50</v>
      </c>
      <c r="E1231" s="32" t="inlineStr">
        <is>
          <t>OneCause</t>
        </is>
      </c>
      <c r="F1231" s="34">
        <f>IF(A1231="","",IFERROR(INT(A1231),"check date"))</f>
        <v/>
      </c>
      <c r="G1231" s="35">
        <f>IF(B1231="","",IFERROR(INDEX(Students!$A:$A,MATCH(TRIM(B1231),Students!$A:$A,0)),"NOT ON LIST"))</f>
        <v/>
      </c>
      <c r="H1231" s="35">
        <f>IF(OR(G1231="",G1231="NOT ON LIST"),"",VLOOKUP(G1231,Students!$A:$C,2,FALSE))</f>
        <v/>
      </c>
      <c r="I1231" s="35">
        <f>IF(OR(G1231="",G1231="NOT ON LIST"),"",VLOOKUP(G1231,Students!$A:$C,3,FALSE)&amp;"")</f>
        <v/>
      </c>
    </row>
    <row r="1232">
      <c r="A1232" s="31" t="n">
        <v>46338.89583333334</v>
      </c>
      <c r="B1232" s="32" t="inlineStr">
        <is>
          <t>Nora Ramirez</t>
        </is>
      </c>
      <c r="C1232" s="32" t="inlineStr">
        <is>
          <t>Elena Ramirez</t>
        </is>
      </c>
      <c r="D1232" s="33" t="n">
        <v>25</v>
      </c>
      <c r="E1232" s="32" t="inlineStr">
        <is>
          <t>OneCause</t>
        </is>
      </c>
      <c r="F1232" s="34">
        <f>IF(A1232="","",IFERROR(INT(A1232),"check date"))</f>
        <v/>
      </c>
      <c r="G1232" s="35">
        <f>IF(B1232="","",IFERROR(INDEX(Students!$A:$A,MATCH(TRIM(B1232),Students!$A:$A,0)),"NOT ON LIST"))</f>
        <v/>
      </c>
      <c r="H1232" s="35">
        <f>IF(OR(G1232="",G1232="NOT ON LIST"),"",VLOOKUP(G1232,Students!$A:$C,2,FALSE))</f>
        <v/>
      </c>
      <c r="I1232" s="35">
        <f>IF(OR(G1232="",G1232="NOT ON LIST"),"",VLOOKUP(G1232,Students!$A:$C,3,FALSE)&amp;"")</f>
        <v/>
      </c>
    </row>
    <row r="1233">
      <c r="A1233" s="31" t="n">
        <v>46334.375</v>
      </c>
      <c r="B1233" s="32" t="inlineStr">
        <is>
          <t>Evelyn O'Brien</t>
        </is>
      </c>
      <c r="C1233" s="32" t="inlineStr">
        <is>
          <t>Julian O'Brien</t>
        </is>
      </c>
      <c r="D1233" s="33" t="n">
        <v>50</v>
      </c>
      <c r="E1233" s="32" t="inlineStr">
        <is>
          <t>OneCause</t>
        </is>
      </c>
      <c r="F1233" s="34">
        <f>IF(A1233="","",IFERROR(INT(A1233),"check date"))</f>
        <v/>
      </c>
      <c r="G1233" s="35">
        <f>IF(B1233="","",IFERROR(INDEX(Students!$A:$A,MATCH(TRIM(B1233),Students!$A:$A,0)),"NOT ON LIST"))</f>
        <v/>
      </c>
      <c r="H1233" s="35">
        <f>IF(OR(G1233="",G1233="NOT ON LIST"),"",VLOOKUP(G1233,Students!$A:$C,2,FALSE))</f>
        <v/>
      </c>
      <c r="I1233" s="35">
        <f>IF(OR(G1233="",G1233="NOT ON LIST"),"",VLOOKUP(G1233,Students!$A:$C,3,FALSE)&amp;"")</f>
        <v/>
      </c>
    </row>
    <row r="1234">
      <c r="A1234" s="31" t="n">
        <v>46335.86458333334</v>
      </c>
      <c r="B1234" s="32" t="inlineStr">
        <is>
          <t>Evelyn Gonzalez</t>
        </is>
      </c>
      <c r="C1234" s="32" t="inlineStr">
        <is>
          <t>Gabriel Gonzalez</t>
        </is>
      </c>
      <c r="D1234" s="33" t="n">
        <v>40</v>
      </c>
      <c r="E1234" s="32" t="inlineStr">
        <is>
          <t>OneCause</t>
        </is>
      </c>
      <c r="F1234" s="34">
        <f>IF(A1234="","",IFERROR(INT(A1234),"check date"))</f>
        <v/>
      </c>
      <c r="G1234" s="35">
        <f>IF(B1234="","",IFERROR(INDEX(Students!$A:$A,MATCH(TRIM(B1234),Students!$A:$A,0)),"NOT ON LIST"))</f>
        <v/>
      </c>
      <c r="H1234" s="35">
        <f>IF(OR(G1234="",G1234="NOT ON LIST"),"",VLOOKUP(G1234,Students!$A:$C,2,FALSE))</f>
        <v/>
      </c>
      <c r="I1234" s="35">
        <f>IF(OR(G1234="",G1234="NOT ON LIST"),"",VLOOKUP(G1234,Students!$A:$C,3,FALSE)&amp;"")</f>
        <v/>
      </c>
    </row>
    <row r="1235">
      <c r="A1235" s="31" t="n">
        <v>46339.84375</v>
      </c>
      <c r="B1235" s="32" t="inlineStr">
        <is>
          <t>Clara Kelly</t>
        </is>
      </c>
      <c r="C1235" s="32" t="inlineStr">
        <is>
          <t>Lily Kelly</t>
        </is>
      </c>
      <c r="D1235" s="33" t="n">
        <v>25</v>
      </c>
      <c r="E1235" s="32" t="inlineStr">
        <is>
          <t>OneCause</t>
        </is>
      </c>
      <c r="F1235" s="34">
        <f>IF(A1235="","",IFERROR(INT(A1235),"check date"))</f>
        <v/>
      </c>
      <c r="G1235" s="35">
        <f>IF(B1235="","",IFERROR(INDEX(Students!$A:$A,MATCH(TRIM(B1235),Students!$A:$A,0)),"NOT ON LIST"))</f>
        <v/>
      </c>
      <c r="H1235" s="35">
        <f>IF(OR(G1235="",G1235="NOT ON LIST"),"",VLOOKUP(G1235,Students!$A:$C,2,FALSE))</f>
        <v/>
      </c>
      <c r="I1235" s="35">
        <f>IF(OR(G1235="",G1235="NOT ON LIST"),"",VLOOKUP(G1235,Students!$A:$C,3,FALSE)&amp;"")</f>
        <v/>
      </c>
    </row>
    <row r="1236">
      <c r="A1236" s="31" t="n">
        <v>46339.5625</v>
      </c>
      <c r="B1236" s="32" t="inlineStr">
        <is>
          <t>Ava Sanchez</t>
        </is>
      </c>
      <c r="C1236" s="32" t="inlineStr">
        <is>
          <t>Ava Sanchez</t>
        </is>
      </c>
      <c r="D1236" s="33" t="n">
        <v>25</v>
      </c>
      <c r="E1236" s="32" t="inlineStr">
        <is>
          <t>OneCause</t>
        </is>
      </c>
      <c r="F1236" s="34">
        <f>IF(A1236="","",IFERROR(INT(A1236),"check date"))</f>
        <v/>
      </c>
      <c r="G1236" s="35">
        <f>IF(B1236="","",IFERROR(INDEX(Students!$A:$A,MATCH(TRIM(B1236),Students!$A:$A,0)),"NOT ON LIST"))</f>
        <v/>
      </c>
      <c r="H1236" s="35">
        <f>IF(OR(G1236="",G1236="NOT ON LIST"),"",VLOOKUP(G1236,Students!$A:$C,2,FALSE))</f>
        <v/>
      </c>
      <c r="I1236" s="35">
        <f>IF(OR(G1236="",G1236="NOT ON LIST"),"",VLOOKUP(G1236,Students!$A:$C,3,FALSE)&amp;"")</f>
        <v/>
      </c>
    </row>
    <row r="1237">
      <c r="A1237" s="31" t="n">
        <v>46338</v>
      </c>
      <c r="B1237" s="32" t="inlineStr">
        <is>
          <t>Elijah Byrne</t>
        </is>
      </c>
      <c r="C1237" s="32" t="inlineStr">
        <is>
          <t>Luna Byrne</t>
        </is>
      </c>
      <c r="D1237" s="33" t="n">
        <v>50</v>
      </c>
      <c r="E1237" s="32" t="inlineStr">
        <is>
          <t>Cash</t>
        </is>
      </c>
      <c r="F1237" s="34">
        <f>IF(A1237="","",IFERROR(INT(A1237),"check date"))</f>
        <v/>
      </c>
      <c r="G1237" s="35">
        <f>IF(B1237="","",IFERROR(INDEX(Students!$A:$A,MATCH(TRIM(B1237),Students!$A:$A,0)),"NOT ON LIST"))</f>
        <v/>
      </c>
      <c r="H1237" s="35">
        <f>IF(OR(G1237="",G1237="NOT ON LIST"),"",VLOOKUP(G1237,Students!$A:$C,2,FALSE))</f>
        <v/>
      </c>
      <c r="I1237" s="35">
        <f>IF(OR(G1237="",G1237="NOT ON LIST"),"",VLOOKUP(G1237,Students!$A:$C,3,FALSE)&amp;"")</f>
        <v/>
      </c>
    </row>
    <row r="1238">
      <c r="A1238" s="31" t="n">
        <v>46327.52083333334</v>
      </c>
      <c r="B1238" s="32" t="inlineStr">
        <is>
          <t>David Morales</t>
        </is>
      </c>
      <c r="C1238" s="32" t="inlineStr">
        <is>
          <t>Mia Morales</t>
        </is>
      </c>
      <c r="D1238" s="33" t="n">
        <v>100</v>
      </c>
      <c r="E1238" s="32" t="inlineStr">
        <is>
          <t>OneCause</t>
        </is>
      </c>
      <c r="F1238" s="34">
        <f>IF(A1238="","",IFERROR(INT(A1238),"check date"))</f>
        <v/>
      </c>
      <c r="G1238" s="35">
        <f>IF(B1238="","",IFERROR(INDEX(Students!$A:$A,MATCH(TRIM(B1238),Students!$A:$A,0)),"NOT ON LIST"))</f>
        <v/>
      </c>
      <c r="H1238" s="35">
        <f>IF(OR(G1238="",G1238="NOT ON LIST"),"",VLOOKUP(G1238,Students!$A:$C,2,FALSE))</f>
        <v/>
      </c>
      <c r="I1238" s="35">
        <f>IF(OR(G1238="",G1238="NOT ON LIST"),"",VLOOKUP(G1238,Students!$A:$C,3,FALSE)&amp;"")</f>
        <v/>
      </c>
    </row>
    <row r="1239">
      <c r="A1239" s="31" t="n">
        <v>46330.33333333334</v>
      </c>
      <c r="B1239" s="32" t="inlineStr">
        <is>
          <t>Ava Sanchez</t>
        </is>
      </c>
      <c r="C1239" s="32" t="inlineStr">
        <is>
          <t>Clara Sanchez</t>
        </is>
      </c>
      <c r="D1239" s="33" t="n">
        <v>25</v>
      </c>
      <c r="E1239" s="32" t="inlineStr">
        <is>
          <t>OneCause</t>
        </is>
      </c>
      <c r="F1239" s="34">
        <f>IF(A1239="","",IFERROR(INT(A1239),"check date"))</f>
        <v/>
      </c>
      <c r="G1239" s="35">
        <f>IF(B1239="","",IFERROR(INDEX(Students!$A:$A,MATCH(TRIM(B1239),Students!$A:$A,0)),"NOT ON LIST"))</f>
        <v/>
      </c>
      <c r="H1239" s="35">
        <f>IF(OR(G1239="",G1239="NOT ON LIST"),"",VLOOKUP(G1239,Students!$A:$C,2,FALSE))</f>
        <v/>
      </c>
      <c r="I1239" s="35">
        <f>IF(OR(G1239="",G1239="NOT ON LIST"),"",VLOOKUP(G1239,Students!$A:$C,3,FALSE)&amp;"")</f>
        <v/>
      </c>
    </row>
    <row r="1240">
      <c r="A1240" s="31" t="n">
        <v>46338.85416666666</v>
      </c>
      <c r="B1240" s="32" t="inlineStr">
        <is>
          <t>Diego Ryan</t>
        </is>
      </c>
      <c r="C1240" s="32" t="inlineStr">
        <is>
          <t>Lucas Ryan</t>
        </is>
      </c>
      <c r="D1240" s="33" t="n">
        <v>50</v>
      </c>
      <c r="E1240" s="32" t="inlineStr">
        <is>
          <t>OneCause</t>
        </is>
      </c>
      <c r="F1240" s="34">
        <f>IF(A1240="","",IFERROR(INT(A1240),"check date"))</f>
        <v/>
      </c>
      <c r="G1240" s="35">
        <f>IF(B1240="","",IFERROR(INDEX(Students!$A:$A,MATCH(TRIM(B1240),Students!$A:$A,0)),"NOT ON LIST"))</f>
        <v/>
      </c>
      <c r="H1240" s="35">
        <f>IF(OR(G1240="",G1240="NOT ON LIST"),"",VLOOKUP(G1240,Students!$A:$C,2,FALSE))</f>
        <v/>
      </c>
      <c r="I1240" s="35">
        <f>IF(OR(G1240="",G1240="NOT ON LIST"),"",VLOOKUP(G1240,Students!$A:$C,3,FALSE)&amp;"")</f>
        <v/>
      </c>
    </row>
    <row r="1241">
      <c r="A1241" s="31" t="n">
        <v>46328.60416666666</v>
      </c>
      <c r="B1241" s="32" t="inlineStr">
        <is>
          <t>Isaac Byrne</t>
        </is>
      </c>
      <c r="C1241" s="32" t="inlineStr">
        <is>
          <t>Thomas Byrne</t>
        </is>
      </c>
      <c r="D1241" s="33" t="n">
        <v>10</v>
      </c>
      <c r="E1241" s="32" t="inlineStr">
        <is>
          <t>OneCause</t>
        </is>
      </c>
      <c r="F1241" s="34">
        <f>IF(A1241="","",IFERROR(INT(A1241),"check date"))</f>
        <v/>
      </c>
      <c r="G1241" s="35">
        <f>IF(B1241="","",IFERROR(INDEX(Students!$A:$A,MATCH(TRIM(B1241),Students!$A:$A,0)),"NOT ON LIST"))</f>
        <v/>
      </c>
      <c r="H1241" s="35">
        <f>IF(OR(G1241="",G1241="NOT ON LIST"),"",VLOOKUP(G1241,Students!$A:$C,2,FALSE))</f>
        <v/>
      </c>
      <c r="I1241" s="35">
        <f>IF(OR(G1241="",G1241="NOT ON LIST"),"",VLOOKUP(G1241,Students!$A:$C,3,FALSE)&amp;"")</f>
        <v/>
      </c>
    </row>
    <row r="1242">
      <c r="A1242" s="31" t="n">
        <v>46336.8125</v>
      </c>
      <c r="B1242" s="32" t="inlineStr">
        <is>
          <t>Evelyn Perez</t>
        </is>
      </c>
      <c r="C1242" s="32" t="inlineStr">
        <is>
          <t>Ella Perez</t>
        </is>
      </c>
      <c r="D1242" s="33" t="n">
        <v>100</v>
      </c>
      <c r="E1242" s="32" t="inlineStr">
        <is>
          <t>OneCause</t>
        </is>
      </c>
      <c r="F1242" s="34">
        <f>IF(A1242="","",IFERROR(INT(A1242),"check date"))</f>
        <v/>
      </c>
      <c r="G1242" s="35">
        <f>IF(B1242="","",IFERROR(INDEX(Students!$A:$A,MATCH(TRIM(B1242),Students!$A:$A,0)),"NOT ON LIST"))</f>
        <v/>
      </c>
      <c r="H1242" s="35">
        <f>IF(OR(G1242="",G1242="NOT ON LIST"),"",VLOOKUP(G1242,Students!$A:$C,2,FALSE))</f>
        <v/>
      </c>
      <c r="I1242" s="35">
        <f>IF(OR(G1242="",G1242="NOT ON LIST"),"",VLOOKUP(G1242,Students!$A:$C,3,FALSE)&amp;"")</f>
        <v/>
      </c>
    </row>
    <row r="1243">
      <c r="A1243" s="31" t="n">
        <v>46338.33333333334</v>
      </c>
      <c r="B1243" s="32" t="inlineStr">
        <is>
          <t>Clara Murphy</t>
        </is>
      </c>
      <c r="C1243" s="32" t="inlineStr">
        <is>
          <t>Gabriel Murphy</t>
        </is>
      </c>
      <c r="D1243" s="33" t="n">
        <v>25</v>
      </c>
      <c r="E1243" s="32" t="inlineStr">
        <is>
          <t>OneCause</t>
        </is>
      </c>
      <c r="F1243" s="34">
        <f>IF(A1243="","",IFERROR(INT(A1243),"check date"))</f>
        <v/>
      </c>
      <c r="G1243" s="35">
        <f>IF(B1243="","",IFERROR(INDEX(Students!$A:$A,MATCH(TRIM(B1243),Students!$A:$A,0)),"NOT ON LIST"))</f>
        <v/>
      </c>
      <c r="H1243" s="35">
        <f>IF(OR(G1243="",G1243="NOT ON LIST"),"",VLOOKUP(G1243,Students!$A:$C,2,FALSE))</f>
        <v/>
      </c>
      <c r="I1243" s="35">
        <f>IF(OR(G1243="",G1243="NOT ON LIST"),"",VLOOKUP(G1243,Students!$A:$C,3,FALSE)&amp;"")</f>
        <v/>
      </c>
    </row>
    <row r="1244">
      <c r="A1244" s="31" t="n">
        <v>46339.375</v>
      </c>
      <c r="B1244" s="32" t="inlineStr">
        <is>
          <t>Mia Garcia</t>
        </is>
      </c>
      <c r="C1244" s="32" t="inlineStr">
        <is>
          <t>Julian Garcia</t>
        </is>
      </c>
      <c r="D1244" s="33" t="n">
        <v>50</v>
      </c>
      <c r="E1244" s="32" t="inlineStr">
        <is>
          <t>OneCause</t>
        </is>
      </c>
      <c r="F1244" s="34">
        <f>IF(A1244="","",IFERROR(INT(A1244),"check date"))</f>
        <v/>
      </c>
      <c r="G1244" s="35">
        <f>IF(B1244="","",IFERROR(INDEX(Students!$A:$A,MATCH(TRIM(B1244),Students!$A:$A,0)),"NOT ON LIST"))</f>
        <v/>
      </c>
      <c r="H1244" s="35">
        <f>IF(OR(G1244="",G1244="NOT ON LIST"),"",VLOOKUP(G1244,Students!$A:$C,2,FALSE))</f>
        <v/>
      </c>
      <c r="I1244" s="35">
        <f>IF(OR(G1244="",G1244="NOT ON LIST"),"",VLOOKUP(G1244,Students!$A:$C,3,FALSE)&amp;"")</f>
        <v/>
      </c>
    </row>
    <row r="1245">
      <c r="A1245" s="31" t="n">
        <v>46326.82291666666</v>
      </c>
      <c r="B1245" s="32" t="inlineStr">
        <is>
          <t>Evelyn Vasquez</t>
        </is>
      </c>
      <c r="C1245" s="32" t="inlineStr">
        <is>
          <t>Ella Vasquez</t>
        </is>
      </c>
      <c r="D1245" s="33" t="n">
        <v>25</v>
      </c>
      <c r="E1245" s="32" t="inlineStr">
        <is>
          <t>OneCause</t>
        </is>
      </c>
      <c r="F1245" s="34">
        <f>IF(A1245="","",IFERROR(INT(A1245),"check date"))</f>
        <v/>
      </c>
      <c r="G1245" s="35">
        <f>IF(B1245="","",IFERROR(INDEX(Students!$A:$A,MATCH(TRIM(B1245),Students!$A:$A,0)),"NOT ON LIST"))</f>
        <v/>
      </c>
      <c r="H1245" s="35">
        <f>IF(OR(G1245="",G1245="NOT ON LIST"),"",VLOOKUP(G1245,Students!$A:$C,2,FALSE))</f>
        <v/>
      </c>
      <c r="I1245" s="35">
        <f>IF(OR(G1245="",G1245="NOT ON LIST"),"",VLOOKUP(G1245,Students!$A:$C,3,FALSE)&amp;"")</f>
        <v/>
      </c>
    </row>
    <row r="1246">
      <c r="A1246" s="31" t="n">
        <v>46328.89583333334</v>
      </c>
      <c r="B1246" s="32" t="inlineStr">
        <is>
          <t>Gabriel Flores</t>
        </is>
      </c>
      <c r="C1246" s="32" t="inlineStr">
        <is>
          <t>Clara Flores</t>
        </is>
      </c>
      <c r="D1246" s="33" t="n">
        <v>100</v>
      </c>
      <c r="E1246" s="32" t="inlineStr">
        <is>
          <t>OneCause</t>
        </is>
      </c>
      <c r="F1246" s="34">
        <f>IF(A1246="","",IFERROR(INT(A1246),"check date"))</f>
        <v/>
      </c>
      <c r="G1246" s="35">
        <f>IF(B1246="","",IFERROR(INDEX(Students!$A:$A,MATCH(TRIM(B1246),Students!$A:$A,0)),"NOT ON LIST"))</f>
        <v/>
      </c>
      <c r="H1246" s="35">
        <f>IF(OR(G1246="",G1246="NOT ON LIST"),"",VLOOKUP(G1246,Students!$A:$C,2,FALSE))</f>
        <v/>
      </c>
      <c r="I1246" s="35">
        <f>IF(OR(G1246="",G1246="NOT ON LIST"),"",VLOOKUP(G1246,Students!$A:$C,3,FALSE)&amp;"")</f>
        <v/>
      </c>
    </row>
    <row r="1247">
      <c r="A1247" s="31" t="n">
        <v>46330.42708333334</v>
      </c>
      <c r="B1247" s="32" t="inlineStr">
        <is>
          <t>Gabriel Chavez</t>
        </is>
      </c>
      <c r="C1247" s="32" t="inlineStr">
        <is>
          <t>Elijah Chavez</t>
        </is>
      </c>
      <c r="D1247" s="33" t="n">
        <v>50</v>
      </c>
      <c r="E1247" s="32" t="inlineStr">
        <is>
          <t>OneCause</t>
        </is>
      </c>
      <c r="F1247" s="34">
        <f>IF(A1247="","",IFERROR(INT(A1247),"check date"))</f>
        <v/>
      </c>
      <c r="G1247" s="35">
        <f>IF(B1247="","",IFERROR(INDEX(Students!$A:$A,MATCH(TRIM(B1247),Students!$A:$A,0)),"NOT ON LIST"))</f>
        <v/>
      </c>
      <c r="H1247" s="35">
        <f>IF(OR(G1247="",G1247="NOT ON LIST"),"",VLOOKUP(G1247,Students!$A:$C,2,FALSE))</f>
        <v/>
      </c>
      <c r="I1247" s="35">
        <f>IF(OR(G1247="",G1247="NOT ON LIST"),"",VLOOKUP(G1247,Students!$A:$C,3,FALSE)&amp;"")</f>
        <v/>
      </c>
    </row>
    <row r="1248">
      <c r="A1248" s="31" t="n">
        <v>46329.3125</v>
      </c>
      <c r="B1248" s="32" t="inlineStr">
        <is>
          <t>Amelia Vasquez</t>
        </is>
      </c>
      <c r="C1248" s="32" t="inlineStr">
        <is>
          <t>Valentina Vasquez</t>
        </is>
      </c>
      <c r="D1248" s="33" t="n">
        <v>25</v>
      </c>
      <c r="E1248" s="32" t="inlineStr">
        <is>
          <t>OneCause</t>
        </is>
      </c>
      <c r="F1248" s="34">
        <f>IF(A1248="","",IFERROR(INT(A1248),"check date"))</f>
        <v/>
      </c>
      <c r="G1248" s="35">
        <f>IF(B1248="","",IFERROR(INDEX(Students!$A:$A,MATCH(TRIM(B1248),Students!$A:$A,0)),"NOT ON LIST"))</f>
        <v/>
      </c>
      <c r="H1248" s="35">
        <f>IF(OR(G1248="",G1248="NOT ON LIST"),"",VLOOKUP(G1248,Students!$A:$C,2,FALSE))</f>
        <v/>
      </c>
      <c r="I1248" s="35">
        <f>IF(OR(G1248="",G1248="NOT ON LIST"),"",VLOOKUP(G1248,Students!$A:$C,3,FALSE)&amp;"")</f>
        <v/>
      </c>
    </row>
    <row r="1249">
      <c r="A1249" s="31" t="n">
        <v>46332</v>
      </c>
      <c r="B1249" s="32" t="inlineStr">
        <is>
          <t>Emma Murphy</t>
        </is>
      </c>
      <c r="C1249" s="32" t="inlineStr">
        <is>
          <t>Ella Murphy</t>
        </is>
      </c>
      <c r="D1249" s="33" t="n">
        <v>20</v>
      </c>
      <c r="E1249" s="32" t="inlineStr">
        <is>
          <t>Check</t>
        </is>
      </c>
      <c r="F1249" s="34">
        <f>IF(A1249="","",IFERROR(INT(A1249),"check date"))</f>
        <v/>
      </c>
      <c r="G1249" s="35">
        <f>IF(B1249="","",IFERROR(INDEX(Students!$A:$A,MATCH(TRIM(B1249),Students!$A:$A,0)),"NOT ON LIST"))</f>
        <v/>
      </c>
      <c r="H1249" s="35">
        <f>IF(OR(G1249="",G1249="NOT ON LIST"),"",VLOOKUP(G1249,Students!$A:$C,2,FALSE))</f>
        <v/>
      </c>
      <c r="I1249" s="35">
        <f>IF(OR(G1249="",G1249="NOT ON LIST"),"",VLOOKUP(G1249,Students!$A:$C,3,FALSE)&amp;"")</f>
        <v/>
      </c>
    </row>
    <row r="1250">
      <c r="A1250" s="31" t="n">
        <v>46338.46875</v>
      </c>
      <c r="B1250" s="32" t="inlineStr">
        <is>
          <t>Ava Mendoza</t>
        </is>
      </c>
      <c r="C1250" s="32" t="inlineStr">
        <is>
          <t>James Mendoza</t>
        </is>
      </c>
      <c r="D1250" s="33" t="n">
        <v>25</v>
      </c>
      <c r="E1250" s="32" t="inlineStr">
        <is>
          <t>OneCause</t>
        </is>
      </c>
      <c r="F1250" s="34">
        <f>IF(A1250="","",IFERROR(INT(A1250),"check date"))</f>
        <v/>
      </c>
      <c r="G1250" s="35">
        <f>IF(B1250="","",IFERROR(INDEX(Students!$A:$A,MATCH(TRIM(B1250),Students!$A:$A,0)),"NOT ON LIST"))</f>
        <v/>
      </c>
      <c r="H1250" s="35">
        <f>IF(OR(G1250="",G1250="NOT ON LIST"),"",VLOOKUP(G1250,Students!$A:$C,2,FALSE))</f>
        <v/>
      </c>
      <c r="I1250" s="35">
        <f>IF(OR(G1250="",G1250="NOT ON LIST"),"",VLOOKUP(G1250,Students!$A:$C,3,FALSE)&amp;"")</f>
        <v/>
      </c>
    </row>
    <row r="1251">
      <c r="A1251" s="31" t="n">
        <v>46328.61458333334</v>
      </c>
      <c r="B1251" s="32" t="inlineStr">
        <is>
          <t>Evelyn Chavez</t>
        </is>
      </c>
      <c r="C1251" s="32" t="inlineStr">
        <is>
          <t>Maya Chavez</t>
        </is>
      </c>
      <c r="D1251" s="33" t="n">
        <v>25</v>
      </c>
      <c r="E1251" s="32" t="inlineStr">
        <is>
          <t>OneCause</t>
        </is>
      </c>
      <c r="F1251" s="34">
        <f>IF(A1251="","",IFERROR(INT(A1251),"check date"))</f>
        <v/>
      </c>
      <c r="G1251" s="35">
        <f>IF(B1251="","",IFERROR(INDEX(Students!$A:$A,MATCH(TRIM(B1251),Students!$A:$A,0)),"NOT ON LIST"))</f>
        <v/>
      </c>
      <c r="H1251" s="35">
        <f>IF(OR(G1251="",G1251="NOT ON LIST"),"",VLOOKUP(G1251,Students!$A:$C,2,FALSE))</f>
        <v/>
      </c>
      <c r="I1251" s="35">
        <f>IF(OR(G1251="",G1251="NOT ON LIST"),"",VLOOKUP(G1251,Students!$A:$C,3,FALSE)&amp;"")</f>
        <v/>
      </c>
    </row>
    <row r="1252">
      <c r="A1252" s="31" t="n">
        <v>46329.65625</v>
      </c>
      <c r="B1252" s="32" t="inlineStr">
        <is>
          <t>Mateo Martinez</t>
        </is>
      </c>
      <c r="C1252" s="32" t="inlineStr">
        <is>
          <t>Camila Martinez</t>
        </is>
      </c>
      <c r="D1252" s="33" t="n">
        <v>40</v>
      </c>
      <c r="E1252" s="32" t="inlineStr">
        <is>
          <t>OneCause</t>
        </is>
      </c>
      <c r="F1252" s="34">
        <f>IF(A1252="","",IFERROR(INT(A1252),"check date"))</f>
        <v/>
      </c>
      <c r="G1252" s="35">
        <f>IF(B1252="","",IFERROR(INDEX(Students!$A:$A,MATCH(TRIM(B1252),Students!$A:$A,0)),"NOT ON LIST"))</f>
        <v/>
      </c>
      <c r="H1252" s="35">
        <f>IF(OR(G1252="",G1252="NOT ON LIST"),"",VLOOKUP(G1252,Students!$A:$C,2,FALSE))</f>
        <v/>
      </c>
      <c r="I1252" s="35">
        <f>IF(OR(G1252="",G1252="NOT ON LIST"),"",VLOOKUP(G1252,Students!$A:$C,3,FALSE)&amp;"")</f>
        <v/>
      </c>
    </row>
    <row r="1253">
      <c r="A1253" s="31" t="n">
        <v>46331.41666666666</v>
      </c>
      <c r="B1253" s="32" t="inlineStr">
        <is>
          <t>Luna Gutierrez</t>
        </is>
      </c>
      <c r="C1253" s="32" t="inlineStr">
        <is>
          <t>Mia Gutierrez</t>
        </is>
      </c>
      <c r="D1253" s="33" t="n">
        <v>40</v>
      </c>
      <c r="E1253" s="32" t="inlineStr">
        <is>
          <t>OneCause</t>
        </is>
      </c>
      <c r="F1253" s="34">
        <f>IF(A1253="","",IFERROR(INT(A1253),"check date"))</f>
        <v/>
      </c>
      <c r="G1253" s="35">
        <f>IF(B1253="","",IFERROR(INDEX(Students!$A:$A,MATCH(TRIM(B1253),Students!$A:$A,0)),"NOT ON LIST"))</f>
        <v/>
      </c>
      <c r="H1253" s="35">
        <f>IF(OR(G1253="",G1253="NOT ON LIST"),"",VLOOKUP(G1253,Students!$A:$C,2,FALSE))</f>
        <v/>
      </c>
      <c r="I1253" s="35">
        <f>IF(OR(G1253="",G1253="NOT ON LIST"),"",VLOOKUP(G1253,Students!$A:$C,3,FALSE)&amp;"")</f>
        <v/>
      </c>
    </row>
    <row r="1254">
      <c r="A1254" s="31" t="n">
        <v>46338.76041666666</v>
      </c>
      <c r="B1254" s="32" t="inlineStr">
        <is>
          <t>Noah Mendoza</t>
        </is>
      </c>
      <c r="C1254" s="32" t="inlineStr">
        <is>
          <t>Amelia Mendoza</t>
        </is>
      </c>
      <c r="D1254" s="33" t="n">
        <v>25</v>
      </c>
      <c r="E1254" s="32" t="inlineStr">
        <is>
          <t>OneCause</t>
        </is>
      </c>
      <c r="F1254" s="34">
        <f>IF(A1254="","",IFERROR(INT(A1254),"check date"))</f>
        <v/>
      </c>
      <c r="G1254" s="35">
        <f>IF(B1254="","",IFERROR(INDEX(Students!$A:$A,MATCH(TRIM(B1254),Students!$A:$A,0)),"NOT ON LIST"))</f>
        <v/>
      </c>
      <c r="H1254" s="35">
        <f>IF(OR(G1254="",G1254="NOT ON LIST"),"",VLOOKUP(G1254,Students!$A:$C,2,FALSE))</f>
        <v/>
      </c>
      <c r="I1254" s="35">
        <f>IF(OR(G1254="",G1254="NOT ON LIST"),"",VLOOKUP(G1254,Students!$A:$C,3,FALSE)&amp;"")</f>
        <v/>
      </c>
    </row>
    <row r="1255">
      <c r="A1255" s="31" t="n"/>
      <c r="B1255" s="32" t="n"/>
      <c r="C1255" s="32" t="n"/>
      <c r="D1255" s="33" t="n"/>
      <c r="E1255" s="32" t="n"/>
      <c r="F1255" s="34">
        <f>IF(A1255="","",IFERROR(INT(A1255),"check date"))</f>
        <v/>
      </c>
      <c r="G1255" s="35">
        <f>IF(B1255="","",IFERROR(INDEX(Students!$A:$A,MATCH(TRIM(B1255),Students!$A:$A,0)),"NOT ON LIST"))</f>
        <v/>
      </c>
      <c r="H1255" s="35">
        <f>IF(OR(G1255="",G1255="NOT ON LIST"),"",VLOOKUP(G1255,Students!$A:$C,2,FALSE))</f>
        <v/>
      </c>
      <c r="I1255" s="35">
        <f>IF(OR(G1255="",G1255="NOT ON LIST"),"",VLOOKUP(G1255,Students!$A:$C,3,FALSE)&amp;"")</f>
        <v/>
      </c>
    </row>
    <row r="1256">
      <c r="A1256" s="31" t="n"/>
      <c r="B1256" s="32" t="n"/>
      <c r="C1256" s="32" t="n"/>
      <c r="D1256" s="33" t="n"/>
      <c r="E1256" s="32" t="n"/>
      <c r="F1256" s="34">
        <f>IF(A1256="","",IFERROR(INT(A1256),"check date"))</f>
        <v/>
      </c>
      <c r="G1256" s="35">
        <f>IF(B1256="","",IFERROR(INDEX(Students!$A:$A,MATCH(TRIM(B1256),Students!$A:$A,0)),"NOT ON LIST"))</f>
        <v/>
      </c>
      <c r="H1256" s="35">
        <f>IF(OR(G1256="",G1256="NOT ON LIST"),"",VLOOKUP(G1256,Students!$A:$C,2,FALSE))</f>
        <v/>
      </c>
      <c r="I1256" s="35">
        <f>IF(OR(G1256="",G1256="NOT ON LIST"),"",VLOOKUP(G1256,Students!$A:$C,3,FALSE)&amp;"")</f>
        <v/>
      </c>
    </row>
    <row r="1257">
      <c r="A1257" s="31" t="n"/>
      <c r="B1257" s="32" t="n"/>
      <c r="C1257" s="32" t="n"/>
      <c r="D1257" s="33" t="n"/>
      <c r="E1257" s="32" t="n"/>
      <c r="F1257" s="34">
        <f>IF(A1257="","",IFERROR(INT(A1257),"check date"))</f>
        <v/>
      </c>
      <c r="G1257" s="35">
        <f>IF(B1257="","",IFERROR(INDEX(Students!$A:$A,MATCH(TRIM(B1257),Students!$A:$A,0)),"NOT ON LIST"))</f>
        <v/>
      </c>
      <c r="H1257" s="35">
        <f>IF(OR(G1257="",G1257="NOT ON LIST"),"",VLOOKUP(G1257,Students!$A:$C,2,FALSE))</f>
        <v/>
      </c>
      <c r="I1257" s="35">
        <f>IF(OR(G1257="",G1257="NOT ON LIST"),"",VLOOKUP(G1257,Students!$A:$C,3,FALSE)&amp;"")</f>
        <v/>
      </c>
    </row>
    <row r="1258">
      <c r="A1258" s="31" t="n"/>
      <c r="B1258" s="32" t="n"/>
      <c r="C1258" s="32" t="n"/>
      <c r="D1258" s="33" t="n"/>
      <c r="E1258" s="32" t="n"/>
      <c r="F1258" s="34">
        <f>IF(A1258="","",IFERROR(INT(A1258),"check date"))</f>
        <v/>
      </c>
      <c r="G1258" s="35">
        <f>IF(B1258="","",IFERROR(INDEX(Students!$A:$A,MATCH(TRIM(B1258),Students!$A:$A,0)),"NOT ON LIST"))</f>
        <v/>
      </c>
      <c r="H1258" s="35">
        <f>IF(OR(G1258="",G1258="NOT ON LIST"),"",VLOOKUP(G1258,Students!$A:$C,2,FALSE))</f>
        <v/>
      </c>
      <c r="I1258" s="35">
        <f>IF(OR(G1258="",G1258="NOT ON LIST"),"",VLOOKUP(G1258,Students!$A:$C,3,FALSE)&amp;"")</f>
        <v/>
      </c>
    </row>
    <row r="1259">
      <c r="A1259" s="31" t="n"/>
      <c r="B1259" s="32" t="n"/>
      <c r="C1259" s="32" t="n"/>
      <c r="D1259" s="33" t="n"/>
      <c r="E1259" s="32" t="n"/>
      <c r="F1259" s="34">
        <f>IF(A1259="","",IFERROR(INT(A1259),"check date"))</f>
        <v/>
      </c>
      <c r="G1259" s="35">
        <f>IF(B1259="","",IFERROR(INDEX(Students!$A:$A,MATCH(TRIM(B1259),Students!$A:$A,0)),"NOT ON LIST"))</f>
        <v/>
      </c>
      <c r="H1259" s="35">
        <f>IF(OR(G1259="",G1259="NOT ON LIST"),"",VLOOKUP(G1259,Students!$A:$C,2,FALSE))</f>
        <v/>
      </c>
      <c r="I1259" s="35">
        <f>IF(OR(G1259="",G1259="NOT ON LIST"),"",VLOOKUP(G1259,Students!$A:$C,3,FALSE)&amp;"")</f>
        <v/>
      </c>
    </row>
    <row r="1260">
      <c r="A1260" s="31" t="n"/>
      <c r="B1260" s="32" t="n"/>
      <c r="C1260" s="32" t="n"/>
      <c r="D1260" s="33" t="n"/>
      <c r="E1260" s="32" t="n"/>
      <c r="F1260" s="34">
        <f>IF(A1260="","",IFERROR(INT(A1260),"check date"))</f>
        <v/>
      </c>
      <c r="G1260" s="35">
        <f>IF(B1260="","",IFERROR(INDEX(Students!$A:$A,MATCH(TRIM(B1260),Students!$A:$A,0)),"NOT ON LIST"))</f>
        <v/>
      </c>
      <c r="H1260" s="35">
        <f>IF(OR(G1260="",G1260="NOT ON LIST"),"",VLOOKUP(G1260,Students!$A:$C,2,FALSE))</f>
        <v/>
      </c>
      <c r="I1260" s="35">
        <f>IF(OR(G1260="",G1260="NOT ON LIST"),"",VLOOKUP(G1260,Students!$A:$C,3,FALSE)&amp;"")</f>
        <v/>
      </c>
    </row>
    <row r="1261">
      <c r="A1261" s="31" t="n"/>
      <c r="B1261" s="32" t="n"/>
      <c r="C1261" s="32" t="n"/>
      <c r="D1261" s="33" t="n"/>
      <c r="E1261" s="32" t="n"/>
      <c r="F1261" s="34">
        <f>IF(A1261="","",IFERROR(INT(A1261),"check date"))</f>
        <v/>
      </c>
      <c r="G1261" s="35">
        <f>IF(B1261="","",IFERROR(INDEX(Students!$A:$A,MATCH(TRIM(B1261),Students!$A:$A,0)),"NOT ON LIST"))</f>
        <v/>
      </c>
      <c r="H1261" s="35">
        <f>IF(OR(G1261="",G1261="NOT ON LIST"),"",VLOOKUP(G1261,Students!$A:$C,2,FALSE))</f>
        <v/>
      </c>
      <c r="I1261" s="35">
        <f>IF(OR(G1261="",G1261="NOT ON LIST"),"",VLOOKUP(G1261,Students!$A:$C,3,FALSE)&amp;"")</f>
        <v/>
      </c>
    </row>
    <row r="1262">
      <c r="A1262" s="31" t="n"/>
      <c r="B1262" s="32" t="n"/>
      <c r="C1262" s="32" t="n"/>
      <c r="D1262" s="33" t="n"/>
      <c r="E1262" s="32" t="n"/>
      <c r="F1262" s="34">
        <f>IF(A1262="","",IFERROR(INT(A1262),"check date"))</f>
        <v/>
      </c>
      <c r="G1262" s="35">
        <f>IF(B1262="","",IFERROR(INDEX(Students!$A:$A,MATCH(TRIM(B1262),Students!$A:$A,0)),"NOT ON LIST"))</f>
        <v/>
      </c>
      <c r="H1262" s="35">
        <f>IF(OR(G1262="",G1262="NOT ON LIST"),"",VLOOKUP(G1262,Students!$A:$C,2,FALSE))</f>
        <v/>
      </c>
      <c r="I1262" s="35">
        <f>IF(OR(G1262="",G1262="NOT ON LIST"),"",VLOOKUP(G1262,Students!$A:$C,3,FALSE)&amp;"")</f>
        <v/>
      </c>
    </row>
    <row r="1263">
      <c r="A1263" s="31" t="n"/>
      <c r="B1263" s="32" t="n"/>
      <c r="C1263" s="32" t="n"/>
      <c r="D1263" s="33" t="n"/>
      <c r="E1263" s="32" t="n"/>
      <c r="F1263" s="34">
        <f>IF(A1263="","",IFERROR(INT(A1263),"check date"))</f>
        <v/>
      </c>
      <c r="G1263" s="35">
        <f>IF(B1263="","",IFERROR(INDEX(Students!$A:$A,MATCH(TRIM(B1263),Students!$A:$A,0)),"NOT ON LIST"))</f>
        <v/>
      </c>
      <c r="H1263" s="35">
        <f>IF(OR(G1263="",G1263="NOT ON LIST"),"",VLOOKUP(G1263,Students!$A:$C,2,FALSE))</f>
        <v/>
      </c>
      <c r="I1263" s="35">
        <f>IF(OR(G1263="",G1263="NOT ON LIST"),"",VLOOKUP(G1263,Students!$A:$C,3,FALSE)&amp;"")</f>
        <v/>
      </c>
    </row>
    <row r="1264">
      <c r="A1264" s="31" t="n"/>
      <c r="B1264" s="32" t="n"/>
      <c r="C1264" s="32" t="n"/>
      <c r="D1264" s="33" t="n"/>
      <c r="E1264" s="32" t="n"/>
      <c r="F1264" s="34">
        <f>IF(A1264="","",IFERROR(INT(A1264),"check date"))</f>
        <v/>
      </c>
      <c r="G1264" s="35">
        <f>IF(B1264="","",IFERROR(INDEX(Students!$A:$A,MATCH(TRIM(B1264),Students!$A:$A,0)),"NOT ON LIST"))</f>
        <v/>
      </c>
      <c r="H1264" s="35">
        <f>IF(OR(G1264="",G1264="NOT ON LIST"),"",VLOOKUP(G1264,Students!$A:$C,2,FALSE))</f>
        <v/>
      </c>
      <c r="I1264" s="35">
        <f>IF(OR(G1264="",G1264="NOT ON LIST"),"",VLOOKUP(G1264,Students!$A:$C,3,FALSE)&amp;"")</f>
        <v/>
      </c>
    </row>
    <row r="1265">
      <c r="A1265" s="31" t="n"/>
      <c r="B1265" s="32" t="n"/>
      <c r="C1265" s="32" t="n"/>
      <c r="D1265" s="33" t="n"/>
      <c r="E1265" s="32" t="n"/>
      <c r="F1265" s="34">
        <f>IF(A1265="","",IFERROR(INT(A1265),"check date"))</f>
        <v/>
      </c>
      <c r="G1265" s="35">
        <f>IF(B1265="","",IFERROR(INDEX(Students!$A:$A,MATCH(TRIM(B1265),Students!$A:$A,0)),"NOT ON LIST"))</f>
        <v/>
      </c>
      <c r="H1265" s="35">
        <f>IF(OR(G1265="",G1265="NOT ON LIST"),"",VLOOKUP(G1265,Students!$A:$C,2,FALSE))</f>
        <v/>
      </c>
      <c r="I1265" s="35">
        <f>IF(OR(G1265="",G1265="NOT ON LIST"),"",VLOOKUP(G1265,Students!$A:$C,3,FALSE)&amp;"")</f>
        <v/>
      </c>
    </row>
    <row r="1266">
      <c r="A1266" s="31" t="n"/>
      <c r="B1266" s="32" t="n"/>
      <c r="C1266" s="32" t="n"/>
      <c r="D1266" s="33" t="n"/>
      <c r="E1266" s="32" t="n"/>
      <c r="F1266" s="34">
        <f>IF(A1266="","",IFERROR(INT(A1266),"check date"))</f>
        <v/>
      </c>
      <c r="G1266" s="35">
        <f>IF(B1266="","",IFERROR(INDEX(Students!$A:$A,MATCH(TRIM(B1266),Students!$A:$A,0)),"NOT ON LIST"))</f>
        <v/>
      </c>
      <c r="H1266" s="35">
        <f>IF(OR(G1266="",G1266="NOT ON LIST"),"",VLOOKUP(G1266,Students!$A:$C,2,FALSE))</f>
        <v/>
      </c>
      <c r="I1266" s="35">
        <f>IF(OR(G1266="",G1266="NOT ON LIST"),"",VLOOKUP(G1266,Students!$A:$C,3,FALSE)&amp;"")</f>
        <v/>
      </c>
    </row>
    <row r="1267">
      <c r="A1267" s="31" t="n"/>
      <c r="B1267" s="32" t="n"/>
      <c r="C1267" s="32" t="n"/>
      <c r="D1267" s="33" t="n"/>
      <c r="E1267" s="32" t="n"/>
      <c r="F1267" s="34">
        <f>IF(A1267="","",IFERROR(INT(A1267),"check date"))</f>
        <v/>
      </c>
      <c r="G1267" s="35">
        <f>IF(B1267="","",IFERROR(INDEX(Students!$A:$A,MATCH(TRIM(B1267),Students!$A:$A,0)),"NOT ON LIST"))</f>
        <v/>
      </c>
      <c r="H1267" s="35">
        <f>IF(OR(G1267="",G1267="NOT ON LIST"),"",VLOOKUP(G1267,Students!$A:$C,2,FALSE))</f>
        <v/>
      </c>
      <c r="I1267" s="35">
        <f>IF(OR(G1267="",G1267="NOT ON LIST"),"",VLOOKUP(G1267,Students!$A:$C,3,FALSE)&amp;"")</f>
        <v/>
      </c>
    </row>
    <row r="1268">
      <c r="A1268" s="31" t="n"/>
      <c r="B1268" s="32" t="n"/>
      <c r="C1268" s="32" t="n"/>
      <c r="D1268" s="33" t="n"/>
      <c r="E1268" s="32" t="n"/>
      <c r="F1268" s="34">
        <f>IF(A1268="","",IFERROR(INT(A1268),"check date"))</f>
        <v/>
      </c>
      <c r="G1268" s="35">
        <f>IF(B1268="","",IFERROR(INDEX(Students!$A:$A,MATCH(TRIM(B1268),Students!$A:$A,0)),"NOT ON LIST"))</f>
        <v/>
      </c>
      <c r="H1268" s="35">
        <f>IF(OR(G1268="",G1268="NOT ON LIST"),"",VLOOKUP(G1268,Students!$A:$C,2,FALSE))</f>
        <v/>
      </c>
      <c r="I1268" s="35">
        <f>IF(OR(G1268="",G1268="NOT ON LIST"),"",VLOOKUP(G1268,Students!$A:$C,3,FALSE)&amp;"")</f>
        <v/>
      </c>
    </row>
    <row r="1269">
      <c r="A1269" s="31" t="n"/>
      <c r="B1269" s="32" t="n"/>
      <c r="C1269" s="32" t="n"/>
      <c r="D1269" s="33" t="n"/>
      <c r="E1269" s="32" t="n"/>
      <c r="F1269" s="34">
        <f>IF(A1269="","",IFERROR(INT(A1269),"check date"))</f>
        <v/>
      </c>
      <c r="G1269" s="35">
        <f>IF(B1269="","",IFERROR(INDEX(Students!$A:$A,MATCH(TRIM(B1269),Students!$A:$A,0)),"NOT ON LIST"))</f>
        <v/>
      </c>
      <c r="H1269" s="35">
        <f>IF(OR(G1269="",G1269="NOT ON LIST"),"",VLOOKUP(G1269,Students!$A:$C,2,FALSE))</f>
        <v/>
      </c>
      <c r="I1269" s="35">
        <f>IF(OR(G1269="",G1269="NOT ON LIST"),"",VLOOKUP(G1269,Students!$A:$C,3,FALSE)&amp;"")</f>
        <v/>
      </c>
    </row>
    <row r="1270">
      <c r="A1270" s="31" t="n"/>
      <c r="B1270" s="32" t="n"/>
      <c r="C1270" s="32" t="n"/>
      <c r="D1270" s="33" t="n"/>
      <c r="E1270" s="32" t="n"/>
      <c r="F1270" s="34">
        <f>IF(A1270="","",IFERROR(INT(A1270),"check date"))</f>
        <v/>
      </c>
      <c r="G1270" s="35">
        <f>IF(B1270="","",IFERROR(INDEX(Students!$A:$A,MATCH(TRIM(B1270),Students!$A:$A,0)),"NOT ON LIST"))</f>
        <v/>
      </c>
      <c r="H1270" s="35">
        <f>IF(OR(G1270="",G1270="NOT ON LIST"),"",VLOOKUP(G1270,Students!$A:$C,2,FALSE))</f>
        <v/>
      </c>
      <c r="I1270" s="35">
        <f>IF(OR(G1270="",G1270="NOT ON LIST"),"",VLOOKUP(G1270,Students!$A:$C,3,FALSE)&amp;"")</f>
        <v/>
      </c>
    </row>
    <row r="1271">
      <c r="A1271" s="31" t="n"/>
      <c r="B1271" s="32" t="n"/>
      <c r="C1271" s="32" t="n"/>
      <c r="D1271" s="33" t="n"/>
      <c r="E1271" s="32" t="n"/>
      <c r="F1271" s="34">
        <f>IF(A1271="","",IFERROR(INT(A1271),"check date"))</f>
        <v/>
      </c>
      <c r="G1271" s="35">
        <f>IF(B1271="","",IFERROR(INDEX(Students!$A:$A,MATCH(TRIM(B1271),Students!$A:$A,0)),"NOT ON LIST"))</f>
        <v/>
      </c>
      <c r="H1271" s="35">
        <f>IF(OR(G1271="",G1271="NOT ON LIST"),"",VLOOKUP(G1271,Students!$A:$C,2,FALSE))</f>
        <v/>
      </c>
      <c r="I1271" s="35">
        <f>IF(OR(G1271="",G1271="NOT ON LIST"),"",VLOOKUP(G1271,Students!$A:$C,3,FALSE)&amp;"")</f>
        <v/>
      </c>
    </row>
    <row r="1272">
      <c r="A1272" s="31" t="n"/>
      <c r="B1272" s="32" t="n"/>
      <c r="C1272" s="32" t="n"/>
      <c r="D1272" s="33" t="n"/>
      <c r="E1272" s="32" t="n"/>
      <c r="F1272" s="34">
        <f>IF(A1272="","",IFERROR(INT(A1272),"check date"))</f>
        <v/>
      </c>
      <c r="G1272" s="35">
        <f>IF(B1272="","",IFERROR(INDEX(Students!$A:$A,MATCH(TRIM(B1272),Students!$A:$A,0)),"NOT ON LIST"))</f>
        <v/>
      </c>
      <c r="H1272" s="35">
        <f>IF(OR(G1272="",G1272="NOT ON LIST"),"",VLOOKUP(G1272,Students!$A:$C,2,FALSE))</f>
        <v/>
      </c>
      <c r="I1272" s="35">
        <f>IF(OR(G1272="",G1272="NOT ON LIST"),"",VLOOKUP(G1272,Students!$A:$C,3,FALSE)&amp;"")</f>
        <v/>
      </c>
    </row>
    <row r="1273">
      <c r="A1273" s="31" t="n"/>
      <c r="B1273" s="32" t="n"/>
      <c r="C1273" s="32" t="n"/>
      <c r="D1273" s="33" t="n"/>
      <c r="E1273" s="32" t="n"/>
      <c r="F1273" s="34">
        <f>IF(A1273="","",IFERROR(INT(A1273),"check date"))</f>
        <v/>
      </c>
      <c r="G1273" s="35">
        <f>IF(B1273="","",IFERROR(INDEX(Students!$A:$A,MATCH(TRIM(B1273),Students!$A:$A,0)),"NOT ON LIST"))</f>
        <v/>
      </c>
      <c r="H1273" s="35">
        <f>IF(OR(G1273="",G1273="NOT ON LIST"),"",VLOOKUP(G1273,Students!$A:$C,2,FALSE))</f>
        <v/>
      </c>
      <c r="I1273" s="35">
        <f>IF(OR(G1273="",G1273="NOT ON LIST"),"",VLOOKUP(G1273,Students!$A:$C,3,FALSE)&amp;"")</f>
        <v/>
      </c>
    </row>
    <row r="1274">
      <c r="A1274" s="31" t="n"/>
      <c r="B1274" s="32" t="n"/>
      <c r="C1274" s="32" t="n"/>
      <c r="D1274" s="33" t="n"/>
      <c r="E1274" s="32" t="n"/>
      <c r="F1274" s="34">
        <f>IF(A1274="","",IFERROR(INT(A1274),"check date"))</f>
        <v/>
      </c>
      <c r="G1274" s="35">
        <f>IF(B1274="","",IFERROR(INDEX(Students!$A:$A,MATCH(TRIM(B1274),Students!$A:$A,0)),"NOT ON LIST"))</f>
        <v/>
      </c>
      <c r="H1274" s="35">
        <f>IF(OR(G1274="",G1274="NOT ON LIST"),"",VLOOKUP(G1274,Students!$A:$C,2,FALSE))</f>
        <v/>
      </c>
      <c r="I1274" s="35">
        <f>IF(OR(G1274="",G1274="NOT ON LIST"),"",VLOOKUP(G1274,Students!$A:$C,3,FALSE)&amp;"")</f>
        <v/>
      </c>
    </row>
    <row r="1275">
      <c r="A1275" s="31" t="n"/>
      <c r="B1275" s="32" t="n"/>
      <c r="C1275" s="32" t="n"/>
      <c r="D1275" s="33" t="n"/>
      <c r="E1275" s="32" t="n"/>
      <c r="F1275" s="34">
        <f>IF(A1275="","",IFERROR(INT(A1275),"check date"))</f>
        <v/>
      </c>
      <c r="G1275" s="35">
        <f>IF(B1275="","",IFERROR(INDEX(Students!$A:$A,MATCH(TRIM(B1275),Students!$A:$A,0)),"NOT ON LIST"))</f>
        <v/>
      </c>
      <c r="H1275" s="35">
        <f>IF(OR(G1275="",G1275="NOT ON LIST"),"",VLOOKUP(G1275,Students!$A:$C,2,FALSE))</f>
        <v/>
      </c>
      <c r="I1275" s="35">
        <f>IF(OR(G1275="",G1275="NOT ON LIST"),"",VLOOKUP(G1275,Students!$A:$C,3,FALSE)&amp;"")</f>
        <v/>
      </c>
    </row>
    <row r="1276">
      <c r="A1276" s="31" t="n"/>
      <c r="B1276" s="32" t="n"/>
      <c r="C1276" s="32" t="n"/>
      <c r="D1276" s="33" t="n"/>
      <c r="E1276" s="32" t="n"/>
      <c r="F1276" s="34">
        <f>IF(A1276="","",IFERROR(INT(A1276),"check date"))</f>
        <v/>
      </c>
      <c r="G1276" s="35">
        <f>IF(B1276="","",IFERROR(INDEX(Students!$A:$A,MATCH(TRIM(B1276),Students!$A:$A,0)),"NOT ON LIST"))</f>
        <v/>
      </c>
      <c r="H1276" s="35">
        <f>IF(OR(G1276="",G1276="NOT ON LIST"),"",VLOOKUP(G1276,Students!$A:$C,2,FALSE))</f>
        <v/>
      </c>
      <c r="I1276" s="35">
        <f>IF(OR(G1276="",G1276="NOT ON LIST"),"",VLOOKUP(G1276,Students!$A:$C,3,FALSE)&amp;"")</f>
        <v/>
      </c>
    </row>
    <row r="1277">
      <c r="A1277" s="31" t="n"/>
      <c r="B1277" s="32" t="n"/>
      <c r="C1277" s="32" t="n"/>
      <c r="D1277" s="33" t="n"/>
      <c r="E1277" s="32" t="n"/>
      <c r="F1277" s="34">
        <f>IF(A1277="","",IFERROR(INT(A1277),"check date"))</f>
        <v/>
      </c>
      <c r="G1277" s="35">
        <f>IF(B1277="","",IFERROR(INDEX(Students!$A:$A,MATCH(TRIM(B1277),Students!$A:$A,0)),"NOT ON LIST"))</f>
        <v/>
      </c>
      <c r="H1277" s="35">
        <f>IF(OR(G1277="",G1277="NOT ON LIST"),"",VLOOKUP(G1277,Students!$A:$C,2,FALSE))</f>
        <v/>
      </c>
      <c r="I1277" s="35">
        <f>IF(OR(G1277="",G1277="NOT ON LIST"),"",VLOOKUP(G1277,Students!$A:$C,3,FALSE)&amp;"")</f>
        <v/>
      </c>
    </row>
    <row r="1278">
      <c r="A1278" s="31" t="n"/>
      <c r="B1278" s="32" t="n"/>
      <c r="C1278" s="32" t="n"/>
      <c r="D1278" s="33" t="n"/>
      <c r="E1278" s="32" t="n"/>
      <c r="F1278" s="34">
        <f>IF(A1278="","",IFERROR(INT(A1278),"check date"))</f>
        <v/>
      </c>
      <c r="G1278" s="35">
        <f>IF(B1278="","",IFERROR(INDEX(Students!$A:$A,MATCH(TRIM(B1278),Students!$A:$A,0)),"NOT ON LIST"))</f>
        <v/>
      </c>
      <c r="H1278" s="35">
        <f>IF(OR(G1278="",G1278="NOT ON LIST"),"",VLOOKUP(G1278,Students!$A:$C,2,FALSE))</f>
        <v/>
      </c>
      <c r="I1278" s="35">
        <f>IF(OR(G1278="",G1278="NOT ON LIST"),"",VLOOKUP(G1278,Students!$A:$C,3,FALSE)&amp;"")</f>
        <v/>
      </c>
    </row>
    <row r="1279">
      <c r="A1279" s="31" t="n"/>
      <c r="B1279" s="32" t="n"/>
      <c r="C1279" s="32" t="n"/>
      <c r="D1279" s="33" t="n"/>
      <c r="E1279" s="32" t="n"/>
      <c r="F1279" s="34">
        <f>IF(A1279="","",IFERROR(INT(A1279),"check date"))</f>
        <v/>
      </c>
      <c r="G1279" s="35">
        <f>IF(B1279="","",IFERROR(INDEX(Students!$A:$A,MATCH(TRIM(B1279),Students!$A:$A,0)),"NOT ON LIST"))</f>
        <v/>
      </c>
      <c r="H1279" s="35">
        <f>IF(OR(G1279="",G1279="NOT ON LIST"),"",VLOOKUP(G1279,Students!$A:$C,2,FALSE))</f>
        <v/>
      </c>
      <c r="I1279" s="35">
        <f>IF(OR(G1279="",G1279="NOT ON LIST"),"",VLOOKUP(G1279,Students!$A:$C,3,FALSE)&amp;"")</f>
        <v/>
      </c>
    </row>
    <row r="1280">
      <c r="A1280" s="31" t="n"/>
      <c r="B1280" s="32" t="n"/>
      <c r="C1280" s="32" t="n"/>
      <c r="D1280" s="33" t="n"/>
      <c r="E1280" s="32" t="n"/>
      <c r="F1280" s="34">
        <f>IF(A1280="","",IFERROR(INT(A1280),"check date"))</f>
        <v/>
      </c>
      <c r="G1280" s="35">
        <f>IF(B1280="","",IFERROR(INDEX(Students!$A:$A,MATCH(TRIM(B1280),Students!$A:$A,0)),"NOT ON LIST"))</f>
        <v/>
      </c>
      <c r="H1280" s="35">
        <f>IF(OR(G1280="",G1280="NOT ON LIST"),"",VLOOKUP(G1280,Students!$A:$C,2,FALSE))</f>
        <v/>
      </c>
      <c r="I1280" s="35">
        <f>IF(OR(G1280="",G1280="NOT ON LIST"),"",VLOOKUP(G1280,Students!$A:$C,3,FALSE)&amp;"")</f>
        <v/>
      </c>
    </row>
    <row r="1281">
      <c r="A1281" s="31" t="n"/>
      <c r="B1281" s="32" t="n"/>
      <c r="C1281" s="32" t="n"/>
      <c r="D1281" s="33" t="n"/>
      <c r="E1281" s="32" t="n"/>
      <c r="F1281" s="34">
        <f>IF(A1281="","",IFERROR(INT(A1281),"check date"))</f>
        <v/>
      </c>
      <c r="G1281" s="35">
        <f>IF(B1281="","",IFERROR(INDEX(Students!$A:$A,MATCH(TRIM(B1281),Students!$A:$A,0)),"NOT ON LIST"))</f>
        <v/>
      </c>
      <c r="H1281" s="35">
        <f>IF(OR(G1281="",G1281="NOT ON LIST"),"",VLOOKUP(G1281,Students!$A:$C,2,FALSE))</f>
        <v/>
      </c>
      <c r="I1281" s="35">
        <f>IF(OR(G1281="",G1281="NOT ON LIST"),"",VLOOKUP(G1281,Students!$A:$C,3,FALSE)&amp;"")</f>
        <v/>
      </c>
    </row>
    <row r="1282">
      <c r="A1282" s="31" t="n"/>
      <c r="B1282" s="32" t="n"/>
      <c r="C1282" s="32" t="n"/>
      <c r="D1282" s="33" t="n"/>
      <c r="E1282" s="32" t="n"/>
      <c r="F1282" s="34">
        <f>IF(A1282="","",IFERROR(INT(A1282),"check date"))</f>
        <v/>
      </c>
      <c r="G1282" s="35">
        <f>IF(B1282="","",IFERROR(INDEX(Students!$A:$A,MATCH(TRIM(B1282),Students!$A:$A,0)),"NOT ON LIST"))</f>
        <v/>
      </c>
      <c r="H1282" s="35">
        <f>IF(OR(G1282="",G1282="NOT ON LIST"),"",VLOOKUP(G1282,Students!$A:$C,2,FALSE))</f>
        <v/>
      </c>
      <c r="I1282" s="35">
        <f>IF(OR(G1282="",G1282="NOT ON LIST"),"",VLOOKUP(G1282,Students!$A:$C,3,FALSE)&amp;"")</f>
        <v/>
      </c>
    </row>
    <row r="1283">
      <c r="A1283" s="31" t="n"/>
      <c r="B1283" s="32" t="n"/>
      <c r="C1283" s="32" t="n"/>
      <c r="D1283" s="33" t="n"/>
      <c r="E1283" s="32" t="n"/>
      <c r="F1283" s="34">
        <f>IF(A1283="","",IFERROR(INT(A1283),"check date"))</f>
        <v/>
      </c>
      <c r="G1283" s="35">
        <f>IF(B1283="","",IFERROR(INDEX(Students!$A:$A,MATCH(TRIM(B1283),Students!$A:$A,0)),"NOT ON LIST"))</f>
        <v/>
      </c>
      <c r="H1283" s="35">
        <f>IF(OR(G1283="",G1283="NOT ON LIST"),"",VLOOKUP(G1283,Students!$A:$C,2,FALSE))</f>
        <v/>
      </c>
      <c r="I1283" s="35">
        <f>IF(OR(G1283="",G1283="NOT ON LIST"),"",VLOOKUP(G1283,Students!$A:$C,3,FALSE)&amp;"")</f>
        <v/>
      </c>
    </row>
    <row r="1284">
      <c r="A1284" s="31" t="n"/>
      <c r="B1284" s="32" t="n"/>
      <c r="C1284" s="32" t="n"/>
      <c r="D1284" s="33" t="n"/>
      <c r="E1284" s="32" t="n"/>
      <c r="F1284" s="34">
        <f>IF(A1284="","",IFERROR(INT(A1284),"check date"))</f>
        <v/>
      </c>
      <c r="G1284" s="35">
        <f>IF(B1284="","",IFERROR(INDEX(Students!$A:$A,MATCH(TRIM(B1284),Students!$A:$A,0)),"NOT ON LIST"))</f>
        <v/>
      </c>
      <c r="H1284" s="35">
        <f>IF(OR(G1284="",G1284="NOT ON LIST"),"",VLOOKUP(G1284,Students!$A:$C,2,FALSE))</f>
        <v/>
      </c>
      <c r="I1284" s="35">
        <f>IF(OR(G1284="",G1284="NOT ON LIST"),"",VLOOKUP(G1284,Students!$A:$C,3,FALSE)&amp;"")</f>
        <v/>
      </c>
    </row>
    <row r="1285">
      <c r="A1285" s="31" t="n"/>
      <c r="B1285" s="32" t="n"/>
      <c r="C1285" s="32" t="n"/>
      <c r="D1285" s="33" t="n"/>
      <c r="E1285" s="32" t="n"/>
      <c r="F1285" s="34">
        <f>IF(A1285="","",IFERROR(INT(A1285),"check date"))</f>
        <v/>
      </c>
      <c r="G1285" s="35">
        <f>IF(B1285="","",IFERROR(INDEX(Students!$A:$A,MATCH(TRIM(B1285),Students!$A:$A,0)),"NOT ON LIST"))</f>
        <v/>
      </c>
      <c r="H1285" s="35">
        <f>IF(OR(G1285="",G1285="NOT ON LIST"),"",VLOOKUP(G1285,Students!$A:$C,2,FALSE))</f>
        <v/>
      </c>
      <c r="I1285" s="35">
        <f>IF(OR(G1285="",G1285="NOT ON LIST"),"",VLOOKUP(G1285,Students!$A:$C,3,FALSE)&amp;"")</f>
        <v/>
      </c>
    </row>
    <row r="1286">
      <c r="A1286" s="31" t="n"/>
      <c r="B1286" s="32" t="n"/>
      <c r="C1286" s="32" t="n"/>
      <c r="D1286" s="33" t="n"/>
      <c r="E1286" s="32" t="n"/>
      <c r="F1286" s="34">
        <f>IF(A1286="","",IFERROR(INT(A1286),"check date"))</f>
        <v/>
      </c>
      <c r="G1286" s="35">
        <f>IF(B1286="","",IFERROR(INDEX(Students!$A:$A,MATCH(TRIM(B1286),Students!$A:$A,0)),"NOT ON LIST"))</f>
        <v/>
      </c>
      <c r="H1286" s="35">
        <f>IF(OR(G1286="",G1286="NOT ON LIST"),"",VLOOKUP(G1286,Students!$A:$C,2,FALSE))</f>
        <v/>
      </c>
      <c r="I1286" s="35">
        <f>IF(OR(G1286="",G1286="NOT ON LIST"),"",VLOOKUP(G1286,Students!$A:$C,3,FALSE)&amp;"")</f>
        <v/>
      </c>
    </row>
    <row r="1287">
      <c r="A1287" s="31" t="n"/>
      <c r="B1287" s="32" t="n"/>
      <c r="C1287" s="32" t="n"/>
      <c r="D1287" s="33" t="n"/>
      <c r="E1287" s="32" t="n"/>
      <c r="F1287" s="34">
        <f>IF(A1287="","",IFERROR(INT(A1287),"check date"))</f>
        <v/>
      </c>
      <c r="G1287" s="35">
        <f>IF(B1287="","",IFERROR(INDEX(Students!$A:$A,MATCH(TRIM(B1287),Students!$A:$A,0)),"NOT ON LIST"))</f>
        <v/>
      </c>
      <c r="H1287" s="35">
        <f>IF(OR(G1287="",G1287="NOT ON LIST"),"",VLOOKUP(G1287,Students!$A:$C,2,FALSE))</f>
        <v/>
      </c>
      <c r="I1287" s="35">
        <f>IF(OR(G1287="",G1287="NOT ON LIST"),"",VLOOKUP(G1287,Students!$A:$C,3,FALSE)&amp;"")</f>
        <v/>
      </c>
    </row>
    <row r="1288">
      <c r="A1288" s="31" t="n"/>
      <c r="B1288" s="32" t="n"/>
      <c r="C1288" s="32" t="n"/>
      <c r="D1288" s="33" t="n"/>
      <c r="E1288" s="32" t="n"/>
      <c r="F1288" s="34">
        <f>IF(A1288="","",IFERROR(INT(A1288),"check date"))</f>
        <v/>
      </c>
      <c r="G1288" s="35">
        <f>IF(B1288="","",IFERROR(INDEX(Students!$A:$A,MATCH(TRIM(B1288),Students!$A:$A,0)),"NOT ON LIST"))</f>
        <v/>
      </c>
      <c r="H1288" s="35">
        <f>IF(OR(G1288="",G1288="NOT ON LIST"),"",VLOOKUP(G1288,Students!$A:$C,2,FALSE))</f>
        <v/>
      </c>
      <c r="I1288" s="35">
        <f>IF(OR(G1288="",G1288="NOT ON LIST"),"",VLOOKUP(G1288,Students!$A:$C,3,FALSE)&amp;"")</f>
        <v/>
      </c>
    </row>
    <row r="1289">
      <c r="A1289" s="31" t="n"/>
      <c r="B1289" s="32" t="n"/>
      <c r="C1289" s="32" t="n"/>
      <c r="D1289" s="33" t="n"/>
      <c r="E1289" s="32" t="n"/>
      <c r="F1289" s="34">
        <f>IF(A1289="","",IFERROR(INT(A1289),"check date"))</f>
        <v/>
      </c>
      <c r="G1289" s="35">
        <f>IF(B1289="","",IFERROR(INDEX(Students!$A:$A,MATCH(TRIM(B1289),Students!$A:$A,0)),"NOT ON LIST"))</f>
        <v/>
      </c>
      <c r="H1289" s="35">
        <f>IF(OR(G1289="",G1289="NOT ON LIST"),"",VLOOKUP(G1289,Students!$A:$C,2,FALSE))</f>
        <v/>
      </c>
      <c r="I1289" s="35">
        <f>IF(OR(G1289="",G1289="NOT ON LIST"),"",VLOOKUP(G1289,Students!$A:$C,3,FALSE)&amp;"")</f>
        <v/>
      </c>
    </row>
    <row r="1290">
      <c r="A1290" s="31" t="n"/>
      <c r="B1290" s="32" t="n"/>
      <c r="C1290" s="32" t="n"/>
      <c r="D1290" s="33" t="n"/>
      <c r="E1290" s="32" t="n"/>
      <c r="F1290" s="34">
        <f>IF(A1290="","",IFERROR(INT(A1290),"check date"))</f>
        <v/>
      </c>
      <c r="G1290" s="35">
        <f>IF(B1290="","",IFERROR(INDEX(Students!$A:$A,MATCH(TRIM(B1290),Students!$A:$A,0)),"NOT ON LIST"))</f>
        <v/>
      </c>
      <c r="H1290" s="35">
        <f>IF(OR(G1290="",G1290="NOT ON LIST"),"",VLOOKUP(G1290,Students!$A:$C,2,FALSE))</f>
        <v/>
      </c>
      <c r="I1290" s="35">
        <f>IF(OR(G1290="",G1290="NOT ON LIST"),"",VLOOKUP(G1290,Students!$A:$C,3,FALSE)&amp;"")</f>
        <v/>
      </c>
    </row>
    <row r="1291">
      <c r="A1291" s="31" t="n"/>
      <c r="B1291" s="32" t="n"/>
      <c r="C1291" s="32" t="n"/>
      <c r="D1291" s="33" t="n"/>
      <c r="E1291" s="32" t="n"/>
      <c r="F1291" s="34">
        <f>IF(A1291="","",IFERROR(INT(A1291),"check date"))</f>
        <v/>
      </c>
      <c r="G1291" s="35">
        <f>IF(B1291="","",IFERROR(INDEX(Students!$A:$A,MATCH(TRIM(B1291),Students!$A:$A,0)),"NOT ON LIST"))</f>
        <v/>
      </c>
      <c r="H1291" s="35">
        <f>IF(OR(G1291="",G1291="NOT ON LIST"),"",VLOOKUP(G1291,Students!$A:$C,2,FALSE))</f>
        <v/>
      </c>
      <c r="I1291" s="35">
        <f>IF(OR(G1291="",G1291="NOT ON LIST"),"",VLOOKUP(G1291,Students!$A:$C,3,FALSE)&amp;"")</f>
        <v/>
      </c>
    </row>
    <row r="1292">
      <c r="A1292" s="31" t="n"/>
      <c r="B1292" s="32" t="n"/>
      <c r="C1292" s="32" t="n"/>
      <c r="D1292" s="33" t="n"/>
      <c r="E1292" s="32" t="n"/>
      <c r="F1292" s="34">
        <f>IF(A1292="","",IFERROR(INT(A1292),"check date"))</f>
        <v/>
      </c>
      <c r="G1292" s="35">
        <f>IF(B1292="","",IFERROR(INDEX(Students!$A:$A,MATCH(TRIM(B1292),Students!$A:$A,0)),"NOT ON LIST"))</f>
        <v/>
      </c>
      <c r="H1292" s="35">
        <f>IF(OR(G1292="",G1292="NOT ON LIST"),"",VLOOKUP(G1292,Students!$A:$C,2,FALSE))</f>
        <v/>
      </c>
      <c r="I1292" s="35">
        <f>IF(OR(G1292="",G1292="NOT ON LIST"),"",VLOOKUP(G1292,Students!$A:$C,3,FALSE)&amp;"")</f>
        <v/>
      </c>
    </row>
    <row r="1293">
      <c r="A1293" s="31" t="n"/>
      <c r="B1293" s="32" t="n"/>
      <c r="C1293" s="32" t="n"/>
      <c r="D1293" s="33" t="n"/>
      <c r="E1293" s="32" t="n"/>
      <c r="F1293" s="34">
        <f>IF(A1293="","",IFERROR(INT(A1293),"check date"))</f>
        <v/>
      </c>
      <c r="G1293" s="35">
        <f>IF(B1293="","",IFERROR(INDEX(Students!$A:$A,MATCH(TRIM(B1293),Students!$A:$A,0)),"NOT ON LIST"))</f>
        <v/>
      </c>
      <c r="H1293" s="35">
        <f>IF(OR(G1293="",G1293="NOT ON LIST"),"",VLOOKUP(G1293,Students!$A:$C,2,FALSE))</f>
        <v/>
      </c>
      <c r="I1293" s="35">
        <f>IF(OR(G1293="",G1293="NOT ON LIST"),"",VLOOKUP(G1293,Students!$A:$C,3,FALSE)&amp;"")</f>
        <v/>
      </c>
    </row>
    <row r="1294">
      <c r="A1294" s="31" t="n"/>
      <c r="B1294" s="32" t="n"/>
      <c r="C1294" s="32" t="n"/>
      <c r="D1294" s="33" t="n"/>
      <c r="E1294" s="32" t="n"/>
      <c r="F1294" s="34">
        <f>IF(A1294="","",IFERROR(INT(A1294),"check date"))</f>
        <v/>
      </c>
      <c r="G1294" s="35">
        <f>IF(B1294="","",IFERROR(INDEX(Students!$A:$A,MATCH(TRIM(B1294),Students!$A:$A,0)),"NOT ON LIST"))</f>
        <v/>
      </c>
      <c r="H1294" s="35">
        <f>IF(OR(G1294="",G1294="NOT ON LIST"),"",VLOOKUP(G1294,Students!$A:$C,2,FALSE))</f>
        <v/>
      </c>
      <c r="I1294" s="35">
        <f>IF(OR(G1294="",G1294="NOT ON LIST"),"",VLOOKUP(G1294,Students!$A:$C,3,FALSE)&amp;"")</f>
        <v/>
      </c>
    </row>
    <row r="1295">
      <c r="A1295" s="31" t="n"/>
      <c r="B1295" s="32" t="n"/>
      <c r="C1295" s="32" t="n"/>
      <c r="D1295" s="33" t="n"/>
      <c r="E1295" s="32" t="n"/>
      <c r="F1295" s="34">
        <f>IF(A1295="","",IFERROR(INT(A1295),"check date"))</f>
        <v/>
      </c>
      <c r="G1295" s="35">
        <f>IF(B1295="","",IFERROR(INDEX(Students!$A:$A,MATCH(TRIM(B1295),Students!$A:$A,0)),"NOT ON LIST"))</f>
        <v/>
      </c>
      <c r="H1295" s="35">
        <f>IF(OR(G1295="",G1295="NOT ON LIST"),"",VLOOKUP(G1295,Students!$A:$C,2,FALSE))</f>
        <v/>
      </c>
      <c r="I1295" s="35">
        <f>IF(OR(G1295="",G1295="NOT ON LIST"),"",VLOOKUP(G1295,Students!$A:$C,3,FALSE)&amp;"")</f>
        <v/>
      </c>
    </row>
    <row r="1296">
      <c r="A1296" s="31" t="n"/>
      <c r="B1296" s="32" t="n"/>
      <c r="C1296" s="32" t="n"/>
      <c r="D1296" s="33" t="n"/>
      <c r="E1296" s="32" t="n"/>
      <c r="F1296" s="34">
        <f>IF(A1296="","",IFERROR(INT(A1296),"check date"))</f>
        <v/>
      </c>
      <c r="G1296" s="35">
        <f>IF(B1296="","",IFERROR(INDEX(Students!$A:$A,MATCH(TRIM(B1296),Students!$A:$A,0)),"NOT ON LIST"))</f>
        <v/>
      </c>
      <c r="H1296" s="35">
        <f>IF(OR(G1296="",G1296="NOT ON LIST"),"",VLOOKUP(G1296,Students!$A:$C,2,FALSE))</f>
        <v/>
      </c>
      <c r="I1296" s="35">
        <f>IF(OR(G1296="",G1296="NOT ON LIST"),"",VLOOKUP(G1296,Students!$A:$C,3,FALSE)&amp;"")</f>
        <v/>
      </c>
    </row>
    <row r="1297">
      <c r="A1297" s="31" t="n"/>
      <c r="B1297" s="32" t="n"/>
      <c r="C1297" s="32" t="n"/>
      <c r="D1297" s="33" t="n"/>
      <c r="E1297" s="32" t="n"/>
      <c r="F1297" s="34">
        <f>IF(A1297="","",IFERROR(INT(A1297),"check date"))</f>
        <v/>
      </c>
      <c r="G1297" s="35">
        <f>IF(B1297="","",IFERROR(INDEX(Students!$A:$A,MATCH(TRIM(B1297),Students!$A:$A,0)),"NOT ON LIST"))</f>
        <v/>
      </c>
      <c r="H1297" s="35">
        <f>IF(OR(G1297="",G1297="NOT ON LIST"),"",VLOOKUP(G1297,Students!$A:$C,2,FALSE))</f>
        <v/>
      </c>
      <c r="I1297" s="35">
        <f>IF(OR(G1297="",G1297="NOT ON LIST"),"",VLOOKUP(G1297,Students!$A:$C,3,FALSE)&amp;"")</f>
        <v/>
      </c>
    </row>
    <row r="1298">
      <c r="A1298" s="31" t="n"/>
      <c r="B1298" s="32" t="n"/>
      <c r="C1298" s="32" t="n"/>
      <c r="D1298" s="33" t="n"/>
      <c r="E1298" s="32" t="n"/>
      <c r="F1298" s="34">
        <f>IF(A1298="","",IFERROR(INT(A1298),"check date"))</f>
        <v/>
      </c>
      <c r="G1298" s="35">
        <f>IF(B1298="","",IFERROR(INDEX(Students!$A:$A,MATCH(TRIM(B1298),Students!$A:$A,0)),"NOT ON LIST"))</f>
        <v/>
      </c>
      <c r="H1298" s="35">
        <f>IF(OR(G1298="",G1298="NOT ON LIST"),"",VLOOKUP(G1298,Students!$A:$C,2,FALSE))</f>
        <v/>
      </c>
      <c r="I1298" s="35">
        <f>IF(OR(G1298="",G1298="NOT ON LIST"),"",VLOOKUP(G1298,Students!$A:$C,3,FALSE)&amp;"")</f>
        <v/>
      </c>
    </row>
    <row r="1299">
      <c r="A1299" s="31" t="n"/>
      <c r="B1299" s="32" t="n"/>
      <c r="C1299" s="32" t="n"/>
      <c r="D1299" s="33" t="n"/>
      <c r="E1299" s="32" t="n"/>
      <c r="F1299" s="34">
        <f>IF(A1299="","",IFERROR(INT(A1299),"check date"))</f>
        <v/>
      </c>
      <c r="G1299" s="35">
        <f>IF(B1299="","",IFERROR(INDEX(Students!$A:$A,MATCH(TRIM(B1299),Students!$A:$A,0)),"NOT ON LIST"))</f>
        <v/>
      </c>
      <c r="H1299" s="35">
        <f>IF(OR(G1299="",G1299="NOT ON LIST"),"",VLOOKUP(G1299,Students!$A:$C,2,FALSE))</f>
        <v/>
      </c>
      <c r="I1299" s="35">
        <f>IF(OR(G1299="",G1299="NOT ON LIST"),"",VLOOKUP(G1299,Students!$A:$C,3,FALSE)&amp;"")</f>
        <v/>
      </c>
    </row>
    <row r="1300">
      <c r="A1300" s="31" t="n"/>
      <c r="B1300" s="32" t="n"/>
      <c r="C1300" s="32" t="n"/>
      <c r="D1300" s="33" t="n"/>
      <c r="E1300" s="32" t="n"/>
      <c r="F1300" s="34">
        <f>IF(A1300="","",IFERROR(INT(A1300),"check date"))</f>
        <v/>
      </c>
      <c r="G1300" s="35">
        <f>IF(B1300="","",IFERROR(INDEX(Students!$A:$A,MATCH(TRIM(B1300),Students!$A:$A,0)),"NOT ON LIST"))</f>
        <v/>
      </c>
      <c r="H1300" s="35">
        <f>IF(OR(G1300="",G1300="NOT ON LIST"),"",VLOOKUP(G1300,Students!$A:$C,2,FALSE))</f>
        <v/>
      </c>
      <c r="I1300" s="35">
        <f>IF(OR(G1300="",G1300="NOT ON LIST"),"",VLOOKUP(G1300,Students!$A:$C,3,FALSE)&amp;"")</f>
        <v/>
      </c>
    </row>
    <row r="1301">
      <c r="A1301" s="31" t="n"/>
      <c r="B1301" s="32" t="n"/>
      <c r="C1301" s="32" t="n"/>
      <c r="D1301" s="33" t="n"/>
      <c r="E1301" s="32" t="n"/>
      <c r="F1301" s="34">
        <f>IF(A1301="","",IFERROR(INT(A1301),"check date"))</f>
        <v/>
      </c>
      <c r="G1301" s="35">
        <f>IF(B1301="","",IFERROR(INDEX(Students!$A:$A,MATCH(TRIM(B1301),Students!$A:$A,0)),"NOT ON LIST"))</f>
        <v/>
      </c>
      <c r="H1301" s="35">
        <f>IF(OR(G1301="",G1301="NOT ON LIST"),"",VLOOKUP(G1301,Students!$A:$C,2,FALSE))</f>
        <v/>
      </c>
      <c r="I1301" s="35">
        <f>IF(OR(G1301="",G1301="NOT ON LIST"),"",VLOOKUP(G1301,Students!$A:$C,3,FALSE)&amp;"")</f>
        <v/>
      </c>
    </row>
    <row r="1302">
      <c r="A1302" s="31" t="n"/>
      <c r="B1302" s="32" t="n"/>
      <c r="C1302" s="32" t="n"/>
      <c r="D1302" s="33" t="n"/>
      <c r="E1302" s="32" t="n"/>
      <c r="F1302" s="34">
        <f>IF(A1302="","",IFERROR(INT(A1302),"check date"))</f>
        <v/>
      </c>
      <c r="G1302" s="35">
        <f>IF(B1302="","",IFERROR(INDEX(Students!$A:$A,MATCH(TRIM(B1302),Students!$A:$A,0)),"NOT ON LIST"))</f>
        <v/>
      </c>
      <c r="H1302" s="35">
        <f>IF(OR(G1302="",G1302="NOT ON LIST"),"",VLOOKUP(G1302,Students!$A:$C,2,FALSE))</f>
        <v/>
      </c>
      <c r="I1302" s="35">
        <f>IF(OR(G1302="",G1302="NOT ON LIST"),"",VLOOKUP(G1302,Students!$A:$C,3,FALSE)&amp;"")</f>
        <v/>
      </c>
    </row>
    <row r="1303">
      <c r="A1303" s="31" t="n"/>
      <c r="B1303" s="32" t="n"/>
      <c r="C1303" s="32" t="n"/>
      <c r="D1303" s="33" t="n"/>
      <c r="E1303" s="32" t="n"/>
      <c r="F1303" s="34">
        <f>IF(A1303="","",IFERROR(INT(A1303),"check date"))</f>
        <v/>
      </c>
      <c r="G1303" s="35">
        <f>IF(B1303="","",IFERROR(INDEX(Students!$A:$A,MATCH(TRIM(B1303),Students!$A:$A,0)),"NOT ON LIST"))</f>
        <v/>
      </c>
      <c r="H1303" s="35">
        <f>IF(OR(G1303="",G1303="NOT ON LIST"),"",VLOOKUP(G1303,Students!$A:$C,2,FALSE))</f>
        <v/>
      </c>
      <c r="I1303" s="35">
        <f>IF(OR(G1303="",G1303="NOT ON LIST"),"",VLOOKUP(G1303,Students!$A:$C,3,FALSE)&amp;"")</f>
        <v/>
      </c>
    </row>
    <row r="1304">
      <c r="A1304" s="31" t="n"/>
      <c r="B1304" s="32" t="n"/>
      <c r="C1304" s="32" t="n"/>
      <c r="D1304" s="33" t="n"/>
      <c r="E1304" s="32" t="n"/>
      <c r="F1304" s="34">
        <f>IF(A1304="","",IFERROR(INT(A1304),"check date"))</f>
        <v/>
      </c>
      <c r="G1304" s="35">
        <f>IF(B1304="","",IFERROR(INDEX(Students!$A:$A,MATCH(TRIM(B1304),Students!$A:$A,0)),"NOT ON LIST"))</f>
        <v/>
      </c>
      <c r="H1304" s="35">
        <f>IF(OR(G1304="",G1304="NOT ON LIST"),"",VLOOKUP(G1304,Students!$A:$C,2,FALSE))</f>
        <v/>
      </c>
      <c r="I1304" s="35">
        <f>IF(OR(G1304="",G1304="NOT ON LIST"),"",VLOOKUP(G1304,Students!$A:$C,3,FALSE)&amp;"")</f>
        <v/>
      </c>
    </row>
    <row r="1305">
      <c r="A1305" s="31" t="n"/>
      <c r="B1305" s="32" t="n"/>
      <c r="C1305" s="32" t="n"/>
      <c r="D1305" s="33" t="n"/>
      <c r="E1305" s="32" t="n"/>
      <c r="F1305" s="34">
        <f>IF(A1305="","",IFERROR(INT(A1305),"check date"))</f>
        <v/>
      </c>
      <c r="G1305" s="35">
        <f>IF(B1305="","",IFERROR(INDEX(Students!$A:$A,MATCH(TRIM(B1305),Students!$A:$A,0)),"NOT ON LIST"))</f>
        <v/>
      </c>
      <c r="H1305" s="35">
        <f>IF(OR(G1305="",G1305="NOT ON LIST"),"",VLOOKUP(G1305,Students!$A:$C,2,FALSE))</f>
        <v/>
      </c>
      <c r="I1305" s="35">
        <f>IF(OR(G1305="",G1305="NOT ON LIST"),"",VLOOKUP(G1305,Students!$A:$C,3,FALSE)&amp;"")</f>
        <v/>
      </c>
    </row>
    <row r="1306">
      <c r="A1306" s="31" t="n"/>
      <c r="B1306" s="32" t="n"/>
      <c r="C1306" s="32" t="n"/>
      <c r="D1306" s="33" t="n"/>
      <c r="E1306" s="32" t="n"/>
      <c r="F1306" s="34">
        <f>IF(A1306="","",IFERROR(INT(A1306),"check date"))</f>
        <v/>
      </c>
      <c r="G1306" s="35">
        <f>IF(B1306="","",IFERROR(INDEX(Students!$A:$A,MATCH(TRIM(B1306),Students!$A:$A,0)),"NOT ON LIST"))</f>
        <v/>
      </c>
      <c r="H1306" s="35">
        <f>IF(OR(G1306="",G1306="NOT ON LIST"),"",VLOOKUP(G1306,Students!$A:$C,2,FALSE))</f>
        <v/>
      </c>
      <c r="I1306" s="35">
        <f>IF(OR(G1306="",G1306="NOT ON LIST"),"",VLOOKUP(G1306,Students!$A:$C,3,FALSE)&amp;"")</f>
        <v/>
      </c>
    </row>
    <row r="1307">
      <c r="A1307" s="31" t="n"/>
      <c r="B1307" s="32" t="n"/>
      <c r="C1307" s="32" t="n"/>
      <c r="D1307" s="33" t="n"/>
      <c r="E1307" s="32" t="n"/>
      <c r="F1307" s="34">
        <f>IF(A1307="","",IFERROR(INT(A1307),"check date"))</f>
        <v/>
      </c>
      <c r="G1307" s="35">
        <f>IF(B1307="","",IFERROR(INDEX(Students!$A:$A,MATCH(TRIM(B1307),Students!$A:$A,0)),"NOT ON LIST"))</f>
        <v/>
      </c>
      <c r="H1307" s="35">
        <f>IF(OR(G1307="",G1307="NOT ON LIST"),"",VLOOKUP(G1307,Students!$A:$C,2,FALSE))</f>
        <v/>
      </c>
      <c r="I1307" s="35">
        <f>IF(OR(G1307="",G1307="NOT ON LIST"),"",VLOOKUP(G1307,Students!$A:$C,3,FALSE)&amp;"")</f>
        <v/>
      </c>
    </row>
    <row r="1308">
      <c r="A1308" s="31" t="n"/>
      <c r="B1308" s="32" t="n"/>
      <c r="C1308" s="32" t="n"/>
      <c r="D1308" s="33" t="n"/>
      <c r="E1308" s="32" t="n"/>
      <c r="F1308" s="34">
        <f>IF(A1308="","",IFERROR(INT(A1308),"check date"))</f>
        <v/>
      </c>
      <c r="G1308" s="35">
        <f>IF(B1308="","",IFERROR(INDEX(Students!$A:$A,MATCH(TRIM(B1308),Students!$A:$A,0)),"NOT ON LIST"))</f>
        <v/>
      </c>
      <c r="H1308" s="35">
        <f>IF(OR(G1308="",G1308="NOT ON LIST"),"",VLOOKUP(G1308,Students!$A:$C,2,FALSE))</f>
        <v/>
      </c>
      <c r="I1308" s="35">
        <f>IF(OR(G1308="",G1308="NOT ON LIST"),"",VLOOKUP(G1308,Students!$A:$C,3,FALSE)&amp;"")</f>
        <v/>
      </c>
    </row>
    <row r="1309">
      <c r="A1309" s="31" t="n"/>
      <c r="B1309" s="32" t="n"/>
      <c r="C1309" s="32" t="n"/>
      <c r="D1309" s="33" t="n"/>
      <c r="E1309" s="32" t="n"/>
      <c r="F1309" s="34">
        <f>IF(A1309="","",IFERROR(INT(A1309),"check date"))</f>
        <v/>
      </c>
      <c r="G1309" s="35">
        <f>IF(B1309="","",IFERROR(INDEX(Students!$A:$A,MATCH(TRIM(B1309),Students!$A:$A,0)),"NOT ON LIST"))</f>
        <v/>
      </c>
      <c r="H1309" s="35">
        <f>IF(OR(G1309="",G1309="NOT ON LIST"),"",VLOOKUP(G1309,Students!$A:$C,2,FALSE))</f>
        <v/>
      </c>
      <c r="I1309" s="35">
        <f>IF(OR(G1309="",G1309="NOT ON LIST"),"",VLOOKUP(G1309,Students!$A:$C,3,FALSE)&amp;"")</f>
        <v/>
      </c>
    </row>
    <row r="1310">
      <c r="A1310" s="31" t="n"/>
      <c r="B1310" s="32" t="n"/>
      <c r="C1310" s="32" t="n"/>
      <c r="D1310" s="33" t="n"/>
      <c r="E1310" s="32" t="n"/>
      <c r="F1310" s="34">
        <f>IF(A1310="","",IFERROR(INT(A1310),"check date"))</f>
        <v/>
      </c>
      <c r="G1310" s="35">
        <f>IF(B1310="","",IFERROR(INDEX(Students!$A:$A,MATCH(TRIM(B1310),Students!$A:$A,0)),"NOT ON LIST"))</f>
        <v/>
      </c>
      <c r="H1310" s="35">
        <f>IF(OR(G1310="",G1310="NOT ON LIST"),"",VLOOKUP(G1310,Students!$A:$C,2,FALSE))</f>
        <v/>
      </c>
      <c r="I1310" s="35">
        <f>IF(OR(G1310="",G1310="NOT ON LIST"),"",VLOOKUP(G1310,Students!$A:$C,3,FALSE)&amp;"")</f>
        <v/>
      </c>
    </row>
    <row r="1311">
      <c r="A1311" s="31" t="n"/>
      <c r="B1311" s="32" t="n"/>
      <c r="C1311" s="32" t="n"/>
      <c r="D1311" s="33" t="n"/>
      <c r="E1311" s="32" t="n"/>
      <c r="F1311" s="34">
        <f>IF(A1311="","",IFERROR(INT(A1311),"check date"))</f>
        <v/>
      </c>
      <c r="G1311" s="35">
        <f>IF(B1311="","",IFERROR(INDEX(Students!$A:$A,MATCH(TRIM(B1311),Students!$A:$A,0)),"NOT ON LIST"))</f>
        <v/>
      </c>
      <c r="H1311" s="35">
        <f>IF(OR(G1311="",G1311="NOT ON LIST"),"",VLOOKUP(G1311,Students!$A:$C,2,FALSE))</f>
        <v/>
      </c>
      <c r="I1311" s="35">
        <f>IF(OR(G1311="",G1311="NOT ON LIST"),"",VLOOKUP(G1311,Students!$A:$C,3,FALSE)&amp;"")</f>
        <v/>
      </c>
    </row>
    <row r="1312">
      <c r="A1312" s="31" t="n"/>
      <c r="B1312" s="32" t="n"/>
      <c r="C1312" s="32" t="n"/>
      <c r="D1312" s="33" t="n"/>
      <c r="E1312" s="32" t="n"/>
      <c r="F1312" s="34">
        <f>IF(A1312="","",IFERROR(INT(A1312),"check date"))</f>
        <v/>
      </c>
      <c r="G1312" s="35">
        <f>IF(B1312="","",IFERROR(INDEX(Students!$A:$A,MATCH(TRIM(B1312),Students!$A:$A,0)),"NOT ON LIST"))</f>
        <v/>
      </c>
      <c r="H1312" s="35">
        <f>IF(OR(G1312="",G1312="NOT ON LIST"),"",VLOOKUP(G1312,Students!$A:$C,2,FALSE))</f>
        <v/>
      </c>
      <c r="I1312" s="35">
        <f>IF(OR(G1312="",G1312="NOT ON LIST"),"",VLOOKUP(G1312,Students!$A:$C,3,FALSE)&amp;"")</f>
        <v/>
      </c>
    </row>
    <row r="1313">
      <c r="A1313" s="31" t="n"/>
      <c r="B1313" s="32" t="n"/>
      <c r="C1313" s="32" t="n"/>
      <c r="D1313" s="33" t="n"/>
      <c r="E1313" s="32" t="n"/>
      <c r="F1313" s="34">
        <f>IF(A1313="","",IFERROR(INT(A1313),"check date"))</f>
        <v/>
      </c>
      <c r="G1313" s="35">
        <f>IF(B1313="","",IFERROR(INDEX(Students!$A:$A,MATCH(TRIM(B1313),Students!$A:$A,0)),"NOT ON LIST"))</f>
        <v/>
      </c>
      <c r="H1313" s="35">
        <f>IF(OR(G1313="",G1313="NOT ON LIST"),"",VLOOKUP(G1313,Students!$A:$C,2,FALSE))</f>
        <v/>
      </c>
      <c r="I1313" s="35">
        <f>IF(OR(G1313="",G1313="NOT ON LIST"),"",VLOOKUP(G1313,Students!$A:$C,3,FALSE)&amp;"")</f>
        <v/>
      </c>
    </row>
    <row r="1314">
      <c r="A1314" s="31" t="n"/>
      <c r="B1314" s="32" t="n"/>
      <c r="C1314" s="32" t="n"/>
      <c r="D1314" s="33" t="n"/>
      <c r="E1314" s="32" t="n"/>
      <c r="F1314" s="34">
        <f>IF(A1314="","",IFERROR(INT(A1314),"check date"))</f>
        <v/>
      </c>
      <c r="G1314" s="35">
        <f>IF(B1314="","",IFERROR(INDEX(Students!$A:$A,MATCH(TRIM(B1314),Students!$A:$A,0)),"NOT ON LIST"))</f>
        <v/>
      </c>
      <c r="H1314" s="35">
        <f>IF(OR(G1314="",G1314="NOT ON LIST"),"",VLOOKUP(G1314,Students!$A:$C,2,FALSE))</f>
        <v/>
      </c>
      <c r="I1314" s="35">
        <f>IF(OR(G1314="",G1314="NOT ON LIST"),"",VLOOKUP(G1314,Students!$A:$C,3,FALSE)&amp;"")</f>
        <v/>
      </c>
    </row>
    <row r="1315">
      <c r="A1315" s="31" t="n"/>
      <c r="B1315" s="32" t="n"/>
      <c r="C1315" s="32" t="n"/>
      <c r="D1315" s="33" t="n"/>
      <c r="E1315" s="32" t="n"/>
      <c r="F1315" s="34">
        <f>IF(A1315="","",IFERROR(INT(A1315),"check date"))</f>
        <v/>
      </c>
      <c r="G1315" s="35">
        <f>IF(B1315="","",IFERROR(INDEX(Students!$A:$A,MATCH(TRIM(B1315),Students!$A:$A,0)),"NOT ON LIST"))</f>
        <v/>
      </c>
      <c r="H1315" s="35">
        <f>IF(OR(G1315="",G1315="NOT ON LIST"),"",VLOOKUP(G1315,Students!$A:$C,2,FALSE))</f>
        <v/>
      </c>
      <c r="I1315" s="35">
        <f>IF(OR(G1315="",G1315="NOT ON LIST"),"",VLOOKUP(G1315,Students!$A:$C,3,FALSE)&amp;"")</f>
        <v/>
      </c>
    </row>
    <row r="1316">
      <c r="A1316" s="31" t="n"/>
      <c r="B1316" s="32" t="n"/>
      <c r="C1316" s="32" t="n"/>
      <c r="D1316" s="33" t="n"/>
      <c r="E1316" s="32" t="n"/>
      <c r="F1316" s="34">
        <f>IF(A1316="","",IFERROR(INT(A1316),"check date"))</f>
        <v/>
      </c>
      <c r="G1316" s="35">
        <f>IF(B1316="","",IFERROR(INDEX(Students!$A:$A,MATCH(TRIM(B1316),Students!$A:$A,0)),"NOT ON LIST"))</f>
        <v/>
      </c>
      <c r="H1316" s="35">
        <f>IF(OR(G1316="",G1316="NOT ON LIST"),"",VLOOKUP(G1316,Students!$A:$C,2,FALSE))</f>
        <v/>
      </c>
      <c r="I1316" s="35">
        <f>IF(OR(G1316="",G1316="NOT ON LIST"),"",VLOOKUP(G1316,Students!$A:$C,3,FALSE)&amp;"")</f>
        <v/>
      </c>
    </row>
    <row r="1317">
      <c r="A1317" s="31" t="n"/>
      <c r="B1317" s="32" t="n"/>
      <c r="C1317" s="32" t="n"/>
      <c r="D1317" s="33" t="n"/>
      <c r="E1317" s="32" t="n"/>
      <c r="F1317" s="34">
        <f>IF(A1317="","",IFERROR(INT(A1317),"check date"))</f>
        <v/>
      </c>
      <c r="G1317" s="35">
        <f>IF(B1317="","",IFERROR(INDEX(Students!$A:$A,MATCH(TRIM(B1317),Students!$A:$A,0)),"NOT ON LIST"))</f>
        <v/>
      </c>
      <c r="H1317" s="35">
        <f>IF(OR(G1317="",G1317="NOT ON LIST"),"",VLOOKUP(G1317,Students!$A:$C,2,FALSE))</f>
        <v/>
      </c>
      <c r="I1317" s="35">
        <f>IF(OR(G1317="",G1317="NOT ON LIST"),"",VLOOKUP(G1317,Students!$A:$C,3,FALSE)&amp;"")</f>
        <v/>
      </c>
    </row>
    <row r="1318">
      <c r="A1318" s="31" t="n"/>
      <c r="B1318" s="32" t="n"/>
      <c r="C1318" s="32" t="n"/>
      <c r="D1318" s="33" t="n"/>
      <c r="E1318" s="32" t="n"/>
      <c r="F1318" s="34">
        <f>IF(A1318="","",IFERROR(INT(A1318),"check date"))</f>
        <v/>
      </c>
      <c r="G1318" s="35">
        <f>IF(B1318="","",IFERROR(INDEX(Students!$A:$A,MATCH(TRIM(B1318),Students!$A:$A,0)),"NOT ON LIST"))</f>
        <v/>
      </c>
      <c r="H1318" s="35">
        <f>IF(OR(G1318="",G1318="NOT ON LIST"),"",VLOOKUP(G1318,Students!$A:$C,2,FALSE))</f>
        <v/>
      </c>
      <c r="I1318" s="35">
        <f>IF(OR(G1318="",G1318="NOT ON LIST"),"",VLOOKUP(G1318,Students!$A:$C,3,FALSE)&amp;"")</f>
        <v/>
      </c>
    </row>
    <row r="1319">
      <c r="A1319" s="31" t="n"/>
      <c r="B1319" s="32" t="n"/>
      <c r="C1319" s="32" t="n"/>
      <c r="D1319" s="33" t="n"/>
      <c r="E1319" s="32" t="n"/>
      <c r="F1319" s="34">
        <f>IF(A1319="","",IFERROR(INT(A1319),"check date"))</f>
        <v/>
      </c>
      <c r="G1319" s="35">
        <f>IF(B1319="","",IFERROR(INDEX(Students!$A:$A,MATCH(TRIM(B1319),Students!$A:$A,0)),"NOT ON LIST"))</f>
        <v/>
      </c>
      <c r="H1319" s="35">
        <f>IF(OR(G1319="",G1319="NOT ON LIST"),"",VLOOKUP(G1319,Students!$A:$C,2,FALSE))</f>
        <v/>
      </c>
      <c r="I1319" s="35">
        <f>IF(OR(G1319="",G1319="NOT ON LIST"),"",VLOOKUP(G1319,Students!$A:$C,3,FALSE)&amp;"")</f>
        <v/>
      </c>
    </row>
    <row r="1320">
      <c r="A1320" s="31" t="n"/>
      <c r="B1320" s="32" t="n"/>
      <c r="C1320" s="32" t="n"/>
      <c r="D1320" s="33" t="n"/>
      <c r="E1320" s="32" t="n"/>
      <c r="F1320" s="34">
        <f>IF(A1320="","",IFERROR(INT(A1320),"check date"))</f>
        <v/>
      </c>
      <c r="G1320" s="35">
        <f>IF(B1320="","",IFERROR(INDEX(Students!$A:$A,MATCH(TRIM(B1320),Students!$A:$A,0)),"NOT ON LIST"))</f>
        <v/>
      </c>
      <c r="H1320" s="35">
        <f>IF(OR(G1320="",G1320="NOT ON LIST"),"",VLOOKUP(G1320,Students!$A:$C,2,FALSE))</f>
        <v/>
      </c>
      <c r="I1320" s="35">
        <f>IF(OR(G1320="",G1320="NOT ON LIST"),"",VLOOKUP(G1320,Students!$A:$C,3,FALSE)&amp;"")</f>
        <v/>
      </c>
    </row>
    <row r="1321">
      <c r="A1321" s="31" t="n"/>
      <c r="B1321" s="32" t="n"/>
      <c r="C1321" s="32" t="n"/>
      <c r="D1321" s="33" t="n"/>
      <c r="E1321" s="32" t="n"/>
      <c r="F1321" s="34">
        <f>IF(A1321="","",IFERROR(INT(A1321),"check date"))</f>
        <v/>
      </c>
      <c r="G1321" s="35">
        <f>IF(B1321="","",IFERROR(INDEX(Students!$A:$A,MATCH(TRIM(B1321),Students!$A:$A,0)),"NOT ON LIST"))</f>
        <v/>
      </c>
      <c r="H1321" s="35">
        <f>IF(OR(G1321="",G1321="NOT ON LIST"),"",VLOOKUP(G1321,Students!$A:$C,2,FALSE))</f>
        <v/>
      </c>
      <c r="I1321" s="35">
        <f>IF(OR(G1321="",G1321="NOT ON LIST"),"",VLOOKUP(G1321,Students!$A:$C,3,FALSE)&amp;"")</f>
        <v/>
      </c>
    </row>
    <row r="1322">
      <c r="A1322" s="31" t="n"/>
      <c r="B1322" s="32" t="n"/>
      <c r="C1322" s="32" t="n"/>
      <c r="D1322" s="33" t="n"/>
      <c r="E1322" s="32" t="n"/>
      <c r="F1322" s="34">
        <f>IF(A1322="","",IFERROR(INT(A1322),"check date"))</f>
        <v/>
      </c>
      <c r="G1322" s="35">
        <f>IF(B1322="","",IFERROR(INDEX(Students!$A:$A,MATCH(TRIM(B1322),Students!$A:$A,0)),"NOT ON LIST"))</f>
        <v/>
      </c>
      <c r="H1322" s="35">
        <f>IF(OR(G1322="",G1322="NOT ON LIST"),"",VLOOKUP(G1322,Students!$A:$C,2,FALSE))</f>
        <v/>
      </c>
      <c r="I1322" s="35">
        <f>IF(OR(G1322="",G1322="NOT ON LIST"),"",VLOOKUP(G1322,Students!$A:$C,3,FALSE)&amp;"")</f>
        <v/>
      </c>
    </row>
    <row r="1323">
      <c r="A1323" s="31" t="n"/>
      <c r="B1323" s="32" t="n"/>
      <c r="C1323" s="32" t="n"/>
      <c r="D1323" s="33" t="n"/>
      <c r="E1323" s="32" t="n"/>
      <c r="F1323" s="34">
        <f>IF(A1323="","",IFERROR(INT(A1323),"check date"))</f>
        <v/>
      </c>
      <c r="G1323" s="35">
        <f>IF(B1323="","",IFERROR(INDEX(Students!$A:$A,MATCH(TRIM(B1323),Students!$A:$A,0)),"NOT ON LIST"))</f>
        <v/>
      </c>
      <c r="H1323" s="35">
        <f>IF(OR(G1323="",G1323="NOT ON LIST"),"",VLOOKUP(G1323,Students!$A:$C,2,FALSE))</f>
        <v/>
      </c>
      <c r="I1323" s="35">
        <f>IF(OR(G1323="",G1323="NOT ON LIST"),"",VLOOKUP(G1323,Students!$A:$C,3,FALSE)&amp;"")</f>
        <v/>
      </c>
    </row>
    <row r="1324">
      <c r="A1324" s="31" t="n"/>
      <c r="B1324" s="32" t="n"/>
      <c r="C1324" s="32" t="n"/>
      <c r="D1324" s="33" t="n"/>
      <c r="E1324" s="32" t="n"/>
      <c r="F1324" s="34">
        <f>IF(A1324="","",IFERROR(INT(A1324),"check date"))</f>
        <v/>
      </c>
      <c r="G1324" s="35">
        <f>IF(B1324="","",IFERROR(INDEX(Students!$A:$A,MATCH(TRIM(B1324),Students!$A:$A,0)),"NOT ON LIST"))</f>
        <v/>
      </c>
      <c r="H1324" s="35">
        <f>IF(OR(G1324="",G1324="NOT ON LIST"),"",VLOOKUP(G1324,Students!$A:$C,2,FALSE))</f>
        <v/>
      </c>
      <c r="I1324" s="35">
        <f>IF(OR(G1324="",G1324="NOT ON LIST"),"",VLOOKUP(G1324,Students!$A:$C,3,FALSE)&amp;"")</f>
        <v/>
      </c>
    </row>
    <row r="1325">
      <c r="A1325" s="31" t="n"/>
      <c r="B1325" s="32" t="n"/>
      <c r="C1325" s="32" t="n"/>
      <c r="D1325" s="33" t="n"/>
      <c r="E1325" s="32" t="n"/>
      <c r="F1325" s="34">
        <f>IF(A1325="","",IFERROR(INT(A1325),"check date"))</f>
        <v/>
      </c>
      <c r="G1325" s="35">
        <f>IF(B1325="","",IFERROR(INDEX(Students!$A:$A,MATCH(TRIM(B1325),Students!$A:$A,0)),"NOT ON LIST"))</f>
        <v/>
      </c>
      <c r="H1325" s="35">
        <f>IF(OR(G1325="",G1325="NOT ON LIST"),"",VLOOKUP(G1325,Students!$A:$C,2,FALSE))</f>
        <v/>
      </c>
      <c r="I1325" s="35">
        <f>IF(OR(G1325="",G1325="NOT ON LIST"),"",VLOOKUP(G1325,Students!$A:$C,3,FALSE)&amp;"")</f>
        <v/>
      </c>
    </row>
    <row r="1326">
      <c r="A1326" s="31" t="n"/>
      <c r="B1326" s="32" t="n"/>
      <c r="C1326" s="32" t="n"/>
      <c r="D1326" s="33" t="n"/>
      <c r="E1326" s="32" t="n"/>
      <c r="F1326" s="34">
        <f>IF(A1326="","",IFERROR(INT(A1326),"check date"))</f>
        <v/>
      </c>
      <c r="G1326" s="35">
        <f>IF(B1326="","",IFERROR(INDEX(Students!$A:$A,MATCH(TRIM(B1326),Students!$A:$A,0)),"NOT ON LIST"))</f>
        <v/>
      </c>
      <c r="H1326" s="35">
        <f>IF(OR(G1326="",G1326="NOT ON LIST"),"",VLOOKUP(G1326,Students!$A:$C,2,FALSE))</f>
        <v/>
      </c>
      <c r="I1326" s="35">
        <f>IF(OR(G1326="",G1326="NOT ON LIST"),"",VLOOKUP(G1326,Students!$A:$C,3,FALSE)&amp;"")</f>
        <v/>
      </c>
    </row>
    <row r="1327">
      <c r="A1327" s="31" t="n"/>
      <c r="B1327" s="32" t="n"/>
      <c r="C1327" s="32" t="n"/>
      <c r="D1327" s="33" t="n"/>
      <c r="E1327" s="32" t="n"/>
      <c r="F1327" s="34">
        <f>IF(A1327="","",IFERROR(INT(A1327),"check date"))</f>
        <v/>
      </c>
      <c r="G1327" s="35">
        <f>IF(B1327="","",IFERROR(INDEX(Students!$A:$A,MATCH(TRIM(B1327),Students!$A:$A,0)),"NOT ON LIST"))</f>
        <v/>
      </c>
      <c r="H1327" s="35">
        <f>IF(OR(G1327="",G1327="NOT ON LIST"),"",VLOOKUP(G1327,Students!$A:$C,2,FALSE))</f>
        <v/>
      </c>
      <c r="I1327" s="35">
        <f>IF(OR(G1327="",G1327="NOT ON LIST"),"",VLOOKUP(G1327,Students!$A:$C,3,FALSE)&amp;"")</f>
        <v/>
      </c>
    </row>
    <row r="1328">
      <c r="A1328" s="31" t="n"/>
      <c r="B1328" s="32" t="n"/>
      <c r="C1328" s="32" t="n"/>
      <c r="D1328" s="33" t="n"/>
      <c r="E1328" s="32" t="n"/>
      <c r="F1328" s="34">
        <f>IF(A1328="","",IFERROR(INT(A1328),"check date"))</f>
        <v/>
      </c>
      <c r="G1328" s="35">
        <f>IF(B1328="","",IFERROR(INDEX(Students!$A:$A,MATCH(TRIM(B1328),Students!$A:$A,0)),"NOT ON LIST"))</f>
        <v/>
      </c>
      <c r="H1328" s="35">
        <f>IF(OR(G1328="",G1328="NOT ON LIST"),"",VLOOKUP(G1328,Students!$A:$C,2,FALSE))</f>
        <v/>
      </c>
      <c r="I1328" s="35">
        <f>IF(OR(G1328="",G1328="NOT ON LIST"),"",VLOOKUP(G1328,Students!$A:$C,3,FALSE)&amp;"")</f>
        <v/>
      </c>
    </row>
    <row r="1329">
      <c r="A1329" s="31" t="n"/>
      <c r="B1329" s="32" t="n"/>
      <c r="C1329" s="32" t="n"/>
      <c r="D1329" s="33" t="n"/>
      <c r="E1329" s="32" t="n"/>
      <c r="F1329" s="34">
        <f>IF(A1329="","",IFERROR(INT(A1329),"check date"))</f>
        <v/>
      </c>
      <c r="G1329" s="35">
        <f>IF(B1329="","",IFERROR(INDEX(Students!$A:$A,MATCH(TRIM(B1329),Students!$A:$A,0)),"NOT ON LIST"))</f>
        <v/>
      </c>
      <c r="H1329" s="35">
        <f>IF(OR(G1329="",G1329="NOT ON LIST"),"",VLOOKUP(G1329,Students!$A:$C,2,FALSE))</f>
        <v/>
      </c>
      <c r="I1329" s="35">
        <f>IF(OR(G1329="",G1329="NOT ON LIST"),"",VLOOKUP(G1329,Students!$A:$C,3,FALSE)&amp;"")</f>
        <v/>
      </c>
    </row>
    <row r="1330">
      <c r="A1330" s="31" t="n"/>
      <c r="B1330" s="32" t="n"/>
      <c r="C1330" s="32" t="n"/>
      <c r="D1330" s="33" t="n"/>
      <c r="E1330" s="32" t="n"/>
      <c r="F1330" s="34">
        <f>IF(A1330="","",IFERROR(INT(A1330),"check date"))</f>
        <v/>
      </c>
      <c r="G1330" s="35">
        <f>IF(B1330="","",IFERROR(INDEX(Students!$A:$A,MATCH(TRIM(B1330),Students!$A:$A,0)),"NOT ON LIST"))</f>
        <v/>
      </c>
      <c r="H1330" s="35">
        <f>IF(OR(G1330="",G1330="NOT ON LIST"),"",VLOOKUP(G1330,Students!$A:$C,2,FALSE))</f>
        <v/>
      </c>
      <c r="I1330" s="35">
        <f>IF(OR(G1330="",G1330="NOT ON LIST"),"",VLOOKUP(G1330,Students!$A:$C,3,FALSE)&amp;"")</f>
        <v/>
      </c>
    </row>
    <row r="1331">
      <c r="A1331" s="31" t="n"/>
      <c r="B1331" s="32" t="n"/>
      <c r="C1331" s="32" t="n"/>
      <c r="D1331" s="33" t="n"/>
      <c r="E1331" s="32" t="n"/>
      <c r="F1331" s="34">
        <f>IF(A1331="","",IFERROR(INT(A1331),"check date"))</f>
        <v/>
      </c>
      <c r="G1331" s="35">
        <f>IF(B1331="","",IFERROR(INDEX(Students!$A:$A,MATCH(TRIM(B1331),Students!$A:$A,0)),"NOT ON LIST"))</f>
        <v/>
      </c>
      <c r="H1331" s="35">
        <f>IF(OR(G1331="",G1331="NOT ON LIST"),"",VLOOKUP(G1331,Students!$A:$C,2,FALSE))</f>
        <v/>
      </c>
      <c r="I1331" s="35">
        <f>IF(OR(G1331="",G1331="NOT ON LIST"),"",VLOOKUP(G1331,Students!$A:$C,3,FALSE)&amp;"")</f>
        <v/>
      </c>
    </row>
    <row r="1332">
      <c r="A1332" s="31" t="n"/>
      <c r="B1332" s="32" t="n"/>
      <c r="C1332" s="32" t="n"/>
      <c r="D1332" s="33" t="n"/>
      <c r="E1332" s="32" t="n"/>
      <c r="F1332" s="34">
        <f>IF(A1332="","",IFERROR(INT(A1332),"check date"))</f>
        <v/>
      </c>
      <c r="G1332" s="35">
        <f>IF(B1332="","",IFERROR(INDEX(Students!$A:$A,MATCH(TRIM(B1332),Students!$A:$A,0)),"NOT ON LIST"))</f>
        <v/>
      </c>
      <c r="H1332" s="35">
        <f>IF(OR(G1332="",G1332="NOT ON LIST"),"",VLOOKUP(G1332,Students!$A:$C,2,FALSE))</f>
        <v/>
      </c>
      <c r="I1332" s="35">
        <f>IF(OR(G1332="",G1332="NOT ON LIST"),"",VLOOKUP(G1332,Students!$A:$C,3,FALSE)&amp;"")</f>
        <v/>
      </c>
    </row>
    <row r="1333">
      <c r="A1333" s="31" t="n"/>
      <c r="B1333" s="32" t="n"/>
      <c r="C1333" s="32" t="n"/>
      <c r="D1333" s="33" t="n"/>
      <c r="E1333" s="32" t="n"/>
      <c r="F1333" s="34">
        <f>IF(A1333="","",IFERROR(INT(A1333),"check date"))</f>
        <v/>
      </c>
      <c r="G1333" s="35">
        <f>IF(B1333="","",IFERROR(INDEX(Students!$A:$A,MATCH(TRIM(B1333),Students!$A:$A,0)),"NOT ON LIST"))</f>
        <v/>
      </c>
      <c r="H1333" s="35">
        <f>IF(OR(G1333="",G1333="NOT ON LIST"),"",VLOOKUP(G1333,Students!$A:$C,2,FALSE))</f>
        <v/>
      </c>
      <c r="I1333" s="35">
        <f>IF(OR(G1333="",G1333="NOT ON LIST"),"",VLOOKUP(G1333,Students!$A:$C,3,FALSE)&amp;"")</f>
        <v/>
      </c>
    </row>
    <row r="1334">
      <c r="A1334" s="31" t="n"/>
      <c r="B1334" s="32" t="n"/>
      <c r="C1334" s="32" t="n"/>
      <c r="D1334" s="33" t="n"/>
      <c r="E1334" s="32" t="n"/>
      <c r="F1334" s="34">
        <f>IF(A1334="","",IFERROR(INT(A1334),"check date"))</f>
        <v/>
      </c>
      <c r="G1334" s="35">
        <f>IF(B1334="","",IFERROR(INDEX(Students!$A:$A,MATCH(TRIM(B1334),Students!$A:$A,0)),"NOT ON LIST"))</f>
        <v/>
      </c>
      <c r="H1334" s="35">
        <f>IF(OR(G1334="",G1334="NOT ON LIST"),"",VLOOKUP(G1334,Students!$A:$C,2,FALSE))</f>
        <v/>
      </c>
      <c r="I1334" s="35">
        <f>IF(OR(G1334="",G1334="NOT ON LIST"),"",VLOOKUP(G1334,Students!$A:$C,3,FALSE)&amp;"")</f>
        <v/>
      </c>
    </row>
    <row r="1335">
      <c r="A1335" s="31" t="n"/>
      <c r="B1335" s="32" t="n"/>
      <c r="C1335" s="32" t="n"/>
      <c r="D1335" s="33" t="n"/>
      <c r="E1335" s="32" t="n"/>
      <c r="F1335" s="34">
        <f>IF(A1335="","",IFERROR(INT(A1335),"check date"))</f>
        <v/>
      </c>
      <c r="G1335" s="35">
        <f>IF(B1335="","",IFERROR(INDEX(Students!$A:$A,MATCH(TRIM(B1335),Students!$A:$A,0)),"NOT ON LIST"))</f>
        <v/>
      </c>
      <c r="H1335" s="35">
        <f>IF(OR(G1335="",G1335="NOT ON LIST"),"",VLOOKUP(G1335,Students!$A:$C,2,FALSE))</f>
        <v/>
      </c>
      <c r="I1335" s="35">
        <f>IF(OR(G1335="",G1335="NOT ON LIST"),"",VLOOKUP(G1335,Students!$A:$C,3,FALSE)&amp;"")</f>
        <v/>
      </c>
    </row>
    <row r="1336">
      <c r="A1336" s="31" t="n"/>
      <c r="B1336" s="32" t="n"/>
      <c r="C1336" s="32" t="n"/>
      <c r="D1336" s="33" t="n"/>
      <c r="E1336" s="32" t="n"/>
      <c r="F1336" s="34">
        <f>IF(A1336="","",IFERROR(INT(A1336),"check date"))</f>
        <v/>
      </c>
      <c r="G1336" s="35">
        <f>IF(B1336="","",IFERROR(INDEX(Students!$A:$A,MATCH(TRIM(B1336),Students!$A:$A,0)),"NOT ON LIST"))</f>
        <v/>
      </c>
      <c r="H1336" s="35">
        <f>IF(OR(G1336="",G1336="NOT ON LIST"),"",VLOOKUP(G1336,Students!$A:$C,2,FALSE))</f>
        <v/>
      </c>
      <c r="I1336" s="35">
        <f>IF(OR(G1336="",G1336="NOT ON LIST"),"",VLOOKUP(G1336,Students!$A:$C,3,FALSE)&amp;"")</f>
        <v/>
      </c>
    </row>
    <row r="1337">
      <c r="A1337" s="31" t="n"/>
      <c r="B1337" s="32" t="n"/>
      <c r="C1337" s="32" t="n"/>
      <c r="D1337" s="33" t="n"/>
      <c r="E1337" s="32" t="n"/>
      <c r="F1337" s="34">
        <f>IF(A1337="","",IFERROR(INT(A1337),"check date"))</f>
        <v/>
      </c>
      <c r="G1337" s="35">
        <f>IF(B1337="","",IFERROR(INDEX(Students!$A:$A,MATCH(TRIM(B1337),Students!$A:$A,0)),"NOT ON LIST"))</f>
        <v/>
      </c>
      <c r="H1337" s="35">
        <f>IF(OR(G1337="",G1337="NOT ON LIST"),"",VLOOKUP(G1337,Students!$A:$C,2,FALSE))</f>
        <v/>
      </c>
      <c r="I1337" s="35">
        <f>IF(OR(G1337="",G1337="NOT ON LIST"),"",VLOOKUP(G1337,Students!$A:$C,3,FALSE)&amp;"")</f>
        <v/>
      </c>
    </row>
    <row r="1338">
      <c r="A1338" s="31" t="n"/>
      <c r="B1338" s="32" t="n"/>
      <c r="C1338" s="32" t="n"/>
      <c r="D1338" s="33" t="n"/>
      <c r="E1338" s="32" t="n"/>
      <c r="F1338" s="34">
        <f>IF(A1338="","",IFERROR(INT(A1338),"check date"))</f>
        <v/>
      </c>
      <c r="G1338" s="35">
        <f>IF(B1338="","",IFERROR(INDEX(Students!$A:$A,MATCH(TRIM(B1338),Students!$A:$A,0)),"NOT ON LIST"))</f>
        <v/>
      </c>
      <c r="H1338" s="35">
        <f>IF(OR(G1338="",G1338="NOT ON LIST"),"",VLOOKUP(G1338,Students!$A:$C,2,FALSE))</f>
        <v/>
      </c>
      <c r="I1338" s="35">
        <f>IF(OR(G1338="",G1338="NOT ON LIST"),"",VLOOKUP(G1338,Students!$A:$C,3,FALSE)&amp;"")</f>
        <v/>
      </c>
    </row>
    <row r="1339">
      <c r="A1339" s="31" t="n"/>
      <c r="B1339" s="32" t="n"/>
      <c r="C1339" s="32" t="n"/>
      <c r="D1339" s="33" t="n"/>
      <c r="E1339" s="32" t="n"/>
      <c r="F1339" s="34">
        <f>IF(A1339="","",IFERROR(INT(A1339),"check date"))</f>
        <v/>
      </c>
      <c r="G1339" s="35">
        <f>IF(B1339="","",IFERROR(INDEX(Students!$A:$A,MATCH(TRIM(B1339),Students!$A:$A,0)),"NOT ON LIST"))</f>
        <v/>
      </c>
      <c r="H1339" s="35">
        <f>IF(OR(G1339="",G1339="NOT ON LIST"),"",VLOOKUP(G1339,Students!$A:$C,2,FALSE))</f>
        <v/>
      </c>
      <c r="I1339" s="35">
        <f>IF(OR(G1339="",G1339="NOT ON LIST"),"",VLOOKUP(G1339,Students!$A:$C,3,FALSE)&amp;"")</f>
        <v/>
      </c>
    </row>
    <row r="1340">
      <c r="A1340" s="31" t="n"/>
      <c r="B1340" s="32" t="n"/>
      <c r="C1340" s="32" t="n"/>
      <c r="D1340" s="33" t="n"/>
      <c r="E1340" s="32" t="n"/>
      <c r="F1340" s="34">
        <f>IF(A1340="","",IFERROR(INT(A1340),"check date"))</f>
        <v/>
      </c>
      <c r="G1340" s="35">
        <f>IF(B1340="","",IFERROR(INDEX(Students!$A:$A,MATCH(TRIM(B1340),Students!$A:$A,0)),"NOT ON LIST"))</f>
        <v/>
      </c>
      <c r="H1340" s="35">
        <f>IF(OR(G1340="",G1340="NOT ON LIST"),"",VLOOKUP(G1340,Students!$A:$C,2,FALSE))</f>
        <v/>
      </c>
      <c r="I1340" s="35">
        <f>IF(OR(G1340="",G1340="NOT ON LIST"),"",VLOOKUP(G1340,Students!$A:$C,3,FALSE)&amp;"")</f>
        <v/>
      </c>
    </row>
    <row r="1341">
      <c r="A1341" s="31" t="n"/>
      <c r="B1341" s="32" t="n"/>
      <c r="C1341" s="32" t="n"/>
      <c r="D1341" s="33" t="n"/>
      <c r="E1341" s="32" t="n"/>
      <c r="F1341" s="34">
        <f>IF(A1341="","",IFERROR(INT(A1341),"check date"))</f>
        <v/>
      </c>
      <c r="G1341" s="35">
        <f>IF(B1341="","",IFERROR(INDEX(Students!$A:$A,MATCH(TRIM(B1341),Students!$A:$A,0)),"NOT ON LIST"))</f>
        <v/>
      </c>
      <c r="H1341" s="35">
        <f>IF(OR(G1341="",G1341="NOT ON LIST"),"",VLOOKUP(G1341,Students!$A:$C,2,FALSE))</f>
        <v/>
      </c>
      <c r="I1341" s="35">
        <f>IF(OR(G1341="",G1341="NOT ON LIST"),"",VLOOKUP(G1341,Students!$A:$C,3,FALSE)&amp;"")</f>
        <v/>
      </c>
    </row>
    <row r="1342">
      <c r="A1342" s="31" t="n"/>
      <c r="B1342" s="32" t="n"/>
      <c r="C1342" s="32" t="n"/>
      <c r="D1342" s="33" t="n"/>
      <c r="E1342" s="32" t="n"/>
      <c r="F1342" s="34">
        <f>IF(A1342="","",IFERROR(INT(A1342),"check date"))</f>
        <v/>
      </c>
      <c r="G1342" s="35">
        <f>IF(B1342="","",IFERROR(INDEX(Students!$A:$A,MATCH(TRIM(B1342),Students!$A:$A,0)),"NOT ON LIST"))</f>
        <v/>
      </c>
      <c r="H1342" s="35">
        <f>IF(OR(G1342="",G1342="NOT ON LIST"),"",VLOOKUP(G1342,Students!$A:$C,2,FALSE))</f>
        <v/>
      </c>
      <c r="I1342" s="35">
        <f>IF(OR(G1342="",G1342="NOT ON LIST"),"",VLOOKUP(G1342,Students!$A:$C,3,FALSE)&amp;"")</f>
        <v/>
      </c>
    </row>
    <row r="1343">
      <c r="A1343" s="31" t="n"/>
      <c r="B1343" s="32" t="n"/>
      <c r="C1343" s="32" t="n"/>
      <c r="D1343" s="33" t="n"/>
      <c r="E1343" s="32" t="n"/>
      <c r="F1343" s="34">
        <f>IF(A1343="","",IFERROR(INT(A1343),"check date"))</f>
        <v/>
      </c>
      <c r="G1343" s="35">
        <f>IF(B1343="","",IFERROR(INDEX(Students!$A:$A,MATCH(TRIM(B1343),Students!$A:$A,0)),"NOT ON LIST"))</f>
        <v/>
      </c>
      <c r="H1343" s="35">
        <f>IF(OR(G1343="",G1343="NOT ON LIST"),"",VLOOKUP(G1343,Students!$A:$C,2,FALSE))</f>
        <v/>
      </c>
      <c r="I1343" s="35">
        <f>IF(OR(G1343="",G1343="NOT ON LIST"),"",VLOOKUP(G1343,Students!$A:$C,3,FALSE)&amp;"")</f>
        <v/>
      </c>
    </row>
    <row r="1344">
      <c r="A1344" s="31" t="n"/>
      <c r="B1344" s="32" t="n"/>
      <c r="C1344" s="32" t="n"/>
      <c r="D1344" s="33" t="n"/>
      <c r="E1344" s="32" t="n"/>
      <c r="F1344" s="34">
        <f>IF(A1344="","",IFERROR(INT(A1344),"check date"))</f>
        <v/>
      </c>
      <c r="G1344" s="35">
        <f>IF(B1344="","",IFERROR(INDEX(Students!$A:$A,MATCH(TRIM(B1344),Students!$A:$A,0)),"NOT ON LIST"))</f>
        <v/>
      </c>
      <c r="H1344" s="35">
        <f>IF(OR(G1344="",G1344="NOT ON LIST"),"",VLOOKUP(G1344,Students!$A:$C,2,FALSE))</f>
        <v/>
      </c>
      <c r="I1344" s="35">
        <f>IF(OR(G1344="",G1344="NOT ON LIST"),"",VLOOKUP(G1344,Students!$A:$C,3,FALSE)&amp;"")</f>
        <v/>
      </c>
    </row>
    <row r="1345">
      <c r="A1345" s="31" t="n"/>
      <c r="B1345" s="32" t="n"/>
      <c r="C1345" s="32" t="n"/>
      <c r="D1345" s="33" t="n"/>
      <c r="E1345" s="32" t="n"/>
      <c r="F1345" s="34">
        <f>IF(A1345="","",IFERROR(INT(A1345),"check date"))</f>
        <v/>
      </c>
      <c r="G1345" s="35">
        <f>IF(B1345="","",IFERROR(INDEX(Students!$A:$A,MATCH(TRIM(B1345),Students!$A:$A,0)),"NOT ON LIST"))</f>
        <v/>
      </c>
      <c r="H1345" s="35">
        <f>IF(OR(G1345="",G1345="NOT ON LIST"),"",VLOOKUP(G1345,Students!$A:$C,2,FALSE))</f>
        <v/>
      </c>
      <c r="I1345" s="35">
        <f>IF(OR(G1345="",G1345="NOT ON LIST"),"",VLOOKUP(G1345,Students!$A:$C,3,FALSE)&amp;"")</f>
        <v/>
      </c>
    </row>
    <row r="1346">
      <c r="A1346" s="31" t="n"/>
      <c r="B1346" s="32" t="n"/>
      <c r="C1346" s="32" t="n"/>
      <c r="D1346" s="33" t="n"/>
      <c r="E1346" s="32" t="n"/>
      <c r="F1346" s="34">
        <f>IF(A1346="","",IFERROR(INT(A1346),"check date"))</f>
        <v/>
      </c>
      <c r="G1346" s="35">
        <f>IF(B1346="","",IFERROR(INDEX(Students!$A:$A,MATCH(TRIM(B1346),Students!$A:$A,0)),"NOT ON LIST"))</f>
        <v/>
      </c>
      <c r="H1346" s="35">
        <f>IF(OR(G1346="",G1346="NOT ON LIST"),"",VLOOKUP(G1346,Students!$A:$C,2,FALSE))</f>
        <v/>
      </c>
      <c r="I1346" s="35">
        <f>IF(OR(G1346="",G1346="NOT ON LIST"),"",VLOOKUP(G1346,Students!$A:$C,3,FALSE)&amp;"")</f>
        <v/>
      </c>
    </row>
    <row r="1347">
      <c r="A1347" s="31" t="n"/>
      <c r="B1347" s="32" t="n"/>
      <c r="C1347" s="32" t="n"/>
      <c r="D1347" s="33" t="n"/>
      <c r="E1347" s="32" t="n"/>
      <c r="F1347" s="34">
        <f>IF(A1347="","",IFERROR(INT(A1347),"check date"))</f>
        <v/>
      </c>
      <c r="G1347" s="35">
        <f>IF(B1347="","",IFERROR(INDEX(Students!$A:$A,MATCH(TRIM(B1347),Students!$A:$A,0)),"NOT ON LIST"))</f>
        <v/>
      </c>
      <c r="H1347" s="35">
        <f>IF(OR(G1347="",G1347="NOT ON LIST"),"",VLOOKUP(G1347,Students!$A:$C,2,FALSE))</f>
        <v/>
      </c>
      <c r="I1347" s="35">
        <f>IF(OR(G1347="",G1347="NOT ON LIST"),"",VLOOKUP(G1347,Students!$A:$C,3,FALSE)&amp;"")</f>
        <v/>
      </c>
    </row>
    <row r="1348">
      <c r="A1348" s="31" t="n"/>
      <c r="B1348" s="32" t="n"/>
      <c r="C1348" s="32" t="n"/>
      <c r="D1348" s="33" t="n"/>
      <c r="E1348" s="32" t="n"/>
      <c r="F1348" s="34">
        <f>IF(A1348="","",IFERROR(INT(A1348),"check date"))</f>
        <v/>
      </c>
      <c r="G1348" s="35">
        <f>IF(B1348="","",IFERROR(INDEX(Students!$A:$A,MATCH(TRIM(B1348),Students!$A:$A,0)),"NOT ON LIST"))</f>
        <v/>
      </c>
      <c r="H1348" s="35">
        <f>IF(OR(G1348="",G1348="NOT ON LIST"),"",VLOOKUP(G1348,Students!$A:$C,2,FALSE))</f>
        <v/>
      </c>
      <c r="I1348" s="35">
        <f>IF(OR(G1348="",G1348="NOT ON LIST"),"",VLOOKUP(G1348,Students!$A:$C,3,FALSE)&amp;"")</f>
        <v/>
      </c>
    </row>
    <row r="1349">
      <c r="A1349" s="31" t="n"/>
      <c r="B1349" s="32" t="n"/>
      <c r="C1349" s="32" t="n"/>
      <c r="D1349" s="33" t="n"/>
      <c r="E1349" s="32" t="n"/>
      <c r="F1349" s="34">
        <f>IF(A1349="","",IFERROR(INT(A1349),"check date"))</f>
        <v/>
      </c>
      <c r="G1349" s="35">
        <f>IF(B1349="","",IFERROR(INDEX(Students!$A:$A,MATCH(TRIM(B1349),Students!$A:$A,0)),"NOT ON LIST"))</f>
        <v/>
      </c>
      <c r="H1349" s="35">
        <f>IF(OR(G1349="",G1349="NOT ON LIST"),"",VLOOKUP(G1349,Students!$A:$C,2,FALSE))</f>
        <v/>
      </c>
      <c r="I1349" s="35">
        <f>IF(OR(G1349="",G1349="NOT ON LIST"),"",VLOOKUP(G1349,Students!$A:$C,3,FALSE)&amp;"")</f>
        <v/>
      </c>
    </row>
    <row r="1350">
      <c r="A1350" s="31" t="n"/>
      <c r="B1350" s="32" t="n"/>
      <c r="C1350" s="32" t="n"/>
      <c r="D1350" s="33" t="n"/>
      <c r="E1350" s="32" t="n"/>
      <c r="F1350" s="34">
        <f>IF(A1350="","",IFERROR(INT(A1350),"check date"))</f>
        <v/>
      </c>
      <c r="G1350" s="35">
        <f>IF(B1350="","",IFERROR(INDEX(Students!$A:$A,MATCH(TRIM(B1350),Students!$A:$A,0)),"NOT ON LIST"))</f>
        <v/>
      </c>
      <c r="H1350" s="35">
        <f>IF(OR(G1350="",G1350="NOT ON LIST"),"",VLOOKUP(G1350,Students!$A:$C,2,FALSE))</f>
        <v/>
      </c>
      <c r="I1350" s="35">
        <f>IF(OR(G1350="",G1350="NOT ON LIST"),"",VLOOKUP(G1350,Students!$A:$C,3,FALSE)&amp;"")</f>
        <v/>
      </c>
    </row>
    <row r="1351">
      <c r="A1351" s="31" t="n"/>
      <c r="B1351" s="32" t="n"/>
      <c r="C1351" s="32" t="n"/>
      <c r="D1351" s="33" t="n"/>
      <c r="E1351" s="32" t="n"/>
      <c r="F1351" s="34">
        <f>IF(A1351="","",IFERROR(INT(A1351),"check date"))</f>
        <v/>
      </c>
      <c r="G1351" s="35">
        <f>IF(B1351="","",IFERROR(INDEX(Students!$A:$A,MATCH(TRIM(B1351),Students!$A:$A,0)),"NOT ON LIST"))</f>
        <v/>
      </c>
      <c r="H1351" s="35">
        <f>IF(OR(G1351="",G1351="NOT ON LIST"),"",VLOOKUP(G1351,Students!$A:$C,2,FALSE))</f>
        <v/>
      </c>
      <c r="I1351" s="35">
        <f>IF(OR(G1351="",G1351="NOT ON LIST"),"",VLOOKUP(G1351,Students!$A:$C,3,FALSE)&amp;"")</f>
        <v/>
      </c>
    </row>
    <row r="1352">
      <c r="A1352" s="31" t="n"/>
      <c r="B1352" s="32" t="n"/>
      <c r="C1352" s="32" t="n"/>
      <c r="D1352" s="33" t="n"/>
      <c r="E1352" s="32" t="n"/>
      <c r="F1352" s="34">
        <f>IF(A1352="","",IFERROR(INT(A1352),"check date"))</f>
        <v/>
      </c>
      <c r="G1352" s="35">
        <f>IF(B1352="","",IFERROR(INDEX(Students!$A:$A,MATCH(TRIM(B1352),Students!$A:$A,0)),"NOT ON LIST"))</f>
        <v/>
      </c>
      <c r="H1352" s="35">
        <f>IF(OR(G1352="",G1352="NOT ON LIST"),"",VLOOKUP(G1352,Students!$A:$C,2,FALSE))</f>
        <v/>
      </c>
      <c r="I1352" s="35">
        <f>IF(OR(G1352="",G1352="NOT ON LIST"),"",VLOOKUP(G1352,Students!$A:$C,3,FALSE)&amp;"")</f>
        <v/>
      </c>
    </row>
    <row r="1353">
      <c r="A1353" s="31" t="n"/>
      <c r="B1353" s="32" t="n"/>
      <c r="C1353" s="32" t="n"/>
      <c r="D1353" s="33" t="n"/>
      <c r="E1353" s="32" t="n"/>
      <c r="F1353" s="34">
        <f>IF(A1353="","",IFERROR(INT(A1353),"check date"))</f>
        <v/>
      </c>
      <c r="G1353" s="35">
        <f>IF(B1353="","",IFERROR(INDEX(Students!$A:$A,MATCH(TRIM(B1353),Students!$A:$A,0)),"NOT ON LIST"))</f>
        <v/>
      </c>
      <c r="H1353" s="35">
        <f>IF(OR(G1353="",G1353="NOT ON LIST"),"",VLOOKUP(G1353,Students!$A:$C,2,FALSE))</f>
        <v/>
      </c>
      <c r="I1353" s="35">
        <f>IF(OR(G1353="",G1353="NOT ON LIST"),"",VLOOKUP(G1353,Students!$A:$C,3,FALSE)&amp;"")</f>
        <v/>
      </c>
    </row>
    <row r="1354">
      <c r="A1354" s="31" t="n"/>
      <c r="B1354" s="32" t="n"/>
      <c r="C1354" s="32" t="n"/>
      <c r="D1354" s="33" t="n"/>
      <c r="E1354" s="32" t="n"/>
      <c r="F1354" s="34">
        <f>IF(A1354="","",IFERROR(INT(A1354),"check date"))</f>
        <v/>
      </c>
      <c r="G1354" s="35">
        <f>IF(B1354="","",IFERROR(INDEX(Students!$A:$A,MATCH(TRIM(B1354),Students!$A:$A,0)),"NOT ON LIST"))</f>
        <v/>
      </c>
      <c r="H1354" s="35">
        <f>IF(OR(G1354="",G1354="NOT ON LIST"),"",VLOOKUP(G1354,Students!$A:$C,2,FALSE))</f>
        <v/>
      </c>
      <c r="I1354" s="35">
        <f>IF(OR(G1354="",G1354="NOT ON LIST"),"",VLOOKUP(G1354,Students!$A:$C,3,FALSE)&amp;"")</f>
        <v/>
      </c>
    </row>
    <row r="1355">
      <c r="A1355" s="31" t="n"/>
      <c r="B1355" s="32" t="n"/>
      <c r="C1355" s="32" t="n"/>
      <c r="D1355" s="33" t="n"/>
      <c r="E1355" s="32" t="n"/>
      <c r="F1355" s="34">
        <f>IF(A1355="","",IFERROR(INT(A1355),"check date"))</f>
        <v/>
      </c>
      <c r="G1355" s="35">
        <f>IF(B1355="","",IFERROR(INDEX(Students!$A:$A,MATCH(TRIM(B1355),Students!$A:$A,0)),"NOT ON LIST"))</f>
        <v/>
      </c>
      <c r="H1355" s="35">
        <f>IF(OR(G1355="",G1355="NOT ON LIST"),"",VLOOKUP(G1355,Students!$A:$C,2,FALSE))</f>
        <v/>
      </c>
      <c r="I1355" s="35">
        <f>IF(OR(G1355="",G1355="NOT ON LIST"),"",VLOOKUP(G1355,Students!$A:$C,3,FALSE)&amp;"")</f>
        <v/>
      </c>
    </row>
    <row r="1356">
      <c r="A1356" s="31" t="n"/>
      <c r="B1356" s="32" t="n"/>
      <c r="C1356" s="32" t="n"/>
      <c r="D1356" s="33" t="n"/>
      <c r="E1356" s="32" t="n"/>
      <c r="F1356" s="34">
        <f>IF(A1356="","",IFERROR(INT(A1356),"check date"))</f>
        <v/>
      </c>
      <c r="G1356" s="35">
        <f>IF(B1356="","",IFERROR(INDEX(Students!$A:$A,MATCH(TRIM(B1356),Students!$A:$A,0)),"NOT ON LIST"))</f>
        <v/>
      </c>
      <c r="H1356" s="35">
        <f>IF(OR(G1356="",G1356="NOT ON LIST"),"",VLOOKUP(G1356,Students!$A:$C,2,FALSE))</f>
        <v/>
      </c>
      <c r="I1356" s="35">
        <f>IF(OR(G1356="",G1356="NOT ON LIST"),"",VLOOKUP(G1356,Students!$A:$C,3,FALSE)&amp;"")</f>
        <v/>
      </c>
    </row>
    <row r="1357">
      <c r="A1357" s="31" t="n"/>
      <c r="B1357" s="32" t="n"/>
      <c r="C1357" s="32" t="n"/>
      <c r="D1357" s="33" t="n"/>
      <c r="E1357" s="32" t="n"/>
      <c r="F1357" s="34">
        <f>IF(A1357="","",IFERROR(INT(A1357),"check date"))</f>
        <v/>
      </c>
      <c r="G1357" s="35">
        <f>IF(B1357="","",IFERROR(INDEX(Students!$A:$A,MATCH(TRIM(B1357),Students!$A:$A,0)),"NOT ON LIST"))</f>
        <v/>
      </c>
      <c r="H1357" s="35">
        <f>IF(OR(G1357="",G1357="NOT ON LIST"),"",VLOOKUP(G1357,Students!$A:$C,2,FALSE))</f>
        <v/>
      </c>
      <c r="I1357" s="35">
        <f>IF(OR(G1357="",G1357="NOT ON LIST"),"",VLOOKUP(G1357,Students!$A:$C,3,FALSE)&amp;"")</f>
        <v/>
      </c>
    </row>
    <row r="1358">
      <c r="A1358" s="31" t="n"/>
      <c r="B1358" s="32" t="n"/>
      <c r="C1358" s="32" t="n"/>
      <c r="D1358" s="33" t="n"/>
      <c r="E1358" s="32" t="n"/>
      <c r="F1358" s="34">
        <f>IF(A1358="","",IFERROR(INT(A1358),"check date"))</f>
        <v/>
      </c>
      <c r="G1358" s="35">
        <f>IF(B1358="","",IFERROR(INDEX(Students!$A:$A,MATCH(TRIM(B1358),Students!$A:$A,0)),"NOT ON LIST"))</f>
        <v/>
      </c>
      <c r="H1358" s="35">
        <f>IF(OR(G1358="",G1358="NOT ON LIST"),"",VLOOKUP(G1358,Students!$A:$C,2,FALSE))</f>
        <v/>
      </c>
      <c r="I1358" s="35">
        <f>IF(OR(G1358="",G1358="NOT ON LIST"),"",VLOOKUP(G1358,Students!$A:$C,3,FALSE)&amp;"")</f>
        <v/>
      </c>
    </row>
    <row r="1359">
      <c r="A1359" s="31" t="n"/>
      <c r="B1359" s="32" t="n"/>
      <c r="C1359" s="32" t="n"/>
      <c r="D1359" s="33" t="n"/>
      <c r="E1359" s="32" t="n"/>
      <c r="F1359" s="34">
        <f>IF(A1359="","",IFERROR(INT(A1359),"check date"))</f>
        <v/>
      </c>
      <c r="G1359" s="35">
        <f>IF(B1359="","",IFERROR(INDEX(Students!$A:$A,MATCH(TRIM(B1359),Students!$A:$A,0)),"NOT ON LIST"))</f>
        <v/>
      </c>
      <c r="H1359" s="35">
        <f>IF(OR(G1359="",G1359="NOT ON LIST"),"",VLOOKUP(G1359,Students!$A:$C,2,FALSE))</f>
        <v/>
      </c>
      <c r="I1359" s="35">
        <f>IF(OR(G1359="",G1359="NOT ON LIST"),"",VLOOKUP(G1359,Students!$A:$C,3,FALSE)&amp;"")</f>
        <v/>
      </c>
    </row>
    <row r="1360">
      <c r="A1360" s="31" t="n"/>
      <c r="B1360" s="32" t="n"/>
      <c r="C1360" s="32" t="n"/>
      <c r="D1360" s="33" t="n"/>
      <c r="E1360" s="32" t="n"/>
      <c r="F1360" s="34">
        <f>IF(A1360="","",IFERROR(INT(A1360),"check date"))</f>
        <v/>
      </c>
      <c r="G1360" s="35">
        <f>IF(B1360="","",IFERROR(INDEX(Students!$A:$A,MATCH(TRIM(B1360),Students!$A:$A,0)),"NOT ON LIST"))</f>
        <v/>
      </c>
      <c r="H1360" s="35">
        <f>IF(OR(G1360="",G1360="NOT ON LIST"),"",VLOOKUP(G1360,Students!$A:$C,2,FALSE))</f>
        <v/>
      </c>
      <c r="I1360" s="35">
        <f>IF(OR(G1360="",G1360="NOT ON LIST"),"",VLOOKUP(G1360,Students!$A:$C,3,FALSE)&amp;"")</f>
        <v/>
      </c>
    </row>
    <row r="1361">
      <c r="A1361" s="31" t="n"/>
      <c r="B1361" s="32" t="n"/>
      <c r="C1361" s="32" t="n"/>
      <c r="D1361" s="33" t="n"/>
      <c r="E1361" s="32" t="n"/>
      <c r="F1361" s="34">
        <f>IF(A1361="","",IFERROR(INT(A1361),"check date"))</f>
        <v/>
      </c>
      <c r="G1361" s="35">
        <f>IF(B1361="","",IFERROR(INDEX(Students!$A:$A,MATCH(TRIM(B1361),Students!$A:$A,0)),"NOT ON LIST"))</f>
        <v/>
      </c>
      <c r="H1361" s="35">
        <f>IF(OR(G1361="",G1361="NOT ON LIST"),"",VLOOKUP(G1361,Students!$A:$C,2,FALSE))</f>
        <v/>
      </c>
      <c r="I1361" s="35">
        <f>IF(OR(G1361="",G1361="NOT ON LIST"),"",VLOOKUP(G1361,Students!$A:$C,3,FALSE)&amp;"")</f>
        <v/>
      </c>
    </row>
    <row r="1362">
      <c r="A1362" s="31" t="n"/>
      <c r="B1362" s="32" t="n"/>
      <c r="C1362" s="32" t="n"/>
      <c r="D1362" s="33" t="n"/>
      <c r="E1362" s="32" t="n"/>
      <c r="F1362" s="34">
        <f>IF(A1362="","",IFERROR(INT(A1362),"check date"))</f>
        <v/>
      </c>
      <c r="G1362" s="35">
        <f>IF(B1362="","",IFERROR(INDEX(Students!$A:$A,MATCH(TRIM(B1362),Students!$A:$A,0)),"NOT ON LIST"))</f>
        <v/>
      </c>
      <c r="H1362" s="35">
        <f>IF(OR(G1362="",G1362="NOT ON LIST"),"",VLOOKUP(G1362,Students!$A:$C,2,FALSE))</f>
        <v/>
      </c>
      <c r="I1362" s="35">
        <f>IF(OR(G1362="",G1362="NOT ON LIST"),"",VLOOKUP(G1362,Students!$A:$C,3,FALSE)&amp;"")</f>
        <v/>
      </c>
    </row>
    <row r="1363">
      <c r="A1363" s="31" t="n"/>
      <c r="B1363" s="32" t="n"/>
      <c r="C1363" s="32" t="n"/>
      <c r="D1363" s="33" t="n"/>
      <c r="E1363" s="32" t="n"/>
      <c r="F1363" s="34">
        <f>IF(A1363="","",IFERROR(INT(A1363),"check date"))</f>
        <v/>
      </c>
      <c r="G1363" s="35">
        <f>IF(B1363="","",IFERROR(INDEX(Students!$A:$A,MATCH(TRIM(B1363),Students!$A:$A,0)),"NOT ON LIST"))</f>
        <v/>
      </c>
      <c r="H1363" s="35">
        <f>IF(OR(G1363="",G1363="NOT ON LIST"),"",VLOOKUP(G1363,Students!$A:$C,2,FALSE))</f>
        <v/>
      </c>
      <c r="I1363" s="35">
        <f>IF(OR(G1363="",G1363="NOT ON LIST"),"",VLOOKUP(G1363,Students!$A:$C,3,FALSE)&amp;"")</f>
        <v/>
      </c>
    </row>
    <row r="1364">
      <c r="A1364" s="31" t="n"/>
      <c r="B1364" s="32" t="n"/>
      <c r="C1364" s="32" t="n"/>
      <c r="D1364" s="33" t="n"/>
      <c r="E1364" s="32" t="n"/>
      <c r="F1364" s="34">
        <f>IF(A1364="","",IFERROR(INT(A1364),"check date"))</f>
        <v/>
      </c>
      <c r="G1364" s="35">
        <f>IF(B1364="","",IFERROR(INDEX(Students!$A:$A,MATCH(TRIM(B1364),Students!$A:$A,0)),"NOT ON LIST"))</f>
        <v/>
      </c>
      <c r="H1364" s="35">
        <f>IF(OR(G1364="",G1364="NOT ON LIST"),"",VLOOKUP(G1364,Students!$A:$C,2,FALSE))</f>
        <v/>
      </c>
      <c r="I1364" s="35">
        <f>IF(OR(G1364="",G1364="NOT ON LIST"),"",VLOOKUP(G1364,Students!$A:$C,3,FALSE)&amp;"")</f>
        <v/>
      </c>
    </row>
    <row r="1365">
      <c r="A1365" s="31" t="n"/>
      <c r="B1365" s="32" t="n"/>
      <c r="C1365" s="32" t="n"/>
      <c r="D1365" s="33" t="n"/>
      <c r="E1365" s="32" t="n"/>
      <c r="F1365" s="34">
        <f>IF(A1365="","",IFERROR(INT(A1365),"check date"))</f>
        <v/>
      </c>
      <c r="G1365" s="35">
        <f>IF(B1365="","",IFERROR(INDEX(Students!$A:$A,MATCH(TRIM(B1365),Students!$A:$A,0)),"NOT ON LIST"))</f>
        <v/>
      </c>
      <c r="H1365" s="35">
        <f>IF(OR(G1365="",G1365="NOT ON LIST"),"",VLOOKUP(G1365,Students!$A:$C,2,FALSE))</f>
        <v/>
      </c>
      <c r="I1365" s="35">
        <f>IF(OR(G1365="",G1365="NOT ON LIST"),"",VLOOKUP(G1365,Students!$A:$C,3,FALSE)&amp;"")</f>
        <v/>
      </c>
    </row>
    <row r="1366">
      <c r="A1366" s="31" t="n"/>
      <c r="B1366" s="32" t="n"/>
      <c r="C1366" s="32" t="n"/>
      <c r="D1366" s="33" t="n"/>
      <c r="E1366" s="32" t="n"/>
      <c r="F1366" s="34">
        <f>IF(A1366="","",IFERROR(INT(A1366),"check date"))</f>
        <v/>
      </c>
      <c r="G1366" s="35">
        <f>IF(B1366="","",IFERROR(INDEX(Students!$A:$A,MATCH(TRIM(B1366),Students!$A:$A,0)),"NOT ON LIST"))</f>
        <v/>
      </c>
      <c r="H1366" s="35">
        <f>IF(OR(G1366="",G1366="NOT ON LIST"),"",VLOOKUP(G1366,Students!$A:$C,2,FALSE))</f>
        <v/>
      </c>
      <c r="I1366" s="35">
        <f>IF(OR(G1366="",G1366="NOT ON LIST"),"",VLOOKUP(G1366,Students!$A:$C,3,FALSE)&amp;"")</f>
        <v/>
      </c>
    </row>
    <row r="1367">
      <c r="A1367" s="31" t="n"/>
      <c r="B1367" s="32" t="n"/>
      <c r="C1367" s="32" t="n"/>
      <c r="D1367" s="33" t="n"/>
      <c r="E1367" s="32" t="n"/>
      <c r="F1367" s="34">
        <f>IF(A1367="","",IFERROR(INT(A1367),"check date"))</f>
        <v/>
      </c>
      <c r="G1367" s="35">
        <f>IF(B1367="","",IFERROR(INDEX(Students!$A:$A,MATCH(TRIM(B1367),Students!$A:$A,0)),"NOT ON LIST"))</f>
        <v/>
      </c>
      <c r="H1367" s="35">
        <f>IF(OR(G1367="",G1367="NOT ON LIST"),"",VLOOKUP(G1367,Students!$A:$C,2,FALSE))</f>
        <v/>
      </c>
      <c r="I1367" s="35">
        <f>IF(OR(G1367="",G1367="NOT ON LIST"),"",VLOOKUP(G1367,Students!$A:$C,3,FALSE)&amp;"")</f>
        <v/>
      </c>
    </row>
    <row r="1368">
      <c r="A1368" s="31" t="n"/>
      <c r="B1368" s="32" t="n"/>
      <c r="C1368" s="32" t="n"/>
      <c r="D1368" s="33" t="n"/>
      <c r="E1368" s="32" t="n"/>
      <c r="F1368" s="34">
        <f>IF(A1368="","",IFERROR(INT(A1368),"check date"))</f>
        <v/>
      </c>
      <c r="G1368" s="35">
        <f>IF(B1368="","",IFERROR(INDEX(Students!$A:$A,MATCH(TRIM(B1368),Students!$A:$A,0)),"NOT ON LIST"))</f>
        <v/>
      </c>
      <c r="H1368" s="35">
        <f>IF(OR(G1368="",G1368="NOT ON LIST"),"",VLOOKUP(G1368,Students!$A:$C,2,FALSE))</f>
        <v/>
      </c>
      <c r="I1368" s="35">
        <f>IF(OR(G1368="",G1368="NOT ON LIST"),"",VLOOKUP(G1368,Students!$A:$C,3,FALSE)&amp;"")</f>
        <v/>
      </c>
    </row>
    <row r="1369">
      <c r="A1369" s="31" t="n"/>
      <c r="B1369" s="32" t="n"/>
      <c r="C1369" s="32" t="n"/>
      <c r="D1369" s="33" t="n"/>
      <c r="E1369" s="32" t="n"/>
      <c r="F1369" s="34">
        <f>IF(A1369="","",IFERROR(INT(A1369),"check date"))</f>
        <v/>
      </c>
      <c r="G1369" s="35">
        <f>IF(B1369="","",IFERROR(INDEX(Students!$A:$A,MATCH(TRIM(B1369),Students!$A:$A,0)),"NOT ON LIST"))</f>
        <v/>
      </c>
      <c r="H1369" s="35">
        <f>IF(OR(G1369="",G1369="NOT ON LIST"),"",VLOOKUP(G1369,Students!$A:$C,2,FALSE))</f>
        <v/>
      </c>
      <c r="I1369" s="35">
        <f>IF(OR(G1369="",G1369="NOT ON LIST"),"",VLOOKUP(G1369,Students!$A:$C,3,FALSE)&amp;"")</f>
        <v/>
      </c>
    </row>
    <row r="1370">
      <c r="A1370" s="31" t="n"/>
      <c r="B1370" s="32" t="n"/>
      <c r="C1370" s="32" t="n"/>
      <c r="D1370" s="33" t="n"/>
      <c r="E1370" s="32" t="n"/>
      <c r="F1370" s="34">
        <f>IF(A1370="","",IFERROR(INT(A1370),"check date"))</f>
        <v/>
      </c>
      <c r="G1370" s="35">
        <f>IF(B1370="","",IFERROR(INDEX(Students!$A:$A,MATCH(TRIM(B1370),Students!$A:$A,0)),"NOT ON LIST"))</f>
        <v/>
      </c>
      <c r="H1370" s="35">
        <f>IF(OR(G1370="",G1370="NOT ON LIST"),"",VLOOKUP(G1370,Students!$A:$C,2,FALSE))</f>
        <v/>
      </c>
      <c r="I1370" s="35">
        <f>IF(OR(G1370="",G1370="NOT ON LIST"),"",VLOOKUP(G1370,Students!$A:$C,3,FALSE)&amp;"")</f>
        <v/>
      </c>
    </row>
    <row r="1371">
      <c r="A1371" s="31" t="n"/>
      <c r="B1371" s="32" t="n"/>
      <c r="C1371" s="32" t="n"/>
      <c r="D1371" s="33" t="n"/>
      <c r="E1371" s="32" t="n"/>
      <c r="F1371" s="34">
        <f>IF(A1371="","",IFERROR(INT(A1371),"check date"))</f>
        <v/>
      </c>
      <c r="G1371" s="35">
        <f>IF(B1371="","",IFERROR(INDEX(Students!$A:$A,MATCH(TRIM(B1371),Students!$A:$A,0)),"NOT ON LIST"))</f>
        <v/>
      </c>
      <c r="H1371" s="35">
        <f>IF(OR(G1371="",G1371="NOT ON LIST"),"",VLOOKUP(G1371,Students!$A:$C,2,FALSE))</f>
        <v/>
      </c>
      <c r="I1371" s="35">
        <f>IF(OR(G1371="",G1371="NOT ON LIST"),"",VLOOKUP(G1371,Students!$A:$C,3,FALSE)&amp;"")</f>
        <v/>
      </c>
    </row>
    <row r="1372">
      <c r="A1372" s="31" t="n"/>
      <c r="B1372" s="32" t="n"/>
      <c r="C1372" s="32" t="n"/>
      <c r="D1372" s="33" t="n"/>
      <c r="E1372" s="32" t="n"/>
      <c r="F1372" s="34">
        <f>IF(A1372="","",IFERROR(INT(A1372),"check date"))</f>
        <v/>
      </c>
      <c r="G1372" s="35">
        <f>IF(B1372="","",IFERROR(INDEX(Students!$A:$A,MATCH(TRIM(B1372),Students!$A:$A,0)),"NOT ON LIST"))</f>
        <v/>
      </c>
      <c r="H1372" s="35">
        <f>IF(OR(G1372="",G1372="NOT ON LIST"),"",VLOOKUP(G1372,Students!$A:$C,2,FALSE))</f>
        <v/>
      </c>
      <c r="I1372" s="35">
        <f>IF(OR(G1372="",G1372="NOT ON LIST"),"",VLOOKUP(G1372,Students!$A:$C,3,FALSE)&amp;"")</f>
        <v/>
      </c>
    </row>
    <row r="1373">
      <c r="A1373" s="31" t="n"/>
      <c r="B1373" s="32" t="n"/>
      <c r="C1373" s="32" t="n"/>
      <c r="D1373" s="33" t="n"/>
      <c r="E1373" s="32" t="n"/>
      <c r="F1373" s="34">
        <f>IF(A1373="","",IFERROR(INT(A1373),"check date"))</f>
        <v/>
      </c>
      <c r="G1373" s="35">
        <f>IF(B1373="","",IFERROR(INDEX(Students!$A:$A,MATCH(TRIM(B1373),Students!$A:$A,0)),"NOT ON LIST"))</f>
        <v/>
      </c>
      <c r="H1373" s="35">
        <f>IF(OR(G1373="",G1373="NOT ON LIST"),"",VLOOKUP(G1373,Students!$A:$C,2,FALSE))</f>
        <v/>
      </c>
      <c r="I1373" s="35">
        <f>IF(OR(G1373="",G1373="NOT ON LIST"),"",VLOOKUP(G1373,Students!$A:$C,3,FALSE)&amp;"")</f>
        <v/>
      </c>
    </row>
    <row r="1374">
      <c r="A1374" s="31" t="n"/>
      <c r="B1374" s="32" t="n"/>
      <c r="C1374" s="32" t="n"/>
      <c r="D1374" s="33" t="n"/>
      <c r="E1374" s="32" t="n"/>
      <c r="F1374" s="34">
        <f>IF(A1374="","",IFERROR(INT(A1374),"check date"))</f>
        <v/>
      </c>
      <c r="G1374" s="35">
        <f>IF(B1374="","",IFERROR(INDEX(Students!$A:$A,MATCH(TRIM(B1374),Students!$A:$A,0)),"NOT ON LIST"))</f>
        <v/>
      </c>
      <c r="H1374" s="35">
        <f>IF(OR(G1374="",G1374="NOT ON LIST"),"",VLOOKUP(G1374,Students!$A:$C,2,FALSE))</f>
        <v/>
      </c>
      <c r="I1374" s="35">
        <f>IF(OR(G1374="",G1374="NOT ON LIST"),"",VLOOKUP(G1374,Students!$A:$C,3,FALSE)&amp;"")</f>
        <v/>
      </c>
    </row>
    <row r="1375">
      <c r="A1375" s="31" t="n"/>
      <c r="B1375" s="32" t="n"/>
      <c r="C1375" s="32" t="n"/>
      <c r="D1375" s="33" t="n"/>
      <c r="E1375" s="32" t="n"/>
      <c r="F1375" s="34">
        <f>IF(A1375="","",IFERROR(INT(A1375),"check date"))</f>
        <v/>
      </c>
      <c r="G1375" s="35">
        <f>IF(B1375="","",IFERROR(INDEX(Students!$A:$A,MATCH(TRIM(B1375),Students!$A:$A,0)),"NOT ON LIST"))</f>
        <v/>
      </c>
      <c r="H1375" s="35">
        <f>IF(OR(G1375="",G1375="NOT ON LIST"),"",VLOOKUP(G1375,Students!$A:$C,2,FALSE))</f>
        <v/>
      </c>
      <c r="I1375" s="35">
        <f>IF(OR(G1375="",G1375="NOT ON LIST"),"",VLOOKUP(G1375,Students!$A:$C,3,FALSE)&amp;"")</f>
        <v/>
      </c>
    </row>
    <row r="1376">
      <c r="A1376" s="31" t="n"/>
      <c r="B1376" s="32" t="n"/>
      <c r="C1376" s="32" t="n"/>
      <c r="D1376" s="33" t="n"/>
      <c r="E1376" s="32" t="n"/>
      <c r="F1376" s="34">
        <f>IF(A1376="","",IFERROR(INT(A1376),"check date"))</f>
        <v/>
      </c>
      <c r="G1376" s="35">
        <f>IF(B1376="","",IFERROR(INDEX(Students!$A:$A,MATCH(TRIM(B1376),Students!$A:$A,0)),"NOT ON LIST"))</f>
        <v/>
      </c>
      <c r="H1376" s="35">
        <f>IF(OR(G1376="",G1376="NOT ON LIST"),"",VLOOKUP(G1376,Students!$A:$C,2,FALSE))</f>
        <v/>
      </c>
      <c r="I1376" s="35">
        <f>IF(OR(G1376="",G1376="NOT ON LIST"),"",VLOOKUP(G1376,Students!$A:$C,3,FALSE)&amp;"")</f>
        <v/>
      </c>
    </row>
    <row r="1377">
      <c r="A1377" s="31" t="n"/>
      <c r="B1377" s="32" t="n"/>
      <c r="C1377" s="32" t="n"/>
      <c r="D1377" s="33" t="n"/>
      <c r="E1377" s="32" t="n"/>
      <c r="F1377" s="34">
        <f>IF(A1377="","",IFERROR(INT(A1377),"check date"))</f>
        <v/>
      </c>
      <c r="G1377" s="35">
        <f>IF(B1377="","",IFERROR(INDEX(Students!$A:$A,MATCH(TRIM(B1377),Students!$A:$A,0)),"NOT ON LIST"))</f>
        <v/>
      </c>
      <c r="H1377" s="35">
        <f>IF(OR(G1377="",G1377="NOT ON LIST"),"",VLOOKUP(G1377,Students!$A:$C,2,FALSE))</f>
        <v/>
      </c>
      <c r="I1377" s="35">
        <f>IF(OR(G1377="",G1377="NOT ON LIST"),"",VLOOKUP(G1377,Students!$A:$C,3,FALSE)&amp;"")</f>
        <v/>
      </c>
    </row>
    <row r="1378">
      <c r="A1378" s="31" t="n"/>
      <c r="B1378" s="32" t="n"/>
      <c r="C1378" s="32" t="n"/>
      <c r="D1378" s="33" t="n"/>
      <c r="E1378" s="32" t="n"/>
      <c r="F1378" s="34">
        <f>IF(A1378="","",IFERROR(INT(A1378),"check date"))</f>
        <v/>
      </c>
      <c r="G1378" s="35">
        <f>IF(B1378="","",IFERROR(INDEX(Students!$A:$A,MATCH(TRIM(B1378),Students!$A:$A,0)),"NOT ON LIST"))</f>
        <v/>
      </c>
      <c r="H1378" s="35">
        <f>IF(OR(G1378="",G1378="NOT ON LIST"),"",VLOOKUP(G1378,Students!$A:$C,2,FALSE))</f>
        <v/>
      </c>
      <c r="I1378" s="35">
        <f>IF(OR(G1378="",G1378="NOT ON LIST"),"",VLOOKUP(G1378,Students!$A:$C,3,FALSE)&amp;"")</f>
        <v/>
      </c>
    </row>
    <row r="1379">
      <c r="A1379" s="31" t="n"/>
      <c r="B1379" s="32" t="n"/>
      <c r="C1379" s="32" t="n"/>
      <c r="D1379" s="33" t="n"/>
      <c r="E1379" s="32" t="n"/>
      <c r="F1379" s="34">
        <f>IF(A1379="","",IFERROR(INT(A1379),"check date"))</f>
        <v/>
      </c>
      <c r="G1379" s="35">
        <f>IF(B1379="","",IFERROR(INDEX(Students!$A:$A,MATCH(TRIM(B1379),Students!$A:$A,0)),"NOT ON LIST"))</f>
        <v/>
      </c>
      <c r="H1379" s="35">
        <f>IF(OR(G1379="",G1379="NOT ON LIST"),"",VLOOKUP(G1379,Students!$A:$C,2,FALSE))</f>
        <v/>
      </c>
      <c r="I1379" s="35">
        <f>IF(OR(G1379="",G1379="NOT ON LIST"),"",VLOOKUP(G1379,Students!$A:$C,3,FALSE)&amp;"")</f>
        <v/>
      </c>
    </row>
    <row r="1380">
      <c r="A1380" s="31" t="n"/>
      <c r="B1380" s="32" t="n"/>
      <c r="C1380" s="32" t="n"/>
      <c r="D1380" s="33" t="n"/>
      <c r="E1380" s="32" t="n"/>
      <c r="F1380" s="34">
        <f>IF(A1380="","",IFERROR(INT(A1380),"check date"))</f>
        <v/>
      </c>
      <c r="G1380" s="35">
        <f>IF(B1380="","",IFERROR(INDEX(Students!$A:$A,MATCH(TRIM(B1380),Students!$A:$A,0)),"NOT ON LIST"))</f>
        <v/>
      </c>
      <c r="H1380" s="35">
        <f>IF(OR(G1380="",G1380="NOT ON LIST"),"",VLOOKUP(G1380,Students!$A:$C,2,FALSE))</f>
        <v/>
      </c>
      <c r="I1380" s="35">
        <f>IF(OR(G1380="",G1380="NOT ON LIST"),"",VLOOKUP(G1380,Students!$A:$C,3,FALSE)&amp;"")</f>
        <v/>
      </c>
    </row>
    <row r="1381">
      <c r="A1381" s="31" t="n"/>
      <c r="B1381" s="32" t="n"/>
      <c r="C1381" s="32" t="n"/>
      <c r="D1381" s="33" t="n"/>
      <c r="E1381" s="32" t="n"/>
      <c r="F1381" s="34">
        <f>IF(A1381="","",IFERROR(INT(A1381),"check date"))</f>
        <v/>
      </c>
      <c r="G1381" s="35">
        <f>IF(B1381="","",IFERROR(INDEX(Students!$A:$A,MATCH(TRIM(B1381),Students!$A:$A,0)),"NOT ON LIST"))</f>
        <v/>
      </c>
      <c r="H1381" s="35">
        <f>IF(OR(G1381="",G1381="NOT ON LIST"),"",VLOOKUP(G1381,Students!$A:$C,2,FALSE))</f>
        <v/>
      </c>
      <c r="I1381" s="35">
        <f>IF(OR(G1381="",G1381="NOT ON LIST"),"",VLOOKUP(G1381,Students!$A:$C,3,FALSE)&amp;"")</f>
        <v/>
      </c>
    </row>
    <row r="1382">
      <c r="A1382" s="31" t="n"/>
      <c r="B1382" s="32" t="n"/>
      <c r="C1382" s="32" t="n"/>
      <c r="D1382" s="33" t="n"/>
      <c r="E1382" s="32" t="n"/>
      <c r="F1382" s="34">
        <f>IF(A1382="","",IFERROR(INT(A1382),"check date"))</f>
        <v/>
      </c>
      <c r="G1382" s="35">
        <f>IF(B1382="","",IFERROR(INDEX(Students!$A:$A,MATCH(TRIM(B1382),Students!$A:$A,0)),"NOT ON LIST"))</f>
        <v/>
      </c>
      <c r="H1382" s="35">
        <f>IF(OR(G1382="",G1382="NOT ON LIST"),"",VLOOKUP(G1382,Students!$A:$C,2,FALSE))</f>
        <v/>
      </c>
      <c r="I1382" s="35">
        <f>IF(OR(G1382="",G1382="NOT ON LIST"),"",VLOOKUP(G1382,Students!$A:$C,3,FALSE)&amp;"")</f>
        <v/>
      </c>
    </row>
    <row r="1383">
      <c r="A1383" s="31" t="n"/>
      <c r="B1383" s="32" t="n"/>
      <c r="C1383" s="32" t="n"/>
      <c r="D1383" s="33" t="n"/>
      <c r="E1383" s="32" t="n"/>
      <c r="F1383" s="34">
        <f>IF(A1383="","",IFERROR(INT(A1383),"check date"))</f>
        <v/>
      </c>
      <c r="G1383" s="35">
        <f>IF(B1383="","",IFERROR(INDEX(Students!$A:$A,MATCH(TRIM(B1383),Students!$A:$A,0)),"NOT ON LIST"))</f>
        <v/>
      </c>
      <c r="H1383" s="35">
        <f>IF(OR(G1383="",G1383="NOT ON LIST"),"",VLOOKUP(G1383,Students!$A:$C,2,FALSE))</f>
        <v/>
      </c>
      <c r="I1383" s="35">
        <f>IF(OR(G1383="",G1383="NOT ON LIST"),"",VLOOKUP(G1383,Students!$A:$C,3,FALSE)&amp;"")</f>
        <v/>
      </c>
    </row>
    <row r="1384">
      <c r="A1384" s="31" t="n"/>
      <c r="B1384" s="32" t="n"/>
      <c r="C1384" s="32" t="n"/>
      <c r="D1384" s="33" t="n"/>
      <c r="E1384" s="32" t="n"/>
      <c r="F1384" s="34">
        <f>IF(A1384="","",IFERROR(INT(A1384),"check date"))</f>
        <v/>
      </c>
      <c r="G1384" s="35">
        <f>IF(B1384="","",IFERROR(INDEX(Students!$A:$A,MATCH(TRIM(B1384),Students!$A:$A,0)),"NOT ON LIST"))</f>
        <v/>
      </c>
      <c r="H1384" s="35">
        <f>IF(OR(G1384="",G1384="NOT ON LIST"),"",VLOOKUP(G1384,Students!$A:$C,2,FALSE))</f>
        <v/>
      </c>
      <c r="I1384" s="35">
        <f>IF(OR(G1384="",G1384="NOT ON LIST"),"",VLOOKUP(G1384,Students!$A:$C,3,FALSE)&amp;"")</f>
        <v/>
      </c>
    </row>
    <row r="1385">
      <c r="A1385" s="31" t="n"/>
      <c r="B1385" s="32" t="n"/>
      <c r="C1385" s="32" t="n"/>
      <c r="D1385" s="33" t="n"/>
      <c r="E1385" s="32" t="n"/>
      <c r="F1385" s="34">
        <f>IF(A1385="","",IFERROR(INT(A1385),"check date"))</f>
        <v/>
      </c>
      <c r="G1385" s="35">
        <f>IF(B1385="","",IFERROR(INDEX(Students!$A:$A,MATCH(TRIM(B1385),Students!$A:$A,0)),"NOT ON LIST"))</f>
        <v/>
      </c>
      <c r="H1385" s="35">
        <f>IF(OR(G1385="",G1385="NOT ON LIST"),"",VLOOKUP(G1385,Students!$A:$C,2,FALSE))</f>
        <v/>
      </c>
      <c r="I1385" s="35">
        <f>IF(OR(G1385="",G1385="NOT ON LIST"),"",VLOOKUP(G1385,Students!$A:$C,3,FALSE)&amp;"")</f>
        <v/>
      </c>
    </row>
    <row r="1386">
      <c r="A1386" s="31" t="n"/>
      <c r="B1386" s="32" t="n"/>
      <c r="C1386" s="32" t="n"/>
      <c r="D1386" s="33" t="n"/>
      <c r="E1386" s="32" t="n"/>
      <c r="F1386" s="34">
        <f>IF(A1386="","",IFERROR(INT(A1386),"check date"))</f>
        <v/>
      </c>
      <c r="G1386" s="35">
        <f>IF(B1386="","",IFERROR(INDEX(Students!$A:$A,MATCH(TRIM(B1386),Students!$A:$A,0)),"NOT ON LIST"))</f>
        <v/>
      </c>
      <c r="H1386" s="35">
        <f>IF(OR(G1386="",G1386="NOT ON LIST"),"",VLOOKUP(G1386,Students!$A:$C,2,FALSE))</f>
        <v/>
      </c>
      <c r="I1386" s="35">
        <f>IF(OR(G1386="",G1386="NOT ON LIST"),"",VLOOKUP(G1386,Students!$A:$C,3,FALSE)&amp;"")</f>
        <v/>
      </c>
    </row>
    <row r="1387">
      <c r="A1387" s="31" t="n"/>
      <c r="B1387" s="32" t="n"/>
      <c r="C1387" s="32" t="n"/>
      <c r="D1387" s="33" t="n"/>
      <c r="E1387" s="32" t="n"/>
      <c r="F1387" s="34">
        <f>IF(A1387="","",IFERROR(INT(A1387),"check date"))</f>
        <v/>
      </c>
      <c r="G1387" s="35">
        <f>IF(B1387="","",IFERROR(INDEX(Students!$A:$A,MATCH(TRIM(B1387),Students!$A:$A,0)),"NOT ON LIST"))</f>
        <v/>
      </c>
      <c r="H1387" s="35">
        <f>IF(OR(G1387="",G1387="NOT ON LIST"),"",VLOOKUP(G1387,Students!$A:$C,2,FALSE))</f>
        <v/>
      </c>
      <c r="I1387" s="35">
        <f>IF(OR(G1387="",G1387="NOT ON LIST"),"",VLOOKUP(G1387,Students!$A:$C,3,FALSE)&amp;"")</f>
        <v/>
      </c>
    </row>
    <row r="1388">
      <c r="A1388" s="31" t="n"/>
      <c r="B1388" s="32" t="n"/>
      <c r="C1388" s="32" t="n"/>
      <c r="D1388" s="33" t="n"/>
      <c r="E1388" s="32" t="n"/>
      <c r="F1388" s="34">
        <f>IF(A1388="","",IFERROR(INT(A1388),"check date"))</f>
        <v/>
      </c>
      <c r="G1388" s="35">
        <f>IF(B1388="","",IFERROR(INDEX(Students!$A:$A,MATCH(TRIM(B1388),Students!$A:$A,0)),"NOT ON LIST"))</f>
        <v/>
      </c>
      <c r="H1388" s="35">
        <f>IF(OR(G1388="",G1388="NOT ON LIST"),"",VLOOKUP(G1388,Students!$A:$C,2,FALSE))</f>
        <v/>
      </c>
      <c r="I1388" s="35">
        <f>IF(OR(G1388="",G1388="NOT ON LIST"),"",VLOOKUP(G1388,Students!$A:$C,3,FALSE)&amp;"")</f>
        <v/>
      </c>
    </row>
    <row r="1389">
      <c r="A1389" s="31" t="n"/>
      <c r="B1389" s="32" t="n"/>
      <c r="C1389" s="32" t="n"/>
      <c r="D1389" s="33" t="n"/>
      <c r="E1389" s="32" t="n"/>
      <c r="F1389" s="34">
        <f>IF(A1389="","",IFERROR(INT(A1389),"check date"))</f>
        <v/>
      </c>
      <c r="G1389" s="35">
        <f>IF(B1389="","",IFERROR(INDEX(Students!$A:$A,MATCH(TRIM(B1389),Students!$A:$A,0)),"NOT ON LIST"))</f>
        <v/>
      </c>
      <c r="H1389" s="35">
        <f>IF(OR(G1389="",G1389="NOT ON LIST"),"",VLOOKUP(G1389,Students!$A:$C,2,FALSE))</f>
        <v/>
      </c>
      <c r="I1389" s="35">
        <f>IF(OR(G1389="",G1389="NOT ON LIST"),"",VLOOKUP(G1389,Students!$A:$C,3,FALSE)&amp;"")</f>
        <v/>
      </c>
    </row>
    <row r="1390">
      <c r="A1390" s="31" t="n"/>
      <c r="B1390" s="32" t="n"/>
      <c r="C1390" s="32" t="n"/>
      <c r="D1390" s="33" t="n"/>
      <c r="E1390" s="32" t="n"/>
      <c r="F1390" s="34">
        <f>IF(A1390="","",IFERROR(INT(A1390),"check date"))</f>
        <v/>
      </c>
      <c r="G1390" s="35">
        <f>IF(B1390="","",IFERROR(INDEX(Students!$A:$A,MATCH(TRIM(B1390),Students!$A:$A,0)),"NOT ON LIST"))</f>
        <v/>
      </c>
      <c r="H1390" s="35">
        <f>IF(OR(G1390="",G1390="NOT ON LIST"),"",VLOOKUP(G1390,Students!$A:$C,2,FALSE))</f>
        <v/>
      </c>
      <c r="I1390" s="35">
        <f>IF(OR(G1390="",G1390="NOT ON LIST"),"",VLOOKUP(G1390,Students!$A:$C,3,FALSE)&amp;"")</f>
        <v/>
      </c>
    </row>
    <row r="1391">
      <c r="A1391" s="31" t="n"/>
      <c r="B1391" s="32" t="n"/>
      <c r="C1391" s="32" t="n"/>
      <c r="D1391" s="33" t="n"/>
      <c r="E1391" s="32" t="n"/>
      <c r="F1391" s="34">
        <f>IF(A1391="","",IFERROR(INT(A1391),"check date"))</f>
        <v/>
      </c>
      <c r="G1391" s="35">
        <f>IF(B1391="","",IFERROR(INDEX(Students!$A:$A,MATCH(TRIM(B1391),Students!$A:$A,0)),"NOT ON LIST"))</f>
        <v/>
      </c>
      <c r="H1391" s="35">
        <f>IF(OR(G1391="",G1391="NOT ON LIST"),"",VLOOKUP(G1391,Students!$A:$C,2,FALSE))</f>
        <v/>
      </c>
      <c r="I1391" s="35">
        <f>IF(OR(G1391="",G1391="NOT ON LIST"),"",VLOOKUP(G1391,Students!$A:$C,3,FALSE)&amp;"")</f>
        <v/>
      </c>
    </row>
    <row r="1392">
      <c r="A1392" s="31" t="n"/>
      <c r="B1392" s="32" t="n"/>
      <c r="C1392" s="32" t="n"/>
      <c r="D1392" s="33" t="n"/>
      <c r="E1392" s="32" t="n"/>
      <c r="F1392" s="34">
        <f>IF(A1392="","",IFERROR(INT(A1392),"check date"))</f>
        <v/>
      </c>
      <c r="G1392" s="35">
        <f>IF(B1392="","",IFERROR(INDEX(Students!$A:$A,MATCH(TRIM(B1392),Students!$A:$A,0)),"NOT ON LIST"))</f>
        <v/>
      </c>
      <c r="H1392" s="35">
        <f>IF(OR(G1392="",G1392="NOT ON LIST"),"",VLOOKUP(G1392,Students!$A:$C,2,FALSE))</f>
        <v/>
      </c>
      <c r="I1392" s="35">
        <f>IF(OR(G1392="",G1392="NOT ON LIST"),"",VLOOKUP(G1392,Students!$A:$C,3,FALSE)&amp;"")</f>
        <v/>
      </c>
    </row>
    <row r="1393">
      <c r="A1393" s="31" t="n"/>
      <c r="B1393" s="32" t="n"/>
      <c r="C1393" s="32" t="n"/>
      <c r="D1393" s="33" t="n"/>
      <c r="E1393" s="32" t="n"/>
      <c r="F1393" s="34">
        <f>IF(A1393="","",IFERROR(INT(A1393),"check date"))</f>
        <v/>
      </c>
      <c r="G1393" s="35">
        <f>IF(B1393="","",IFERROR(INDEX(Students!$A:$A,MATCH(TRIM(B1393),Students!$A:$A,0)),"NOT ON LIST"))</f>
        <v/>
      </c>
      <c r="H1393" s="35">
        <f>IF(OR(G1393="",G1393="NOT ON LIST"),"",VLOOKUP(G1393,Students!$A:$C,2,FALSE))</f>
        <v/>
      </c>
      <c r="I1393" s="35">
        <f>IF(OR(G1393="",G1393="NOT ON LIST"),"",VLOOKUP(G1393,Students!$A:$C,3,FALSE)&amp;"")</f>
        <v/>
      </c>
    </row>
    <row r="1394">
      <c r="A1394" s="31" t="n"/>
      <c r="B1394" s="32" t="n"/>
      <c r="C1394" s="32" t="n"/>
      <c r="D1394" s="33" t="n"/>
      <c r="E1394" s="32" t="n"/>
      <c r="F1394" s="34">
        <f>IF(A1394="","",IFERROR(INT(A1394),"check date"))</f>
        <v/>
      </c>
      <c r="G1394" s="35">
        <f>IF(B1394="","",IFERROR(INDEX(Students!$A:$A,MATCH(TRIM(B1394),Students!$A:$A,0)),"NOT ON LIST"))</f>
        <v/>
      </c>
      <c r="H1394" s="35">
        <f>IF(OR(G1394="",G1394="NOT ON LIST"),"",VLOOKUP(G1394,Students!$A:$C,2,FALSE))</f>
        <v/>
      </c>
      <c r="I1394" s="35">
        <f>IF(OR(G1394="",G1394="NOT ON LIST"),"",VLOOKUP(G1394,Students!$A:$C,3,FALSE)&amp;"")</f>
        <v/>
      </c>
    </row>
    <row r="1395">
      <c r="A1395" s="31" t="n"/>
      <c r="B1395" s="32" t="n"/>
      <c r="C1395" s="32" t="n"/>
      <c r="D1395" s="33" t="n"/>
      <c r="E1395" s="32" t="n"/>
      <c r="F1395" s="34">
        <f>IF(A1395="","",IFERROR(INT(A1395),"check date"))</f>
        <v/>
      </c>
      <c r="G1395" s="35">
        <f>IF(B1395="","",IFERROR(INDEX(Students!$A:$A,MATCH(TRIM(B1395),Students!$A:$A,0)),"NOT ON LIST"))</f>
        <v/>
      </c>
      <c r="H1395" s="35">
        <f>IF(OR(G1395="",G1395="NOT ON LIST"),"",VLOOKUP(G1395,Students!$A:$C,2,FALSE))</f>
        <v/>
      </c>
      <c r="I1395" s="35">
        <f>IF(OR(G1395="",G1395="NOT ON LIST"),"",VLOOKUP(G1395,Students!$A:$C,3,FALSE)&amp;"")</f>
        <v/>
      </c>
    </row>
    <row r="1396">
      <c r="A1396" s="31" t="n"/>
      <c r="B1396" s="32" t="n"/>
      <c r="C1396" s="32" t="n"/>
      <c r="D1396" s="33" t="n"/>
      <c r="E1396" s="32" t="n"/>
      <c r="F1396" s="34">
        <f>IF(A1396="","",IFERROR(INT(A1396),"check date"))</f>
        <v/>
      </c>
      <c r="G1396" s="35">
        <f>IF(B1396="","",IFERROR(INDEX(Students!$A:$A,MATCH(TRIM(B1396),Students!$A:$A,0)),"NOT ON LIST"))</f>
        <v/>
      </c>
      <c r="H1396" s="35">
        <f>IF(OR(G1396="",G1396="NOT ON LIST"),"",VLOOKUP(G1396,Students!$A:$C,2,FALSE))</f>
        <v/>
      </c>
      <c r="I1396" s="35">
        <f>IF(OR(G1396="",G1396="NOT ON LIST"),"",VLOOKUP(G1396,Students!$A:$C,3,FALSE)&amp;"")</f>
        <v/>
      </c>
    </row>
    <row r="1397">
      <c r="A1397" s="31" t="n"/>
      <c r="B1397" s="32" t="n"/>
      <c r="C1397" s="32" t="n"/>
      <c r="D1397" s="33" t="n"/>
      <c r="E1397" s="32" t="n"/>
      <c r="F1397" s="34">
        <f>IF(A1397="","",IFERROR(INT(A1397),"check date"))</f>
        <v/>
      </c>
      <c r="G1397" s="35">
        <f>IF(B1397="","",IFERROR(INDEX(Students!$A:$A,MATCH(TRIM(B1397),Students!$A:$A,0)),"NOT ON LIST"))</f>
        <v/>
      </c>
      <c r="H1397" s="35">
        <f>IF(OR(G1397="",G1397="NOT ON LIST"),"",VLOOKUP(G1397,Students!$A:$C,2,FALSE))</f>
        <v/>
      </c>
      <c r="I1397" s="35">
        <f>IF(OR(G1397="",G1397="NOT ON LIST"),"",VLOOKUP(G1397,Students!$A:$C,3,FALSE)&amp;"")</f>
        <v/>
      </c>
    </row>
    <row r="1398">
      <c r="A1398" s="31" t="n"/>
      <c r="B1398" s="32" t="n"/>
      <c r="C1398" s="32" t="n"/>
      <c r="D1398" s="33" t="n"/>
      <c r="E1398" s="32" t="n"/>
      <c r="F1398" s="34">
        <f>IF(A1398="","",IFERROR(INT(A1398),"check date"))</f>
        <v/>
      </c>
      <c r="G1398" s="35">
        <f>IF(B1398="","",IFERROR(INDEX(Students!$A:$A,MATCH(TRIM(B1398),Students!$A:$A,0)),"NOT ON LIST"))</f>
        <v/>
      </c>
      <c r="H1398" s="35">
        <f>IF(OR(G1398="",G1398="NOT ON LIST"),"",VLOOKUP(G1398,Students!$A:$C,2,FALSE))</f>
        <v/>
      </c>
      <c r="I1398" s="35">
        <f>IF(OR(G1398="",G1398="NOT ON LIST"),"",VLOOKUP(G1398,Students!$A:$C,3,FALSE)&amp;"")</f>
        <v/>
      </c>
    </row>
    <row r="1399">
      <c r="A1399" s="31" t="n"/>
      <c r="B1399" s="32" t="n"/>
      <c r="C1399" s="32" t="n"/>
      <c r="D1399" s="33" t="n"/>
      <c r="E1399" s="32" t="n"/>
      <c r="F1399" s="34">
        <f>IF(A1399="","",IFERROR(INT(A1399),"check date"))</f>
        <v/>
      </c>
      <c r="G1399" s="35">
        <f>IF(B1399="","",IFERROR(INDEX(Students!$A:$A,MATCH(TRIM(B1399),Students!$A:$A,0)),"NOT ON LIST"))</f>
        <v/>
      </c>
      <c r="H1399" s="35">
        <f>IF(OR(G1399="",G1399="NOT ON LIST"),"",VLOOKUP(G1399,Students!$A:$C,2,FALSE))</f>
        <v/>
      </c>
      <c r="I1399" s="35">
        <f>IF(OR(G1399="",G1399="NOT ON LIST"),"",VLOOKUP(G1399,Students!$A:$C,3,FALSE)&amp;"")</f>
        <v/>
      </c>
    </row>
    <row r="1400">
      <c r="A1400" s="31" t="n"/>
      <c r="B1400" s="32" t="n"/>
      <c r="C1400" s="32" t="n"/>
      <c r="D1400" s="33" t="n"/>
      <c r="E1400" s="32" t="n"/>
      <c r="F1400" s="34">
        <f>IF(A1400="","",IFERROR(INT(A1400),"check date"))</f>
        <v/>
      </c>
      <c r="G1400" s="35">
        <f>IF(B1400="","",IFERROR(INDEX(Students!$A:$A,MATCH(TRIM(B1400),Students!$A:$A,0)),"NOT ON LIST"))</f>
        <v/>
      </c>
      <c r="H1400" s="35">
        <f>IF(OR(G1400="",G1400="NOT ON LIST"),"",VLOOKUP(G1400,Students!$A:$C,2,FALSE))</f>
        <v/>
      </c>
      <c r="I1400" s="35">
        <f>IF(OR(G1400="",G1400="NOT ON LIST"),"",VLOOKUP(G1400,Students!$A:$C,3,FALSE)&amp;"")</f>
        <v/>
      </c>
    </row>
    <row r="1401">
      <c r="A1401" s="31" t="n"/>
      <c r="B1401" s="32" t="n"/>
      <c r="C1401" s="32" t="n"/>
      <c r="D1401" s="33" t="n"/>
      <c r="E1401" s="32" t="n"/>
      <c r="F1401" s="34">
        <f>IF(A1401="","",IFERROR(INT(A1401),"check date"))</f>
        <v/>
      </c>
      <c r="G1401" s="35">
        <f>IF(B1401="","",IFERROR(INDEX(Students!$A:$A,MATCH(TRIM(B1401),Students!$A:$A,0)),"NOT ON LIST"))</f>
        <v/>
      </c>
      <c r="H1401" s="35">
        <f>IF(OR(G1401="",G1401="NOT ON LIST"),"",VLOOKUP(G1401,Students!$A:$C,2,FALSE))</f>
        <v/>
      </c>
      <c r="I1401" s="35">
        <f>IF(OR(G1401="",G1401="NOT ON LIST"),"",VLOOKUP(G1401,Students!$A:$C,3,FALSE)&amp;"")</f>
        <v/>
      </c>
    </row>
    <row r="1402">
      <c r="A1402" s="31" t="n"/>
      <c r="B1402" s="32" t="n"/>
      <c r="C1402" s="32" t="n"/>
      <c r="D1402" s="33" t="n"/>
      <c r="E1402" s="32" t="n"/>
      <c r="F1402" s="34">
        <f>IF(A1402="","",IFERROR(INT(A1402),"check date"))</f>
        <v/>
      </c>
      <c r="G1402" s="35">
        <f>IF(B1402="","",IFERROR(INDEX(Students!$A:$A,MATCH(TRIM(B1402),Students!$A:$A,0)),"NOT ON LIST"))</f>
        <v/>
      </c>
      <c r="H1402" s="35">
        <f>IF(OR(G1402="",G1402="NOT ON LIST"),"",VLOOKUP(G1402,Students!$A:$C,2,FALSE))</f>
        <v/>
      </c>
      <c r="I1402" s="35">
        <f>IF(OR(G1402="",G1402="NOT ON LIST"),"",VLOOKUP(G1402,Students!$A:$C,3,FALSE)&amp;"")</f>
        <v/>
      </c>
    </row>
    <row r="1403">
      <c r="A1403" s="31" t="n"/>
      <c r="B1403" s="32" t="n"/>
      <c r="C1403" s="32" t="n"/>
      <c r="D1403" s="33" t="n"/>
      <c r="E1403" s="32" t="n"/>
      <c r="F1403" s="34">
        <f>IF(A1403="","",IFERROR(INT(A1403),"check date"))</f>
        <v/>
      </c>
      <c r="G1403" s="35">
        <f>IF(B1403="","",IFERROR(INDEX(Students!$A:$A,MATCH(TRIM(B1403),Students!$A:$A,0)),"NOT ON LIST"))</f>
        <v/>
      </c>
      <c r="H1403" s="35">
        <f>IF(OR(G1403="",G1403="NOT ON LIST"),"",VLOOKUP(G1403,Students!$A:$C,2,FALSE))</f>
        <v/>
      </c>
      <c r="I1403" s="35">
        <f>IF(OR(G1403="",G1403="NOT ON LIST"),"",VLOOKUP(G1403,Students!$A:$C,3,FALSE)&amp;"")</f>
        <v/>
      </c>
    </row>
    <row r="1404">
      <c r="A1404" s="31" t="n"/>
      <c r="B1404" s="32" t="n"/>
      <c r="C1404" s="32" t="n"/>
      <c r="D1404" s="33" t="n"/>
      <c r="E1404" s="32" t="n"/>
      <c r="F1404" s="34">
        <f>IF(A1404="","",IFERROR(INT(A1404),"check date"))</f>
        <v/>
      </c>
      <c r="G1404" s="35">
        <f>IF(B1404="","",IFERROR(INDEX(Students!$A:$A,MATCH(TRIM(B1404),Students!$A:$A,0)),"NOT ON LIST"))</f>
        <v/>
      </c>
      <c r="H1404" s="35">
        <f>IF(OR(G1404="",G1404="NOT ON LIST"),"",VLOOKUP(G1404,Students!$A:$C,2,FALSE))</f>
        <v/>
      </c>
      <c r="I1404" s="35">
        <f>IF(OR(G1404="",G1404="NOT ON LIST"),"",VLOOKUP(G1404,Students!$A:$C,3,FALSE)&amp;"")</f>
        <v/>
      </c>
    </row>
    <row r="1405">
      <c r="A1405" s="31" t="n"/>
      <c r="B1405" s="32" t="n"/>
      <c r="C1405" s="32" t="n"/>
      <c r="D1405" s="33" t="n"/>
      <c r="E1405" s="32" t="n"/>
      <c r="F1405" s="34">
        <f>IF(A1405="","",IFERROR(INT(A1405),"check date"))</f>
        <v/>
      </c>
      <c r="G1405" s="35">
        <f>IF(B1405="","",IFERROR(INDEX(Students!$A:$A,MATCH(TRIM(B1405),Students!$A:$A,0)),"NOT ON LIST"))</f>
        <v/>
      </c>
      <c r="H1405" s="35">
        <f>IF(OR(G1405="",G1405="NOT ON LIST"),"",VLOOKUP(G1405,Students!$A:$C,2,FALSE))</f>
        <v/>
      </c>
      <c r="I1405" s="35">
        <f>IF(OR(G1405="",G1405="NOT ON LIST"),"",VLOOKUP(G1405,Students!$A:$C,3,FALSE)&amp;"")</f>
        <v/>
      </c>
    </row>
    <row r="1406">
      <c r="A1406" s="31" t="n"/>
      <c r="B1406" s="32" t="n"/>
      <c r="C1406" s="32" t="n"/>
      <c r="D1406" s="33" t="n"/>
      <c r="E1406" s="32" t="n"/>
      <c r="F1406" s="34">
        <f>IF(A1406="","",IFERROR(INT(A1406),"check date"))</f>
        <v/>
      </c>
      <c r="G1406" s="35">
        <f>IF(B1406="","",IFERROR(INDEX(Students!$A:$A,MATCH(TRIM(B1406),Students!$A:$A,0)),"NOT ON LIST"))</f>
        <v/>
      </c>
      <c r="H1406" s="35">
        <f>IF(OR(G1406="",G1406="NOT ON LIST"),"",VLOOKUP(G1406,Students!$A:$C,2,FALSE))</f>
        <v/>
      </c>
      <c r="I1406" s="35">
        <f>IF(OR(G1406="",G1406="NOT ON LIST"),"",VLOOKUP(G1406,Students!$A:$C,3,FALSE)&amp;"")</f>
        <v/>
      </c>
    </row>
    <row r="1407">
      <c r="A1407" s="31" t="n"/>
      <c r="B1407" s="32" t="n"/>
      <c r="C1407" s="32" t="n"/>
      <c r="D1407" s="33" t="n"/>
      <c r="E1407" s="32" t="n"/>
      <c r="F1407" s="34">
        <f>IF(A1407="","",IFERROR(INT(A1407),"check date"))</f>
        <v/>
      </c>
      <c r="G1407" s="35">
        <f>IF(B1407="","",IFERROR(INDEX(Students!$A:$A,MATCH(TRIM(B1407),Students!$A:$A,0)),"NOT ON LIST"))</f>
        <v/>
      </c>
      <c r="H1407" s="35">
        <f>IF(OR(G1407="",G1407="NOT ON LIST"),"",VLOOKUP(G1407,Students!$A:$C,2,FALSE))</f>
        <v/>
      </c>
      <c r="I1407" s="35">
        <f>IF(OR(G1407="",G1407="NOT ON LIST"),"",VLOOKUP(G1407,Students!$A:$C,3,FALSE)&amp;"")</f>
        <v/>
      </c>
    </row>
    <row r="1408">
      <c r="A1408" s="31" t="n"/>
      <c r="B1408" s="32" t="n"/>
      <c r="C1408" s="32" t="n"/>
      <c r="D1408" s="33" t="n"/>
      <c r="E1408" s="32" t="n"/>
      <c r="F1408" s="34">
        <f>IF(A1408="","",IFERROR(INT(A1408),"check date"))</f>
        <v/>
      </c>
      <c r="G1408" s="35">
        <f>IF(B1408="","",IFERROR(INDEX(Students!$A:$A,MATCH(TRIM(B1408),Students!$A:$A,0)),"NOT ON LIST"))</f>
        <v/>
      </c>
      <c r="H1408" s="35">
        <f>IF(OR(G1408="",G1408="NOT ON LIST"),"",VLOOKUP(G1408,Students!$A:$C,2,FALSE))</f>
        <v/>
      </c>
      <c r="I1408" s="35">
        <f>IF(OR(G1408="",G1408="NOT ON LIST"),"",VLOOKUP(G1408,Students!$A:$C,3,FALSE)&amp;"")</f>
        <v/>
      </c>
    </row>
    <row r="1409">
      <c r="A1409" s="31" t="n"/>
      <c r="B1409" s="32" t="n"/>
      <c r="C1409" s="32" t="n"/>
      <c r="D1409" s="33" t="n"/>
      <c r="E1409" s="32" t="n"/>
      <c r="F1409" s="34">
        <f>IF(A1409="","",IFERROR(INT(A1409),"check date"))</f>
        <v/>
      </c>
      <c r="G1409" s="35">
        <f>IF(B1409="","",IFERROR(INDEX(Students!$A:$A,MATCH(TRIM(B1409),Students!$A:$A,0)),"NOT ON LIST"))</f>
        <v/>
      </c>
      <c r="H1409" s="35">
        <f>IF(OR(G1409="",G1409="NOT ON LIST"),"",VLOOKUP(G1409,Students!$A:$C,2,FALSE))</f>
        <v/>
      </c>
      <c r="I1409" s="35">
        <f>IF(OR(G1409="",G1409="NOT ON LIST"),"",VLOOKUP(G1409,Students!$A:$C,3,FALSE)&amp;"")</f>
        <v/>
      </c>
    </row>
    <row r="1410">
      <c r="A1410" s="31" t="n"/>
      <c r="B1410" s="32" t="n"/>
      <c r="C1410" s="32" t="n"/>
      <c r="D1410" s="33" t="n"/>
      <c r="E1410" s="32" t="n"/>
      <c r="F1410" s="34">
        <f>IF(A1410="","",IFERROR(INT(A1410),"check date"))</f>
        <v/>
      </c>
      <c r="G1410" s="35">
        <f>IF(B1410="","",IFERROR(INDEX(Students!$A:$A,MATCH(TRIM(B1410),Students!$A:$A,0)),"NOT ON LIST"))</f>
        <v/>
      </c>
      <c r="H1410" s="35">
        <f>IF(OR(G1410="",G1410="NOT ON LIST"),"",VLOOKUP(G1410,Students!$A:$C,2,FALSE))</f>
        <v/>
      </c>
      <c r="I1410" s="35">
        <f>IF(OR(G1410="",G1410="NOT ON LIST"),"",VLOOKUP(G1410,Students!$A:$C,3,FALSE)&amp;"")</f>
        <v/>
      </c>
    </row>
    <row r="1411">
      <c r="A1411" s="31" t="n"/>
      <c r="B1411" s="32" t="n"/>
      <c r="C1411" s="32" t="n"/>
      <c r="D1411" s="33" t="n"/>
      <c r="E1411" s="32" t="n"/>
      <c r="F1411" s="34">
        <f>IF(A1411="","",IFERROR(INT(A1411),"check date"))</f>
        <v/>
      </c>
      <c r="G1411" s="35">
        <f>IF(B1411="","",IFERROR(INDEX(Students!$A:$A,MATCH(TRIM(B1411),Students!$A:$A,0)),"NOT ON LIST"))</f>
        <v/>
      </c>
      <c r="H1411" s="35">
        <f>IF(OR(G1411="",G1411="NOT ON LIST"),"",VLOOKUP(G1411,Students!$A:$C,2,FALSE))</f>
        <v/>
      </c>
      <c r="I1411" s="35">
        <f>IF(OR(G1411="",G1411="NOT ON LIST"),"",VLOOKUP(G1411,Students!$A:$C,3,FALSE)&amp;"")</f>
        <v/>
      </c>
    </row>
    <row r="1412">
      <c r="A1412" s="31" t="n"/>
      <c r="B1412" s="32" t="n"/>
      <c r="C1412" s="32" t="n"/>
      <c r="D1412" s="33" t="n"/>
      <c r="E1412" s="32" t="n"/>
      <c r="F1412" s="34">
        <f>IF(A1412="","",IFERROR(INT(A1412),"check date"))</f>
        <v/>
      </c>
      <c r="G1412" s="35">
        <f>IF(B1412="","",IFERROR(INDEX(Students!$A:$A,MATCH(TRIM(B1412),Students!$A:$A,0)),"NOT ON LIST"))</f>
        <v/>
      </c>
      <c r="H1412" s="35">
        <f>IF(OR(G1412="",G1412="NOT ON LIST"),"",VLOOKUP(G1412,Students!$A:$C,2,FALSE))</f>
        <v/>
      </c>
      <c r="I1412" s="35">
        <f>IF(OR(G1412="",G1412="NOT ON LIST"),"",VLOOKUP(G1412,Students!$A:$C,3,FALSE)&amp;"")</f>
        <v/>
      </c>
    </row>
    <row r="1413">
      <c r="A1413" s="31" t="n"/>
      <c r="B1413" s="32" t="n"/>
      <c r="C1413" s="32" t="n"/>
      <c r="D1413" s="33" t="n"/>
      <c r="E1413" s="32" t="n"/>
      <c r="F1413" s="34">
        <f>IF(A1413="","",IFERROR(INT(A1413),"check date"))</f>
        <v/>
      </c>
      <c r="G1413" s="35">
        <f>IF(B1413="","",IFERROR(INDEX(Students!$A:$A,MATCH(TRIM(B1413),Students!$A:$A,0)),"NOT ON LIST"))</f>
        <v/>
      </c>
      <c r="H1413" s="35">
        <f>IF(OR(G1413="",G1413="NOT ON LIST"),"",VLOOKUP(G1413,Students!$A:$C,2,FALSE))</f>
        <v/>
      </c>
      <c r="I1413" s="35">
        <f>IF(OR(G1413="",G1413="NOT ON LIST"),"",VLOOKUP(G1413,Students!$A:$C,3,FALSE)&amp;"")</f>
        <v/>
      </c>
    </row>
    <row r="1414">
      <c r="A1414" s="31" t="n"/>
      <c r="B1414" s="32" t="n"/>
      <c r="C1414" s="32" t="n"/>
      <c r="D1414" s="33" t="n"/>
      <c r="E1414" s="32" t="n"/>
      <c r="F1414" s="34">
        <f>IF(A1414="","",IFERROR(INT(A1414),"check date"))</f>
        <v/>
      </c>
      <c r="G1414" s="35">
        <f>IF(B1414="","",IFERROR(INDEX(Students!$A:$A,MATCH(TRIM(B1414),Students!$A:$A,0)),"NOT ON LIST"))</f>
        <v/>
      </c>
      <c r="H1414" s="35">
        <f>IF(OR(G1414="",G1414="NOT ON LIST"),"",VLOOKUP(G1414,Students!$A:$C,2,FALSE))</f>
        <v/>
      </c>
      <c r="I1414" s="35">
        <f>IF(OR(G1414="",G1414="NOT ON LIST"),"",VLOOKUP(G1414,Students!$A:$C,3,FALSE)&amp;"")</f>
        <v/>
      </c>
    </row>
    <row r="1415">
      <c r="A1415" s="31" t="n"/>
      <c r="B1415" s="32" t="n"/>
      <c r="C1415" s="32" t="n"/>
      <c r="D1415" s="33" t="n"/>
      <c r="E1415" s="32" t="n"/>
      <c r="F1415" s="34">
        <f>IF(A1415="","",IFERROR(INT(A1415),"check date"))</f>
        <v/>
      </c>
      <c r="G1415" s="35">
        <f>IF(B1415="","",IFERROR(INDEX(Students!$A:$A,MATCH(TRIM(B1415),Students!$A:$A,0)),"NOT ON LIST"))</f>
        <v/>
      </c>
      <c r="H1415" s="35">
        <f>IF(OR(G1415="",G1415="NOT ON LIST"),"",VLOOKUP(G1415,Students!$A:$C,2,FALSE))</f>
        <v/>
      </c>
      <c r="I1415" s="35">
        <f>IF(OR(G1415="",G1415="NOT ON LIST"),"",VLOOKUP(G1415,Students!$A:$C,3,FALSE)&amp;"")</f>
        <v/>
      </c>
    </row>
    <row r="1416">
      <c r="A1416" s="31" t="n"/>
      <c r="B1416" s="32" t="n"/>
      <c r="C1416" s="32" t="n"/>
      <c r="D1416" s="33" t="n"/>
      <c r="E1416" s="32" t="n"/>
      <c r="F1416" s="34">
        <f>IF(A1416="","",IFERROR(INT(A1416),"check date"))</f>
        <v/>
      </c>
      <c r="G1416" s="35">
        <f>IF(B1416="","",IFERROR(INDEX(Students!$A:$A,MATCH(TRIM(B1416),Students!$A:$A,0)),"NOT ON LIST"))</f>
        <v/>
      </c>
      <c r="H1416" s="35">
        <f>IF(OR(G1416="",G1416="NOT ON LIST"),"",VLOOKUP(G1416,Students!$A:$C,2,FALSE))</f>
        <v/>
      </c>
      <c r="I1416" s="35">
        <f>IF(OR(G1416="",G1416="NOT ON LIST"),"",VLOOKUP(G1416,Students!$A:$C,3,FALSE)&amp;"")</f>
        <v/>
      </c>
    </row>
    <row r="1417">
      <c r="A1417" s="31" t="n"/>
      <c r="B1417" s="32" t="n"/>
      <c r="C1417" s="32" t="n"/>
      <c r="D1417" s="33" t="n"/>
      <c r="E1417" s="32" t="n"/>
      <c r="F1417" s="34">
        <f>IF(A1417="","",IFERROR(INT(A1417),"check date"))</f>
        <v/>
      </c>
      <c r="G1417" s="35">
        <f>IF(B1417="","",IFERROR(INDEX(Students!$A:$A,MATCH(TRIM(B1417),Students!$A:$A,0)),"NOT ON LIST"))</f>
        <v/>
      </c>
      <c r="H1417" s="35">
        <f>IF(OR(G1417="",G1417="NOT ON LIST"),"",VLOOKUP(G1417,Students!$A:$C,2,FALSE))</f>
        <v/>
      </c>
      <c r="I1417" s="35">
        <f>IF(OR(G1417="",G1417="NOT ON LIST"),"",VLOOKUP(G1417,Students!$A:$C,3,FALSE)&amp;"")</f>
        <v/>
      </c>
    </row>
    <row r="1418">
      <c r="A1418" s="31" t="n"/>
      <c r="B1418" s="32" t="n"/>
      <c r="C1418" s="32" t="n"/>
      <c r="D1418" s="33" t="n"/>
      <c r="E1418" s="32" t="n"/>
      <c r="F1418" s="34">
        <f>IF(A1418="","",IFERROR(INT(A1418),"check date"))</f>
        <v/>
      </c>
      <c r="G1418" s="35">
        <f>IF(B1418="","",IFERROR(INDEX(Students!$A:$A,MATCH(TRIM(B1418),Students!$A:$A,0)),"NOT ON LIST"))</f>
        <v/>
      </c>
      <c r="H1418" s="35">
        <f>IF(OR(G1418="",G1418="NOT ON LIST"),"",VLOOKUP(G1418,Students!$A:$C,2,FALSE))</f>
        <v/>
      </c>
      <c r="I1418" s="35">
        <f>IF(OR(G1418="",G1418="NOT ON LIST"),"",VLOOKUP(G1418,Students!$A:$C,3,FALSE)&amp;"")</f>
        <v/>
      </c>
    </row>
    <row r="1419">
      <c r="A1419" s="31" t="n"/>
      <c r="B1419" s="32" t="n"/>
      <c r="C1419" s="32" t="n"/>
      <c r="D1419" s="33" t="n"/>
      <c r="E1419" s="32" t="n"/>
      <c r="F1419" s="34">
        <f>IF(A1419="","",IFERROR(INT(A1419),"check date"))</f>
        <v/>
      </c>
      <c r="G1419" s="35">
        <f>IF(B1419="","",IFERROR(INDEX(Students!$A:$A,MATCH(TRIM(B1419),Students!$A:$A,0)),"NOT ON LIST"))</f>
        <v/>
      </c>
      <c r="H1419" s="35">
        <f>IF(OR(G1419="",G1419="NOT ON LIST"),"",VLOOKUP(G1419,Students!$A:$C,2,FALSE))</f>
        <v/>
      </c>
      <c r="I1419" s="35">
        <f>IF(OR(G1419="",G1419="NOT ON LIST"),"",VLOOKUP(G1419,Students!$A:$C,3,FALSE)&amp;"")</f>
        <v/>
      </c>
    </row>
    <row r="1420">
      <c r="A1420" s="31" t="n"/>
      <c r="B1420" s="32" t="n"/>
      <c r="C1420" s="32" t="n"/>
      <c r="D1420" s="33" t="n"/>
      <c r="E1420" s="32" t="n"/>
      <c r="F1420" s="34">
        <f>IF(A1420="","",IFERROR(INT(A1420),"check date"))</f>
        <v/>
      </c>
      <c r="G1420" s="35">
        <f>IF(B1420="","",IFERROR(INDEX(Students!$A:$A,MATCH(TRIM(B1420),Students!$A:$A,0)),"NOT ON LIST"))</f>
        <v/>
      </c>
      <c r="H1420" s="35">
        <f>IF(OR(G1420="",G1420="NOT ON LIST"),"",VLOOKUP(G1420,Students!$A:$C,2,FALSE))</f>
        <v/>
      </c>
      <c r="I1420" s="35">
        <f>IF(OR(G1420="",G1420="NOT ON LIST"),"",VLOOKUP(G1420,Students!$A:$C,3,FALSE)&amp;"")</f>
        <v/>
      </c>
    </row>
    <row r="1421">
      <c r="A1421" s="31" t="n"/>
      <c r="B1421" s="32" t="n"/>
      <c r="C1421" s="32" t="n"/>
      <c r="D1421" s="33" t="n"/>
      <c r="E1421" s="32" t="n"/>
      <c r="F1421" s="34">
        <f>IF(A1421="","",IFERROR(INT(A1421),"check date"))</f>
        <v/>
      </c>
      <c r="G1421" s="35">
        <f>IF(B1421="","",IFERROR(INDEX(Students!$A:$A,MATCH(TRIM(B1421),Students!$A:$A,0)),"NOT ON LIST"))</f>
        <v/>
      </c>
      <c r="H1421" s="35">
        <f>IF(OR(G1421="",G1421="NOT ON LIST"),"",VLOOKUP(G1421,Students!$A:$C,2,FALSE))</f>
        <v/>
      </c>
      <c r="I1421" s="35">
        <f>IF(OR(G1421="",G1421="NOT ON LIST"),"",VLOOKUP(G1421,Students!$A:$C,3,FALSE)&amp;"")</f>
        <v/>
      </c>
    </row>
    <row r="1422">
      <c r="A1422" s="31" t="n"/>
      <c r="B1422" s="32" t="n"/>
      <c r="C1422" s="32" t="n"/>
      <c r="D1422" s="33" t="n"/>
      <c r="E1422" s="32" t="n"/>
      <c r="F1422" s="34">
        <f>IF(A1422="","",IFERROR(INT(A1422),"check date"))</f>
        <v/>
      </c>
      <c r="G1422" s="35">
        <f>IF(B1422="","",IFERROR(INDEX(Students!$A:$A,MATCH(TRIM(B1422),Students!$A:$A,0)),"NOT ON LIST"))</f>
        <v/>
      </c>
      <c r="H1422" s="35">
        <f>IF(OR(G1422="",G1422="NOT ON LIST"),"",VLOOKUP(G1422,Students!$A:$C,2,FALSE))</f>
        <v/>
      </c>
      <c r="I1422" s="35">
        <f>IF(OR(G1422="",G1422="NOT ON LIST"),"",VLOOKUP(G1422,Students!$A:$C,3,FALSE)&amp;"")</f>
        <v/>
      </c>
    </row>
    <row r="1423">
      <c r="A1423" s="31" t="n"/>
      <c r="B1423" s="32" t="n"/>
      <c r="C1423" s="32" t="n"/>
      <c r="D1423" s="33" t="n"/>
      <c r="E1423" s="32" t="n"/>
      <c r="F1423" s="34">
        <f>IF(A1423="","",IFERROR(INT(A1423),"check date"))</f>
        <v/>
      </c>
      <c r="G1423" s="35">
        <f>IF(B1423="","",IFERROR(INDEX(Students!$A:$A,MATCH(TRIM(B1423),Students!$A:$A,0)),"NOT ON LIST"))</f>
        <v/>
      </c>
      <c r="H1423" s="35">
        <f>IF(OR(G1423="",G1423="NOT ON LIST"),"",VLOOKUP(G1423,Students!$A:$C,2,FALSE))</f>
        <v/>
      </c>
      <c r="I1423" s="35">
        <f>IF(OR(G1423="",G1423="NOT ON LIST"),"",VLOOKUP(G1423,Students!$A:$C,3,FALSE)&amp;"")</f>
        <v/>
      </c>
    </row>
    <row r="1424">
      <c r="A1424" s="31" t="n"/>
      <c r="B1424" s="32" t="n"/>
      <c r="C1424" s="32" t="n"/>
      <c r="D1424" s="33" t="n"/>
      <c r="E1424" s="32" t="n"/>
      <c r="F1424" s="34">
        <f>IF(A1424="","",IFERROR(INT(A1424),"check date"))</f>
        <v/>
      </c>
      <c r="G1424" s="35">
        <f>IF(B1424="","",IFERROR(INDEX(Students!$A:$A,MATCH(TRIM(B1424),Students!$A:$A,0)),"NOT ON LIST"))</f>
        <v/>
      </c>
      <c r="H1424" s="35">
        <f>IF(OR(G1424="",G1424="NOT ON LIST"),"",VLOOKUP(G1424,Students!$A:$C,2,FALSE))</f>
        <v/>
      </c>
      <c r="I1424" s="35">
        <f>IF(OR(G1424="",G1424="NOT ON LIST"),"",VLOOKUP(G1424,Students!$A:$C,3,FALSE)&amp;"")</f>
        <v/>
      </c>
    </row>
    <row r="1425">
      <c r="A1425" s="31" t="n"/>
      <c r="B1425" s="32" t="n"/>
      <c r="C1425" s="32" t="n"/>
      <c r="D1425" s="33" t="n"/>
      <c r="E1425" s="32" t="n"/>
      <c r="F1425" s="34">
        <f>IF(A1425="","",IFERROR(INT(A1425),"check date"))</f>
        <v/>
      </c>
      <c r="G1425" s="35">
        <f>IF(B1425="","",IFERROR(INDEX(Students!$A:$A,MATCH(TRIM(B1425),Students!$A:$A,0)),"NOT ON LIST"))</f>
        <v/>
      </c>
      <c r="H1425" s="35">
        <f>IF(OR(G1425="",G1425="NOT ON LIST"),"",VLOOKUP(G1425,Students!$A:$C,2,FALSE))</f>
        <v/>
      </c>
      <c r="I1425" s="35">
        <f>IF(OR(G1425="",G1425="NOT ON LIST"),"",VLOOKUP(G1425,Students!$A:$C,3,FALSE)&amp;"")</f>
        <v/>
      </c>
    </row>
    <row r="1426">
      <c r="A1426" s="31" t="n"/>
      <c r="B1426" s="32" t="n"/>
      <c r="C1426" s="32" t="n"/>
      <c r="D1426" s="33" t="n"/>
      <c r="E1426" s="32" t="n"/>
      <c r="F1426" s="34">
        <f>IF(A1426="","",IFERROR(INT(A1426),"check date"))</f>
        <v/>
      </c>
      <c r="G1426" s="35">
        <f>IF(B1426="","",IFERROR(INDEX(Students!$A:$A,MATCH(TRIM(B1426),Students!$A:$A,0)),"NOT ON LIST"))</f>
        <v/>
      </c>
      <c r="H1426" s="35">
        <f>IF(OR(G1426="",G1426="NOT ON LIST"),"",VLOOKUP(G1426,Students!$A:$C,2,FALSE))</f>
        <v/>
      </c>
      <c r="I1426" s="35">
        <f>IF(OR(G1426="",G1426="NOT ON LIST"),"",VLOOKUP(G1426,Students!$A:$C,3,FALSE)&amp;"")</f>
        <v/>
      </c>
    </row>
    <row r="1427">
      <c r="A1427" s="31" t="n"/>
      <c r="B1427" s="32" t="n"/>
      <c r="C1427" s="32" t="n"/>
      <c r="D1427" s="33" t="n"/>
      <c r="E1427" s="32" t="n"/>
      <c r="F1427" s="34">
        <f>IF(A1427="","",IFERROR(INT(A1427),"check date"))</f>
        <v/>
      </c>
      <c r="G1427" s="35">
        <f>IF(B1427="","",IFERROR(INDEX(Students!$A:$A,MATCH(TRIM(B1427),Students!$A:$A,0)),"NOT ON LIST"))</f>
        <v/>
      </c>
      <c r="H1427" s="35">
        <f>IF(OR(G1427="",G1427="NOT ON LIST"),"",VLOOKUP(G1427,Students!$A:$C,2,FALSE))</f>
        <v/>
      </c>
      <c r="I1427" s="35">
        <f>IF(OR(G1427="",G1427="NOT ON LIST"),"",VLOOKUP(G1427,Students!$A:$C,3,FALSE)&amp;"")</f>
        <v/>
      </c>
    </row>
    <row r="1428">
      <c r="A1428" s="31" t="n"/>
      <c r="B1428" s="32" t="n"/>
      <c r="C1428" s="32" t="n"/>
      <c r="D1428" s="33" t="n"/>
      <c r="E1428" s="32" t="n"/>
      <c r="F1428" s="34">
        <f>IF(A1428="","",IFERROR(INT(A1428),"check date"))</f>
        <v/>
      </c>
      <c r="G1428" s="35">
        <f>IF(B1428="","",IFERROR(INDEX(Students!$A:$A,MATCH(TRIM(B1428),Students!$A:$A,0)),"NOT ON LIST"))</f>
        <v/>
      </c>
      <c r="H1428" s="35">
        <f>IF(OR(G1428="",G1428="NOT ON LIST"),"",VLOOKUP(G1428,Students!$A:$C,2,FALSE))</f>
        <v/>
      </c>
      <c r="I1428" s="35">
        <f>IF(OR(G1428="",G1428="NOT ON LIST"),"",VLOOKUP(G1428,Students!$A:$C,3,FALSE)&amp;"")</f>
        <v/>
      </c>
    </row>
    <row r="1429">
      <c r="A1429" s="31" t="n"/>
      <c r="B1429" s="32" t="n"/>
      <c r="C1429" s="32" t="n"/>
      <c r="D1429" s="33" t="n"/>
      <c r="E1429" s="32" t="n"/>
      <c r="F1429" s="34">
        <f>IF(A1429="","",IFERROR(INT(A1429),"check date"))</f>
        <v/>
      </c>
      <c r="G1429" s="35">
        <f>IF(B1429="","",IFERROR(INDEX(Students!$A:$A,MATCH(TRIM(B1429),Students!$A:$A,0)),"NOT ON LIST"))</f>
        <v/>
      </c>
      <c r="H1429" s="35">
        <f>IF(OR(G1429="",G1429="NOT ON LIST"),"",VLOOKUP(G1429,Students!$A:$C,2,FALSE))</f>
        <v/>
      </c>
      <c r="I1429" s="35">
        <f>IF(OR(G1429="",G1429="NOT ON LIST"),"",VLOOKUP(G1429,Students!$A:$C,3,FALSE)&amp;"")</f>
        <v/>
      </c>
    </row>
    <row r="1430">
      <c r="A1430" s="31" t="n"/>
      <c r="B1430" s="32" t="n"/>
      <c r="C1430" s="32" t="n"/>
      <c r="D1430" s="33" t="n"/>
      <c r="E1430" s="32" t="n"/>
      <c r="F1430" s="34">
        <f>IF(A1430="","",IFERROR(INT(A1430),"check date"))</f>
        <v/>
      </c>
      <c r="G1430" s="35">
        <f>IF(B1430="","",IFERROR(INDEX(Students!$A:$A,MATCH(TRIM(B1430),Students!$A:$A,0)),"NOT ON LIST"))</f>
        <v/>
      </c>
      <c r="H1430" s="35">
        <f>IF(OR(G1430="",G1430="NOT ON LIST"),"",VLOOKUP(G1430,Students!$A:$C,2,FALSE))</f>
        <v/>
      </c>
      <c r="I1430" s="35">
        <f>IF(OR(G1430="",G1430="NOT ON LIST"),"",VLOOKUP(G1430,Students!$A:$C,3,FALSE)&amp;"")</f>
        <v/>
      </c>
    </row>
    <row r="1431">
      <c r="A1431" s="31" t="n"/>
      <c r="B1431" s="32" t="n"/>
      <c r="C1431" s="32" t="n"/>
      <c r="D1431" s="33" t="n"/>
      <c r="E1431" s="32" t="n"/>
      <c r="F1431" s="34">
        <f>IF(A1431="","",IFERROR(INT(A1431),"check date"))</f>
        <v/>
      </c>
      <c r="G1431" s="35">
        <f>IF(B1431="","",IFERROR(INDEX(Students!$A:$A,MATCH(TRIM(B1431),Students!$A:$A,0)),"NOT ON LIST"))</f>
        <v/>
      </c>
      <c r="H1431" s="35">
        <f>IF(OR(G1431="",G1431="NOT ON LIST"),"",VLOOKUP(G1431,Students!$A:$C,2,FALSE))</f>
        <v/>
      </c>
      <c r="I1431" s="35">
        <f>IF(OR(G1431="",G1431="NOT ON LIST"),"",VLOOKUP(G1431,Students!$A:$C,3,FALSE)&amp;"")</f>
        <v/>
      </c>
    </row>
    <row r="1432">
      <c r="A1432" s="31" t="n"/>
      <c r="B1432" s="32" t="n"/>
      <c r="C1432" s="32" t="n"/>
      <c r="D1432" s="33" t="n"/>
      <c r="E1432" s="32" t="n"/>
      <c r="F1432" s="34">
        <f>IF(A1432="","",IFERROR(INT(A1432),"check date"))</f>
        <v/>
      </c>
      <c r="G1432" s="35">
        <f>IF(B1432="","",IFERROR(INDEX(Students!$A:$A,MATCH(TRIM(B1432),Students!$A:$A,0)),"NOT ON LIST"))</f>
        <v/>
      </c>
      <c r="H1432" s="35">
        <f>IF(OR(G1432="",G1432="NOT ON LIST"),"",VLOOKUP(G1432,Students!$A:$C,2,FALSE))</f>
        <v/>
      </c>
      <c r="I1432" s="35">
        <f>IF(OR(G1432="",G1432="NOT ON LIST"),"",VLOOKUP(G1432,Students!$A:$C,3,FALSE)&amp;"")</f>
        <v/>
      </c>
    </row>
    <row r="1433">
      <c r="A1433" s="31" t="n"/>
      <c r="B1433" s="32" t="n"/>
      <c r="C1433" s="32" t="n"/>
      <c r="D1433" s="33" t="n"/>
      <c r="E1433" s="32" t="n"/>
      <c r="F1433" s="34">
        <f>IF(A1433="","",IFERROR(INT(A1433),"check date"))</f>
        <v/>
      </c>
      <c r="G1433" s="35">
        <f>IF(B1433="","",IFERROR(INDEX(Students!$A:$A,MATCH(TRIM(B1433),Students!$A:$A,0)),"NOT ON LIST"))</f>
        <v/>
      </c>
      <c r="H1433" s="35">
        <f>IF(OR(G1433="",G1433="NOT ON LIST"),"",VLOOKUP(G1433,Students!$A:$C,2,FALSE))</f>
        <v/>
      </c>
      <c r="I1433" s="35">
        <f>IF(OR(G1433="",G1433="NOT ON LIST"),"",VLOOKUP(G1433,Students!$A:$C,3,FALSE)&amp;"")</f>
        <v/>
      </c>
    </row>
    <row r="1434">
      <c r="A1434" s="31" t="n"/>
      <c r="B1434" s="32" t="n"/>
      <c r="C1434" s="32" t="n"/>
      <c r="D1434" s="33" t="n"/>
      <c r="E1434" s="32" t="n"/>
      <c r="F1434" s="34">
        <f>IF(A1434="","",IFERROR(INT(A1434),"check date"))</f>
        <v/>
      </c>
      <c r="G1434" s="35">
        <f>IF(B1434="","",IFERROR(INDEX(Students!$A:$A,MATCH(TRIM(B1434),Students!$A:$A,0)),"NOT ON LIST"))</f>
        <v/>
      </c>
      <c r="H1434" s="35">
        <f>IF(OR(G1434="",G1434="NOT ON LIST"),"",VLOOKUP(G1434,Students!$A:$C,2,FALSE))</f>
        <v/>
      </c>
      <c r="I1434" s="35">
        <f>IF(OR(G1434="",G1434="NOT ON LIST"),"",VLOOKUP(G1434,Students!$A:$C,3,FALSE)&amp;"")</f>
        <v/>
      </c>
    </row>
    <row r="1435">
      <c r="A1435" s="31" t="n"/>
      <c r="B1435" s="32" t="n"/>
      <c r="C1435" s="32" t="n"/>
      <c r="D1435" s="33" t="n"/>
      <c r="E1435" s="32" t="n"/>
      <c r="F1435" s="34">
        <f>IF(A1435="","",IFERROR(INT(A1435),"check date"))</f>
        <v/>
      </c>
      <c r="G1435" s="35">
        <f>IF(B1435="","",IFERROR(INDEX(Students!$A:$A,MATCH(TRIM(B1435),Students!$A:$A,0)),"NOT ON LIST"))</f>
        <v/>
      </c>
      <c r="H1435" s="35">
        <f>IF(OR(G1435="",G1435="NOT ON LIST"),"",VLOOKUP(G1435,Students!$A:$C,2,FALSE))</f>
        <v/>
      </c>
      <c r="I1435" s="35">
        <f>IF(OR(G1435="",G1435="NOT ON LIST"),"",VLOOKUP(G1435,Students!$A:$C,3,FALSE)&amp;"")</f>
        <v/>
      </c>
    </row>
    <row r="1436">
      <c r="A1436" s="31" t="n"/>
      <c r="B1436" s="32" t="n"/>
      <c r="C1436" s="32" t="n"/>
      <c r="D1436" s="33" t="n"/>
      <c r="E1436" s="32" t="n"/>
      <c r="F1436" s="34">
        <f>IF(A1436="","",IFERROR(INT(A1436),"check date"))</f>
        <v/>
      </c>
      <c r="G1436" s="35">
        <f>IF(B1436="","",IFERROR(INDEX(Students!$A:$A,MATCH(TRIM(B1436),Students!$A:$A,0)),"NOT ON LIST"))</f>
        <v/>
      </c>
      <c r="H1436" s="35">
        <f>IF(OR(G1436="",G1436="NOT ON LIST"),"",VLOOKUP(G1436,Students!$A:$C,2,FALSE))</f>
        <v/>
      </c>
      <c r="I1436" s="35">
        <f>IF(OR(G1436="",G1436="NOT ON LIST"),"",VLOOKUP(G1436,Students!$A:$C,3,FALSE)&amp;"")</f>
        <v/>
      </c>
    </row>
    <row r="1437">
      <c r="A1437" s="31" t="n"/>
      <c r="B1437" s="32" t="n"/>
      <c r="C1437" s="32" t="n"/>
      <c r="D1437" s="33" t="n"/>
      <c r="E1437" s="32" t="n"/>
      <c r="F1437" s="34">
        <f>IF(A1437="","",IFERROR(INT(A1437),"check date"))</f>
        <v/>
      </c>
      <c r="G1437" s="35">
        <f>IF(B1437="","",IFERROR(INDEX(Students!$A:$A,MATCH(TRIM(B1437),Students!$A:$A,0)),"NOT ON LIST"))</f>
        <v/>
      </c>
      <c r="H1437" s="35">
        <f>IF(OR(G1437="",G1437="NOT ON LIST"),"",VLOOKUP(G1437,Students!$A:$C,2,FALSE))</f>
        <v/>
      </c>
      <c r="I1437" s="35">
        <f>IF(OR(G1437="",G1437="NOT ON LIST"),"",VLOOKUP(G1437,Students!$A:$C,3,FALSE)&amp;"")</f>
        <v/>
      </c>
    </row>
    <row r="1438">
      <c r="A1438" s="31" t="n"/>
      <c r="B1438" s="32" t="n"/>
      <c r="C1438" s="32" t="n"/>
      <c r="D1438" s="33" t="n"/>
      <c r="E1438" s="32" t="n"/>
      <c r="F1438" s="34">
        <f>IF(A1438="","",IFERROR(INT(A1438),"check date"))</f>
        <v/>
      </c>
      <c r="G1438" s="35">
        <f>IF(B1438="","",IFERROR(INDEX(Students!$A:$A,MATCH(TRIM(B1438),Students!$A:$A,0)),"NOT ON LIST"))</f>
        <v/>
      </c>
      <c r="H1438" s="35">
        <f>IF(OR(G1438="",G1438="NOT ON LIST"),"",VLOOKUP(G1438,Students!$A:$C,2,FALSE))</f>
        <v/>
      </c>
      <c r="I1438" s="35">
        <f>IF(OR(G1438="",G1438="NOT ON LIST"),"",VLOOKUP(G1438,Students!$A:$C,3,FALSE)&amp;"")</f>
        <v/>
      </c>
    </row>
    <row r="1439">
      <c r="A1439" s="31" t="n"/>
      <c r="B1439" s="32" t="n"/>
      <c r="C1439" s="32" t="n"/>
      <c r="D1439" s="33" t="n"/>
      <c r="E1439" s="32" t="n"/>
      <c r="F1439" s="34">
        <f>IF(A1439="","",IFERROR(INT(A1439),"check date"))</f>
        <v/>
      </c>
      <c r="G1439" s="35">
        <f>IF(B1439="","",IFERROR(INDEX(Students!$A:$A,MATCH(TRIM(B1439),Students!$A:$A,0)),"NOT ON LIST"))</f>
        <v/>
      </c>
      <c r="H1439" s="35">
        <f>IF(OR(G1439="",G1439="NOT ON LIST"),"",VLOOKUP(G1439,Students!$A:$C,2,FALSE))</f>
        <v/>
      </c>
      <c r="I1439" s="35">
        <f>IF(OR(G1439="",G1439="NOT ON LIST"),"",VLOOKUP(G1439,Students!$A:$C,3,FALSE)&amp;"")</f>
        <v/>
      </c>
    </row>
    <row r="1440">
      <c r="A1440" s="31" t="n"/>
      <c r="B1440" s="32" t="n"/>
      <c r="C1440" s="32" t="n"/>
      <c r="D1440" s="33" t="n"/>
      <c r="E1440" s="32" t="n"/>
      <c r="F1440" s="34">
        <f>IF(A1440="","",IFERROR(INT(A1440),"check date"))</f>
        <v/>
      </c>
      <c r="G1440" s="35">
        <f>IF(B1440="","",IFERROR(INDEX(Students!$A:$A,MATCH(TRIM(B1440),Students!$A:$A,0)),"NOT ON LIST"))</f>
        <v/>
      </c>
      <c r="H1440" s="35">
        <f>IF(OR(G1440="",G1440="NOT ON LIST"),"",VLOOKUP(G1440,Students!$A:$C,2,FALSE))</f>
        <v/>
      </c>
      <c r="I1440" s="35">
        <f>IF(OR(G1440="",G1440="NOT ON LIST"),"",VLOOKUP(G1440,Students!$A:$C,3,FALSE)&amp;"")</f>
        <v/>
      </c>
    </row>
    <row r="1441">
      <c r="A1441" s="31" t="n"/>
      <c r="B1441" s="32" t="n"/>
      <c r="C1441" s="32" t="n"/>
      <c r="D1441" s="33" t="n"/>
      <c r="E1441" s="32" t="n"/>
      <c r="F1441" s="34">
        <f>IF(A1441="","",IFERROR(INT(A1441),"check date"))</f>
        <v/>
      </c>
      <c r="G1441" s="35">
        <f>IF(B1441="","",IFERROR(INDEX(Students!$A:$A,MATCH(TRIM(B1441),Students!$A:$A,0)),"NOT ON LIST"))</f>
        <v/>
      </c>
      <c r="H1441" s="35">
        <f>IF(OR(G1441="",G1441="NOT ON LIST"),"",VLOOKUP(G1441,Students!$A:$C,2,FALSE))</f>
        <v/>
      </c>
      <c r="I1441" s="35">
        <f>IF(OR(G1441="",G1441="NOT ON LIST"),"",VLOOKUP(G1441,Students!$A:$C,3,FALSE)&amp;"")</f>
        <v/>
      </c>
    </row>
    <row r="1442">
      <c r="A1442" s="31" t="n"/>
      <c r="B1442" s="32" t="n"/>
      <c r="C1442" s="32" t="n"/>
      <c r="D1442" s="33" t="n"/>
      <c r="E1442" s="32" t="n"/>
      <c r="F1442" s="34">
        <f>IF(A1442="","",IFERROR(INT(A1442),"check date"))</f>
        <v/>
      </c>
      <c r="G1442" s="35">
        <f>IF(B1442="","",IFERROR(INDEX(Students!$A:$A,MATCH(TRIM(B1442),Students!$A:$A,0)),"NOT ON LIST"))</f>
        <v/>
      </c>
      <c r="H1442" s="35">
        <f>IF(OR(G1442="",G1442="NOT ON LIST"),"",VLOOKUP(G1442,Students!$A:$C,2,FALSE))</f>
        <v/>
      </c>
      <c r="I1442" s="35">
        <f>IF(OR(G1442="",G1442="NOT ON LIST"),"",VLOOKUP(G1442,Students!$A:$C,3,FALSE)&amp;"")</f>
        <v/>
      </c>
    </row>
    <row r="1443">
      <c r="A1443" s="31" t="n"/>
      <c r="B1443" s="32" t="n"/>
      <c r="C1443" s="32" t="n"/>
      <c r="D1443" s="33" t="n"/>
      <c r="E1443" s="32" t="n"/>
      <c r="F1443" s="34">
        <f>IF(A1443="","",IFERROR(INT(A1443),"check date"))</f>
        <v/>
      </c>
      <c r="G1443" s="35">
        <f>IF(B1443="","",IFERROR(INDEX(Students!$A:$A,MATCH(TRIM(B1443),Students!$A:$A,0)),"NOT ON LIST"))</f>
        <v/>
      </c>
      <c r="H1443" s="35">
        <f>IF(OR(G1443="",G1443="NOT ON LIST"),"",VLOOKUP(G1443,Students!$A:$C,2,FALSE))</f>
        <v/>
      </c>
      <c r="I1443" s="35">
        <f>IF(OR(G1443="",G1443="NOT ON LIST"),"",VLOOKUP(G1443,Students!$A:$C,3,FALSE)&amp;"")</f>
        <v/>
      </c>
    </row>
    <row r="1444">
      <c r="A1444" s="31" t="n"/>
      <c r="B1444" s="32" t="n"/>
      <c r="C1444" s="32" t="n"/>
      <c r="D1444" s="33" t="n"/>
      <c r="E1444" s="32" t="n"/>
      <c r="F1444" s="34">
        <f>IF(A1444="","",IFERROR(INT(A1444),"check date"))</f>
        <v/>
      </c>
      <c r="G1444" s="35">
        <f>IF(B1444="","",IFERROR(INDEX(Students!$A:$A,MATCH(TRIM(B1444),Students!$A:$A,0)),"NOT ON LIST"))</f>
        <v/>
      </c>
      <c r="H1444" s="35">
        <f>IF(OR(G1444="",G1444="NOT ON LIST"),"",VLOOKUP(G1444,Students!$A:$C,2,FALSE))</f>
        <v/>
      </c>
      <c r="I1444" s="35">
        <f>IF(OR(G1444="",G1444="NOT ON LIST"),"",VLOOKUP(G1444,Students!$A:$C,3,FALSE)&amp;"")</f>
        <v/>
      </c>
    </row>
    <row r="1445">
      <c r="A1445" s="31" t="n"/>
      <c r="B1445" s="32" t="n"/>
      <c r="C1445" s="32" t="n"/>
      <c r="D1445" s="33" t="n"/>
      <c r="E1445" s="32" t="n"/>
      <c r="F1445" s="34">
        <f>IF(A1445="","",IFERROR(INT(A1445),"check date"))</f>
        <v/>
      </c>
      <c r="G1445" s="35">
        <f>IF(B1445="","",IFERROR(INDEX(Students!$A:$A,MATCH(TRIM(B1445),Students!$A:$A,0)),"NOT ON LIST"))</f>
        <v/>
      </c>
      <c r="H1445" s="35">
        <f>IF(OR(G1445="",G1445="NOT ON LIST"),"",VLOOKUP(G1445,Students!$A:$C,2,FALSE))</f>
        <v/>
      </c>
      <c r="I1445" s="35">
        <f>IF(OR(G1445="",G1445="NOT ON LIST"),"",VLOOKUP(G1445,Students!$A:$C,3,FALSE)&amp;"")</f>
        <v/>
      </c>
    </row>
    <row r="1446">
      <c r="A1446" s="31" t="n"/>
      <c r="B1446" s="32" t="n"/>
      <c r="C1446" s="32" t="n"/>
      <c r="D1446" s="33" t="n"/>
      <c r="E1446" s="32" t="n"/>
      <c r="F1446" s="34">
        <f>IF(A1446="","",IFERROR(INT(A1446),"check date"))</f>
        <v/>
      </c>
      <c r="G1446" s="35">
        <f>IF(B1446="","",IFERROR(INDEX(Students!$A:$A,MATCH(TRIM(B1446),Students!$A:$A,0)),"NOT ON LIST"))</f>
        <v/>
      </c>
      <c r="H1446" s="35">
        <f>IF(OR(G1446="",G1446="NOT ON LIST"),"",VLOOKUP(G1446,Students!$A:$C,2,FALSE))</f>
        <v/>
      </c>
      <c r="I1446" s="35">
        <f>IF(OR(G1446="",G1446="NOT ON LIST"),"",VLOOKUP(G1446,Students!$A:$C,3,FALSE)&amp;"")</f>
        <v/>
      </c>
    </row>
    <row r="1447">
      <c r="A1447" s="31" t="n"/>
      <c r="B1447" s="32" t="n"/>
      <c r="C1447" s="32" t="n"/>
      <c r="D1447" s="33" t="n"/>
      <c r="E1447" s="32" t="n"/>
      <c r="F1447" s="34">
        <f>IF(A1447="","",IFERROR(INT(A1447),"check date"))</f>
        <v/>
      </c>
      <c r="G1447" s="35">
        <f>IF(B1447="","",IFERROR(INDEX(Students!$A:$A,MATCH(TRIM(B1447),Students!$A:$A,0)),"NOT ON LIST"))</f>
        <v/>
      </c>
      <c r="H1447" s="35">
        <f>IF(OR(G1447="",G1447="NOT ON LIST"),"",VLOOKUP(G1447,Students!$A:$C,2,FALSE))</f>
        <v/>
      </c>
      <c r="I1447" s="35">
        <f>IF(OR(G1447="",G1447="NOT ON LIST"),"",VLOOKUP(G1447,Students!$A:$C,3,FALSE)&amp;"")</f>
        <v/>
      </c>
    </row>
    <row r="1448">
      <c r="A1448" s="31" t="n"/>
      <c r="B1448" s="32" t="n"/>
      <c r="C1448" s="32" t="n"/>
      <c r="D1448" s="33" t="n"/>
      <c r="E1448" s="32" t="n"/>
      <c r="F1448" s="34">
        <f>IF(A1448="","",IFERROR(INT(A1448),"check date"))</f>
        <v/>
      </c>
      <c r="G1448" s="35">
        <f>IF(B1448="","",IFERROR(INDEX(Students!$A:$A,MATCH(TRIM(B1448),Students!$A:$A,0)),"NOT ON LIST"))</f>
        <v/>
      </c>
      <c r="H1448" s="35">
        <f>IF(OR(G1448="",G1448="NOT ON LIST"),"",VLOOKUP(G1448,Students!$A:$C,2,FALSE))</f>
        <v/>
      </c>
      <c r="I1448" s="35">
        <f>IF(OR(G1448="",G1448="NOT ON LIST"),"",VLOOKUP(G1448,Students!$A:$C,3,FALSE)&amp;"")</f>
        <v/>
      </c>
    </row>
    <row r="1449">
      <c r="A1449" s="31" t="n"/>
      <c r="B1449" s="32" t="n"/>
      <c r="C1449" s="32" t="n"/>
      <c r="D1449" s="33" t="n"/>
      <c r="E1449" s="32" t="n"/>
      <c r="F1449" s="34">
        <f>IF(A1449="","",IFERROR(INT(A1449),"check date"))</f>
        <v/>
      </c>
      <c r="G1449" s="35">
        <f>IF(B1449="","",IFERROR(INDEX(Students!$A:$A,MATCH(TRIM(B1449),Students!$A:$A,0)),"NOT ON LIST"))</f>
        <v/>
      </c>
      <c r="H1449" s="35">
        <f>IF(OR(G1449="",G1449="NOT ON LIST"),"",VLOOKUP(G1449,Students!$A:$C,2,FALSE))</f>
        <v/>
      </c>
      <c r="I1449" s="35">
        <f>IF(OR(G1449="",G1449="NOT ON LIST"),"",VLOOKUP(G1449,Students!$A:$C,3,FALSE)&amp;"")</f>
        <v/>
      </c>
    </row>
    <row r="1450">
      <c r="A1450" s="31" t="n"/>
      <c r="B1450" s="32" t="n"/>
      <c r="C1450" s="32" t="n"/>
      <c r="D1450" s="33" t="n"/>
      <c r="E1450" s="32" t="n"/>
      <c r="F1450" s="34">
        <f>IF(A1450="","",IFERROR(INT(A1450),"check date"))</f>
        <v/>
      </c>
      <c r="G1450" s="35">
        <f>IF(B1450="","",IFERROR(INDEX(Students!$A:$A,MATCH(TRIM(B1450),Students!$A:$A,0)),"NOT ON LIST"))</f>
        <v/>
      </c>
      <c r="H1450" s="35">
        <f>IF(OR(G1450="",G1450="NOT ON LIST"),"",VLOOKUP(G1450,Students!$A:$C,2,FALSE))</f>
        <v/>
      </c>
      <c r="I1450" s="35">
        <f>IF(OR(G1450="",G1450="NOT ON LIST"),"",VLOOKUP(G1450,Students!$A:$C,3,FALSE)&amp;"")</f>
        <v/>
      </c>
    </row>
    <row r="1451">
      <c r="A1451" s="31" t="n"/>
      <c r="B1451" s="32" t="n"/>
      <c r="C1451" s="32" t="n"/>
      <c r="D1451" s="33" t="n"/>
      <c r="E1451" s="32" t="n"/>
      <c r="F1451" s="34">
        <f>IF(A1451="","",IFERROR(INT(A1451),"check date"))</f>
        <v/>
      </c>
      <c r="G1451" s="35">
        <f>IF(B1451="","",IFERROR(INDEX(Students!$A:$A,MATCH(TRIM(B1451),Students!$A:$A,0)),"NOT ON LIST"))</f>
        <v/>
      </c>
      <c r="H1451" s="35">
        <f>IF(OR(G1451="",G1451="NOT ON LIST"),"",VLOOKUP(G1451,Students!$A:$C,2,FALSE))</f>
        <v/>
      </c>
      <c r="I1451" s="35">
        <f>IF(OR(G1451="",G1451="NOT ON LIST"),"",VLOOKUP(G1451,Students!$A:$C,3,FALSE)&amp;"")</f>
        <v/>
      </c>
    </row>
    <row r="1452">
      <c r="A1452" s="31" t="n"/>
      <c r="B1452" s="32" t="n"/>
      <c r="C1452" s="32" t="n"/>
      <c r="D1452" s="33" t="n"/>
      <c r="E1452" s="32" t="n"/>
      <c r="F1452" s="34">
        <f>IF(A1452="","",IFERROR(INT(A1452),"check date"))</f>
        <v/>
      </c>
      <c r="G1452" s="35">
        <f>IF(B1452="","",IFERROR(INDEX(Students!$A:$A,MATCH(TRIM(B1452),Students!$A:$A,0)),"NOT ON LIST"))</f>
        <v/>
      </c>
      <c r="H1452" s="35">
        <f>IF(OR(G1452="",G1452="NOT ON LIST"),"",VLOOKUP(G1452,Students!$A:$C,2,FALSE))</f>
        <v/>
      </c>
      <c r="I1452" s="35">
        <f>IF(OR(G1452="",G1452="NOT ON LIST"),"",VLOOKUP(G1452,Students!$A:$C,3,FALSE)&amp;"")</f>
        <v/>
      </c>
    </row>
    <row r="1453">
      <c r="A1453" s="31" t="n"/>
      <c r="B1453" s="32" t="n"/>
      <c r="C1453" s="32" t="n"/>
      <c r="D1453" s="33" t="n"/>
      <c r="E1453" s="32" t="n"/>
      <c r="F1453" s="34">
        <f>IF(A1453="","",IFERROR(INT(A1453),"check date"))</f>
        <v/>
      </c>
      <c r="G1453" s="35">
        <f>IF(B1453="","",IFERROR(INDEX(Students!$A:$A,MATCH(TRIM(B1453),Students!$A:$A,0)),"NOT ON LIST"))</f>
        <v/>
      </c>
      <c r="H1453" s="35">
        <f>IF(OR(G1453="",G1453="NOT ON LIST"),"",VLOOKUP(G1453,Students!$A:$C,2,FALSE))</f>
        <v/>
      </c>
      <c r="I1453" s="35">
        <f>IF(OR(G1453="",G1453="NOT ON LIST"),"",VLOOKUP(G1453,Students!$A:$C,3,FALSE)&amp;"")</f>
        <v/>
      </c>
    </row>
    <row r="1454">
      <c r="A1454" s="31" t="n"/>
      <c r="B1454" s="32" t="n"/>
      <c r="C1454" s="32" t="n"/>
      <c r="D1454" s="33" t="n"/>
      <c r="E1454" s="32" t="n"/>
      <c r="F1454" s="34">
        <f>IF(A1454="","",IFERROR(INT(A1454),"check date"))</f>
        <v/>
      </c>
      <c r="G1454" s="35">
        <f>IF(B1454="","",IFERROR(INDEX(Students!$A:$A,MATCH(TRIM(B1454),Students!$A:$A,0)),"NOT ON LIST"))</f>
        <v/>
      </c>
      <c r="H1454" s="35">
        <f>IF(OR(G1454="",G1454="NOT ON LIST"),"",VLOOKUP(G1454,Students!$A:$C,2,FALSE))</f>
        <v/>
      </c>
      <c r="I1454" s="35">
        <f>IF(OR(G1454="",G1454="NOT ON LIST"),"",VLOOKUP(G1454,Students!$A:$C,3,FALSE)&amp;"")</f>
        <v/>
      </c>
    </row>
    <row r="1455">
      <c r="A1455" s="31" t="n"/>
      <c r="B1455" s="32" t="n"/>
      <c r="C1455" s="32" t="n"/>
      <c r="D1455" s="33" t="n"/>
      <c r="E1455" s="32" t="n"/>
      <c r="F1455" s="34">
        <f>IF(A1455="","",IFERROR(INT(A1455),"check date"))</f>
        <v/>
      </c>
      <c r="G1455" s="35">
        <f>IF(B1455="","",IFERROR(INDEX(Students!$A:$A,MATCH(TRIM(B1455),Students!$A:$A,0)),"NOT ON LIST"))</f>
        <v/>
      </c>
      <c r="H1455" s="35">
        <f>IF(OR(G1455="",G1455="NOT ON LIST"),"",VLOOKUP(G1455,Students!$A:$C,2,FALSE))</f>
        <v/>
      </c>
      <c r="I1455" s="35">
        <f>IF(OR(G1455="",G1455="NOT ON LIST"),"",VLOOKUP(G1455,Students!$A:$C,3,FALSE)&amp;"")</f>
        <v/>
      </c>
    </row>
    <row r="1456">
      <c r="A1456" s="31" t="n"/>
      <c r="B1456" s="32" t="n"/>
      <c r="C1456" s="32" t="n"/>
      <c r="D1456" s="33" t="n"/>
      <c r="E1456" s="32" t="n"/>
      <c r="F1456" s="34">
        <f>IF(A1456="","",IFERROR(INT(A1456),"check date"))</f>
        <v/>
      </c>
      <c r="G1456" s="35">
        <f>IF(B1456="","",IFERROR(INDEX(Students!$A:$A,MATCH(TRIM(B1456),Students!$A:$A,0)),"NOT ON LIST"))</f>
        <v/>
      </c>
      <c r="H1456" s="35">
        <f>IF(OR(G1456="",G1456="NOT ON LIST"),"",VLOOKUP(G1456,Students!$A:$C,2,FALSE))</f>
        <v/>
      </c>
      <c r="I1456" s="35">
        <f>IF(OR(G1456="",G1456="NOT ON LIST"),"",VLOOKUP(G1456,Students!$A:$C,3,FALSE)&amp;"")</f>
        <v/>
      </c>
    </row>
    <row r="1457">
      <c r="A1457" s="31" t="n"/>
      <c r="B1457" s="32" t="n"/>
      <c r="C1457" s="32" t="n"/>
      <c r="D1457" s="33" t="n"/>
      <c r="E1457" s="32" t="n"/>
      <c r="F1457" s="34">
        <f>IF(A1457="","",IFERROR(INT(A1457),"check date"))</f>
        <v/>
      </c>
      <c r="G1457" s="35">
        <f>IF(B1457="","",IFERROR(INDEX(Students!$A:$A,MATCH(TRIM(B1457),Students!$A:$A,0)),"NOT ON LIST"))</f>
        <v/>
      </c>
      <c r="H1457" s="35">
        <f>IF(OR(G1457="",G1457="NOT ON LIST"),"",VLOOKUP(G1457,Students!$A:$C,2,FALSE))</f>
        <v/>
      </c>
      <c r="I1457" s="35">
        <f>IF(OR(G1457="",G1457="NOT ON LIST"),"",VLOOKUP(G1457,Students!$A:$C,3,FALSE)&amp;"")</f>
        <v/>
      </c>
    </row>
    <row r="1458">
      <c r="A1458" s="31" t="n"/>
      <c r="B1458" s="32" t="n"/>
      <c r="C1458" s="32" t="n"/>
      <c r="D1458" s="33" t="n"/>
      <c r="E1458" s="32" t="n"/>
      <c r="F1458" s="34">
        <f>IF(A1458="","",IFERROR(INT(A1458),"check date"))</f>
        <v/>
      </c>
      <c r="G1458" s="35">
        <f>IF(B1458="","",IFERROR(INDEX(Students!$A:$A,MATCH(TRIM(B1458),Students!$A:$A,0)),"NOT ON LIST"))</f>
        <v/>
      </c>
      <c r="H1458" s="35">
        <f>IF(OR(G1458="",G1458="NOT ON LIST"),"",VLOOKUP(G1458,Students!$A:$C,2,FALSE))</f>
        <v/>
      </c>
      <c r="I1458" s="35">
        <f>IF(OR(G1458="",G1458="NOT ON LIST"),"",VLOOKUP(G1458,Students!$A:$C,3,FALSE)&amp;"")</f>
        <v/>
      </c>
    </row>
    <row r="1459">
      <c r="A1459" s="31" t="n"/>
      <c r="B1459" s="32" t="n"/>
      <c r="C1459" s="32" t="n"/>
      <c r="D1459" s="33" t="n"/>
      <c r="E1459" s="32" t="n"/>
      <c r="F1459" s="34">
        <f>IF(A1459="","",IFERROR(INT(A1459),"check date"))</f>
        <v/>
      </c>
      <c r="G1459" s="35">
        <f>IF(B1459="","",IFERROR(INDEX(Students!$A:$A,MATCH(TRIM(B1459),Students!$A:$A,0)),"NOT ON LIST"))</f>
        <v/>
      </c>
      <c r="H1459" s="35">
        <f>IF(OR(G1459="",G1459="NOT ON LIST"),"",VLOOKUP(G1459,Students!$A:$C,2,FALSE))</f>
        <v/>
      </c>
      <c r="I1459" s="35">
        <f>IF(OR(G1459="",G1459="NOT ON LIST"),"",VLOOKUP(G1459,Students!$A:$C,3,FALSE)&amp;"")</f>
        <v/>
      </c>
    </row>
    <row r="1460">
      <c r="A1460" s="31" t="n"/>
      <c r="B1460" s="32" t="n"/>
      <c r="C1460" s="32" t="n"/>
      <c r="D1460" s="33" t="n"/>
      <c r="E1460" s="32" t="n"/>
      <c r="F1460" s="34">
        <f>IF(A1460="","",IFERROR(INT(A1460),"check date"))</f>
        <v/>
      </c>
      <c r="G1460" s="35">
        <f>IF(B1460="","",IFERROR(INDEX(Students!$A:$A,MATCH(TRIM(B1460),Students!$A:$A,0)),"NOT ON LIST"))</f>
        <v/>
      </c>
      <c r="H1460" s="35">
        <f>IF(OR(G1460="",G1460="NOT ON LIST"),"",VLOOKUP(G1460,Students!$A:$C,2,FALSE))</f>
        <v/>
      </c>
      <c r="I1460" s="35">
        <f>IF(OR(G1460="",G1460="NOT ON LIST"),"",VLOOKUP(G1460,Students!$A:$C,3,FALSE)&amp;"")</f>
        <v/>
      </c>
    </row>
    <row r="1461">
      <c r="A1461" s="31" t="n"/>
      <c r="B1461" s="32" t="n"/>
      <c r="C1461" s="32" t="n"/>
      <c r="D1461" s="33" t="n"/>
      <c r="E1461" s="32" t="n"/>
      <c r="F1461" s="34">
        <f>IF(A1461="","",IFERROR(INT(A1461),"check date"))</f>
        <v/>
      </c>
      <c r="G1461" s="35">
        <f>IF(B1461="","",IFERROR(INDEX(Students!$A:$A,MATCH(TRIM(B1461),Students!$A:$A,0)),"NOT ON LIST"))</f>
        <v/>
      </c>
      <c r="H1461" s="35">
        <f>IF(OR(G1461="",G1461="NOT ON LIST"),"",VLOOKUP(G1461,Students!$A:$C,2,FALSE))</f>
        <v/>
      </c>
      <c r="I1461" s="35">
        <f>IF(OR(G1461="",G1461="NOT ON LIST"),"",VLOOKUP(G1461,Students!$A:$C,3,FALSE)&amp;"")</f>
        <v/>
      </c>
    </row>
    <row r="1462">
      <c r="A1462" s="31" t="n"/>
      <c r="B1462" s="32" t="n"/>
      <c r="C1462" s="32" t="n"/>
      <c r="D1462" s="33" t="n"/>
      <c r="E1462" s="32" t="n"/>
      <c r="F1462" s="34">
        <f>IF(A1462="","",IFERROR(INT(A1462),"check date"))</f>
        <v/>
      </c>
      <c r="G1462" s="35">
        <f>IF(B1462="","",IFERROR(INDEX(Students!$A:$A,MATCH(TRIM(B1462),Students!$A:$A,0)),"NOT ON LIST"))</f>
        <v/>
      </c>
      <c r="H1462" s="35">
        <f>IF(OR(G1462="",G1462="NOT ON LIST"),"",VLOOKUP(G1462,Students!$A:$C,2,FALSE))</f>
        <v/>
      </c>
      <c r="I1462" s="35">
        <f>IF(OR(G1462="",G1462="NOT ON LIST"),"",VLOOKUP(G1462,Students!$A:$C,3,FALSE)&amp;"")</f>
        <v/>
      </c>
    </row>
    <row r="1463">
      <c r="A1463" s="31" t="n"/>
      <c r="B1463" s="32" t="n"/>
      <c r="C1463" s="32" t="n"/>
      <c r="D1463" s="33" t="n"/>
      <c r="E1463" s="32" t="n"/>
      <c r="F1463" s="34">
        <f>IF(A1463="","",IFERROR(INT(A1463),"check date"))</f>
        <v/>
      </c>
      <c r="G1463" s="35">
        <f>IF(B1463="","",IFERROR(INDEX(Students!$A:$A,MATCH(TRIM(B1463),Students!$A:$A,0)),"NOT ON LIST"))</f>
        <v/>
      </c>
      <c r="H1463" s="35">
        <f>IF(OR(G1463="",G1463="NOT ON LIST"),"",VLOOKUP(G1463,Students!$A:$C,2,FALSE))</f>
        <v/>
      </c>
      <c r="I1463" s="35">
        <f>IF(OR(G1463="",G1463="NOT ON LIST"),"",VLOOKUP(G1463,Students!$A:$C,3,FALSE)&amp;"")</f>
        <v/>
      </c>
    </row>
    <row r="1464">
      <c r="A1464" s="31" t="n"/>
      <c r="B1464" s="32" t="n"/>
      <c r="C1464" s="32" t="n"/>
      <c r="D1464" s="33" t="n"/>
      <c r="E1464" s="32" t="n"/>
      <c r="F1464" s="34">
        <f>IF(A1464="","",IFERROR(INT(A1464),"check date"))</f>
        <v/>
      </c>
      <c r="G1464" s="35">
        <f>IF(B1464="","",IFERROR(INDEX(Students!$A:$A,MATCH(TRIM(B1464),Students!$A:$A,0)),"NOT ON LIST"))</f>
        <v/>
      </c>
      <c r="H1464" s="35">
        <f>IF(OR(G1464="",G1464="NOT ON LIST"),"",VLOOKUP(G1464,Students!$A:$C,2,FALSE))</f>
        <v/>
      </c>
      <c r="I1464" s="35">
        <f>IF(OR(G1464="",G1464="NOT ON LIST"),"",VLOOKUP(G1464,Students!$A:$C,3,FALSE)&amp;"")</f>
        <v/>
      </c>
    </row>
    <row r="1465">
      <c r="A1465" s="31" t="n"/>
      <c r="B1465" s="32" t="n"/>
      <c r="C1465" s="32" t="n"/>
      <c r="D1465" s="33" t="n"/>
      <c r="E1465" s="32" t="n"/>
      <c r="F1465" s="34">
        <f>IF(A1465="","",IFERROR(INT(A1465),"check date"))</f>
        <v/>
      </c>
      <c r="G1465" s="35">
        <f>IF(B1465="","",IFERROR(INDEX(Students!$A:$A,MATCH(TRIM(B1465),Students!$A:$A,0)),"NOT ON LIST"))</f>
        <v/>
      </c>
      <c r="H1465" s="35">
        <f>IF(OR(G1465="",G1465="NOT ON LIST"),"",VLOOKUP(G1465,Students!$A:$C,2,FALSE))</f>
        <v/>
      </c>
      <c r="I1465" s="35">
        <f>IF(OR(G1465="",G1465="NOT ON LIST"),"",VLOOKUP(G1465,Students!$A:$C,3,FALSE)&amp;"")</f>
        <v/>
      </c>
    </row>
    <row r="1466">
      <c r="A1466" s="31" t="n"/>
      <c r="B1466" s="32" t="n"/>
      <c r="C1466" s="32" t="n"/>
      <c r="D1466" s="33" t="n"/>
      <c r="E1466" s="32" t="n"/>
      <c r="F1466" s="34">
        <f>IF(A1466="","",IFERROR(INT(A1466),"check date"))</f>
        <v/>
      </c>
      <c r="G1466" s="35">
        <f>IF(B1466="","",IFERROR(INDEX(Students!$A:$A,MATCH(TRIM(B1466),Students!$A:$A,0)),"NOT ON LIST"))</f>
        <v/>
      </c>
      <c r="H1466" s="35">
        <f>IF(OR(G1466="",G1466="NOT ON LIST"),"",VLOOKUP(G1466,Students!$A:$C,2,FALSE))</f>
        <v/>
      </c>
      <c r="I1466" s="35">
        <f>IF(OR(G1466="",G1466="NOT ON LIST"),"",VLOOKUP(G1466,Students!$A:$C,3,FALSE)&amp;"")</f>
        <v/>
      </c>
    </row>
    <row r="1467">
      <c r="A1467" s="31" t="n"/>
      <c r="B1467" s="32" t="n"/>
      <c r="C1467" s="32" t="n"/>
      <c r="D1467" s="33" t="n"/>
      <c r="E1467" s="32" t="n"/>
      <c r="F1467" s="34">
        <f>IF(A1467="","",IFERROR(INT(A1467),"check date"))</f>
        <v/>
      </c>
      <c r="G1467" s="35">
        <f>IF(B1467="","",IFERROR(INDEX(Students!$A:$A,MATCH(TRIM(B1467),Students!$A:$A,0)),"NOT ON LIST"))</f>
        <v/>
      </c>
      <c r="H1467" s="35">
        <f>IF(OR(G1467="",G1467="NOT ON LIST"),"",VLOOKUP(G1467,Students!$A:$C,2,FALSE))</f>
        <v/>
      </c>
      <c r="I1467" s="35">
        <f>IF(OR(G1467="",G1467="NOT ON LIST"),"",VLOOKUP(G1467,Students!$A:$C,3,FALSE)&amp;"")</f>
        <v/>
      </c>
    </row>
    <row r="1468">
      <c r="A1468" s="31" t="n"/>
      <c r="B1468" s="32" t="n"/>
      <c r="C1468" s="32" t="n"/>
      <c r="D1468" s="33" t="n"/>
      <c r="E1468" s="32" t="n"/>
      <c r="F1468" s="34">
        <f>IF(A1468="","",IFERROR(INT(A1468),"check date"))</f>
        <v/>
      </c>
      <c r="G1468" s="35">
        <f>IF(B1468="","",IFERROR(INDEX(Students!$A:$A,MATCH(TRIM(B1468),Students!$A:$A,0)),"NOT ON LIST"))</f>
        <v/>
      </c>
      <c r="H1468" s="35">
        <f>IF(OR(G1468="",G1468="NOT ON LIST"),"",VLOOKUP(G1468,Students!$A:$C,2,FALSE))</f>
        <v/>
      </c>
      <c r="I1468" s="35">
        <f>IF(OR(G1468="",G1468="NOT ON LIST"),"",VLOOKUP(G1468,Students!$A:$C,3,FALSE)&amp;"")</f>
        <v/>
      </c>
    </row>
    <row r="1469">
      <c r="A1469" s="31" t="n"/>
      <c r="B1469" s="32" t="n"/>
      <c r="C1469" s="32" t="n"/>
      <c r="D1469" s="33" t="n"/>
      <c r="E1469" s="32" t="n"/>
      <c r="F1469" s="34">
        <f>IF(A1469="","",IFERROR(INT(A1469),"check date"))</f>
        <v/>
      </c>
      <c r="G1469" s="35">
        <f>IF(B1469="","",IFERROR(INDEX(Students!$A:$A,MATCH(TRIM(B1469),Students!$A:$A,0)),"NOT ON LIST"))</f>
        <v/>
      </c>
      <c r="H1469" s="35">
        <f>IF(OR(G1469="",G1469="NOT ON LIST"),"",VLOOKUP(G1469,Students!$A:$C,2,FALSE))</f>
        <v/>
      </c>
      <c r="I1469" s="35">
        <f>IF(OR(G1469="",G1469="NOT ON LIST"),"",VLOOKUP(G1469,Students!$A:$C,3,FALSE)&amp;"")</f>
        <v/>
      </c>
    </row>
    <row r="1470">
      <c r="A1470" s="31" t="n"/>
      <c r="B1470" s="32" t="n"/>
      <c r="C1470" s="32" t="n"/>
      <c r="D1470" s="33" t="n"/>
      <c r="E1470" s="32" t="n"/>
      <c r="F1470" s="34">
        <f>IF(A1470="","",IFERROR(INT(A1470),"check date"))</f>
        <v/>
      </c>
      <c r="G1470" s="35">
        <f>IF(B1470="","",IFERROR(INDEX(Students!$A:$A,MATCH(TRIM(B1470),Students!$A:$A,0)),"NOT ON LIST"))</f>
        <v/>
      </c>
      <c r="H1470" s="35">
        <f>IF(OR(G1470="",G1470="NOT ON LIST"),"",VLOOKUP(G1470,Students!$A:$C,2,FALSE))</f>
        <v/>
      </c>
      <c r="I1470" s="35">
        <f>IF(OR(G1470="",G1470="NOT ON LIST"),"",VLOOKUP(G1470,Students!$A:$C,3,FALSE)&amp;"")</f>
        <v/>
      </c>
    </row>
    <row r="1471">
      <c r="A1471" s="31" t="n"/>
      <c r="B1471" s="32" t="n"/>
      <c r="C1471" s="32" t="n"/>
      <c r="D1471" s="33" t="n"/>
      <c r="E1471" s="32" t="n"/>
      <c r="F1471" s="34">
        <f>IF(A1471="","",IFERROR(INT(A1471),"check date"))</f>
        <v/>
      </c>
      <c r="G1471" s="35">
        <f>IF(B1471="","",IFERROR(INDEX(Students!$A:$A,MATCH(TRIM(B1471),Students!$A:$A,0)),"NOT ON LIST"))</f>
        <v/>
      </c>
      <c r="H1471" s="35">
        <f>IF(OR(G1471="",G1471="NOT ON LIST"),"",VLOOKUP(G1471,Students!$A:$C,2,FALSE))</f>
        <v/>
      </c>
      <c r="I1471" s="35">
        <f>IF(OR(G1471="",G1471="NOT ON LIST"),"",VLOOKUP(G1471,Students!$A:$C,3,FALSE)&amp;"")</f>
        <v/>
      </c>
    </row>
    <row r="1472">
      <c r="A1472" s="31" t="n"/>
      <c r="B1472" s="32" t="n"/>
      <c r="C1472" s="32" t="n"/>
      <c r="D1472" s="33" t="n"/>
      <c r="E1472" s="32" t="n"/>
      <c r="F1472" s="34">
        <f>IF(A1472="","",IFERROR(INT(A1472),"check date"))</f>
        <v/>
      </c>
      <c r="G1472" s="35">
        <f>IF(B1472="","",IFERROR(INDEX(Students!$A:$A,MATCH(TRIM(B1472),Students!$A:$A,0)),"NOT ON LIST"))</f>
        <v/>
      </c>
      <c r="H1472" s="35">
        <f>IF(OR(G1472="",G1472="NOT ON LIST"),"",VLOOKUP(G1472,Students!$A:$C,2,FALSE))</f>
        <v/>
      </c>
      <c r="I1472" s="35">
        <f>IF(OR(G1472="",G1472="NOT ON LIST"),"",VLOOKUP(G1472,Students!$A:$C,3,FALSE)&amp;"")</f>
        <v/>
      </c>
    </row>
    <row r="1473">
      <c r="A1473" s="31" t="n"/>
      <c r="B1473" s="32" t="n"/>
      <c r="C1473" s="32" t="n"/>
      <c r="D1473" s="33" t="n"/>
      <c r="E1473" s="32" t="n"/>
      <c r="F1473" s="34">
        <f>IF(A1473="","",IFERROR(INT(A1473),"check date"))</f>
        <v/>
      </c>
      <c r="G1473" s="35">
        <f>IF(B1473="","",IFERROR(INDEX(Students!$A:$A,MATCH(TRIM(B1473),Students!$A:$A,0)),"NOT ON LIST"))</f>
        <v/>
      </c>
      <c r="H1473" s="35">
        <f>IF(OR(G1473="",G1473="NOT ON LIST"),"",VLOOKUP(G1473,Students!$A:$C,2,FALSE))</f>
        <v/>
      </c>
      <c r="I1473" s="35">
        <f>IF(OR(G1473="",G1473="NOT ON LIST"),"",VLOOKUP(G1473,Students!$A:$C,3,FALSE)&amp;"")</f>
        <v/>
      </c>
    </row>
    <row r="1474">
      <c r="A1474" s="31" t="n"/>
      <c r="B1474" s="32" t="n"/>
      <c r="C1474" s="32" t="n"/>
      <c r="D1474" s="33" t="n"/>
      <c r="E1474" s="32" t="n"/>
      <c r="F1474" s="34">
        <f>IF(A1474="","",IFERROR(INT(A1474),"check date"))</f>
        <v/>
      </c>
      <c r="G1474" s="35">
        <f>IF(B1474="","",IFERROR(INDEX(Students!$A:$A,MATCH(TRIM(B1474),Students!$A:$A,0)),"NOT ON LIST"))</f>
        <v/>
      </c>
      <c r="H1474" s="35">
        <f>IF(OR(G1474="",G1474="NOT ON LIST"),"",VLOOKUP(G1474,Students!$A:$C,2,FALSE))</f>
        <v/>
      </c>
      <c r="I1474" s="35">
        <f>IF(OR(G1474="",G1474="NOT ON LIST"),"",VLOOKUP(G1474,Students!$A:$C,3,FALSE)&amp;"")</f>
        <v/>
      </c>
    </row>
    <row r="1475">
      <c r="A1475" s="31" t="n"/>
      <c r="B1475" s="32" t="n"/>
      <c r="C1475" s="32" t="n"/>
      <c r="D1475" s="33" t="n"/>
      <c r="E1475" s="32" t="n"/>
      <c r="F1475" s="34">
        <f>IF(A1475="","",IFERROR(INT(A1475),"check date"))</f>
        <v/>
      </c>
      <c r="G1475" s="35">
        <f>IF(B1475="","",IFERROR(INDEX(Students!$A:$A,MATCH(TRIM(B1475),Students!$A:$A,0)),"NOT ON LIST"))</f>
        <v/>
      </c>
      <c r="H1475" s="35">
        <f>IF(OR(G1475="",G1475="NOT ON LIST"),"",VLOOKUP(G1475,Students!$A:$C,2,FALSE))</f>
        <v/>
      </c>
      <c r="I1475" s="35">
        <f>IF(OR(G1475="",G1475="NOT ON LIST"),"",VLOOKUP(G1475,Students!$A:$C,3,FALSE)&amp;"")</f>
        <v/>
      </c>
    </row>
    <row r="1476">
      <c r="A1476" s="31" t="n"/>
      <c r="B1476" s="32" t="n"/>
      <c r="C1476" s="32" t="n"/>
      <c r="D1476" s="33" t="n"/>
      <c r="E1476" s="32" t="n"/>
      <c r="F1476" s="34">
        <f>IF(A1476="","",IFERROR(INT(A1476),"check date"))</f>
        <v/>
      </c>
      <c r="G1476" s="35">
        <f>IF(B1476="","",IFERROR(INDEX(Students!$A:$A,MATCH(TRIM(B1476),Students!$A:$A,0)),"NOT ON LIST"))</f>
        <v/>
      </c>
      <c r="H1476" s="35">
        <f>IF(OR(G1476="",G1476="NOT ON LIST"),"",VLOOKUP(G1476,Students!$A:$C,2,FALSE))</f>
        <v/>
      </c>
      <c r="I1476" s="35">
        <f>IF(OR(G1476="",G1476="NOT ON LIST"),"",VLOOKUP(G1476,Students!$A:$C,3,FALSE)&amp;"")</f>
        <v/>
      </c>
    </row>
    <row r="1477">
      <c r="A1477" s="31" t="n"/>
      <c r="B1477" s="32" t="n"/>
      <c r="C1477" s="32" t="n"/>
      <c r="D1477" s="33" t="n"/>
      <c r="E1477" s="32" t="n"/>
      <c r="F1477" s="34">
        <f>IF(A1477="","",IFERROR(INT(A1477),"check date"))</f>
        <v/>
      </c>
      <c r="G1477" s="35">
        <f>IF(B1477="","",IFERROR(INDEX(Students!$A:$A,MATCH(TRIM(B1477),Students!$A:$A,0)),"NOT ON LIST"))</f>
        <v/>
      </c>
      <c r="H1477" s="35">
        <f>IF(OR(G1477="",G1477="NOT ON LIST"),"",VLOOKUP(G1477,Students!$A:$C,2,FALSE))</f>
        <v/>
      </c>
      <c r="I1477" s="35">
        <f>IF(OR(G1477="",G1477="NOT ON LIST"),"",VLOOKUP(G1477,Students!$A:$C,3,FALSE)&amp;"")</f>
        <v/>
      </c>
    </row>
    <row r="1478">
      <c r="A1478" s="31" t="n"/>
      <c r="B1478" s="32" t="n"/>
      <c r="C1478" s="32" t="n"/>
      <c r="D1478" s="33" t="n"/>
      <c r="E1478" s="32" t="n"/>
      <c r="F1478" s="34">
        <f>IF(A1478="","",IFERROR(INT(A1478),"check date"))</f>
        <v/>
      </c>
      <c r="G1478" s="35">
        <f>IF(B1478="","",IFERROR(INDEX(Students!$A:$A,MATCH(TRIM(B1478),Students!$A:$A,0)),"NOT ON LIST"))</f>
        <v/>
      </c>
      <c r="H1478" s="35">
        <f>IF(OR(G1478="",G1478="NOT ON LIST"),"",VLOOKUP(G1478,Students!$A:$C,2,FALSE))</f>
        <v/>
      </c>
      <c r="I1478" s="35">
        <f>IF(OR(G1478="",G1478="NOT ON LIST"),"",VLOOKUP(G1478,Students!$A:$C,3,FALSE)&amp;"")</f>
        <v/>
      </c>
    </row>
    <row r="1479">
      <c r="A1479" s="31" t="n"/>
      <c r="B1479" s="32" t="n"/>
      <c r="C1479" s="32" t="n"/>
      <c r="D1479" s="33" t="n"/>
      <c r="E1479" s="32" t="n"/>
      <c r="F1479" s="34">
        <f>IF(A1479="","",IFERROR(INT(A1479),"check date"))</f>
        <v/>
      </c>
      <c r="G1479" s="35">
        <f>IF(B1479="","",IFERROR(INDEX(Students!$A:$A,MATCH(TRIM(B1479),Students!$A:$A,0)),"NOT ON LIST"))</f>
        <v/>
      </c>
      <c r="H1479" s="35">
        <f>IF(OR(G1479="",G1479="NOT ON LIST"),"",VLOOKUP(G1479,Students!$A:$C,2,FALSE))</f>
        <v/>
      </c>
      <c r="I1479" s="35">
        <f>IF(OR(G1479="",G1479="NOT ON LIST"),"",VLOOKUP(G1479,Students!$A:$C,3,FALSE)&amp;"")</f>
        <v/>
      </c>
    </row>
    <row r="1480">
      <c r="A1480" s="31" t="n"/>
      <c r="B1480" s="32" t="n"/>
      <c r="C1480" s="32" t="n"/>
      <c r="D1480" s="33" t="n"/>
      <c r="E1480" s="32" t="n"/>
      <c r="F1480" s="34">
        <f>IF(A1480="","",IFERROR(INT(A1480),"check date"))</f>
        <v/>
      </c>
      <c r="G1480" s="35">
        <f>IF(B1480="","",IFERROR(INDEX(Students!$A:$A,MATCH(TRIM(B1480),Students!$A:$A,0)),"NOT ON LIST"))</f>
        <v/>
      </c>
      <c r="H1480" s="35">
        <f>IF(OR(G1480="",G1480="NOT ON LIST"),"",VLOOKUP(G1480,Students!$A:$C,2,FALSE))</f>
        <v/>
      </c>
      <c r="I1480" s="35">
        <f>IF(OR(G1480="",G1480="NOT ON LIST"),"",VLOOKUP(G1480,Students!$A:$C,3,FALSE)&amp;"")</f>
        <v/>
      </c>
    </row>
    <row r="1481">
      <c r="A1481" s="31" t="n"/>
      <c r="B1481" s="32" t="n"/>
      <c r="C1481" s="32" t="n"/>
      <c r="D1481" s="33" t="n"/>
      <c r="E1481" s="32" t="n"/>
      <c r="F1481" s="34">
        <f>IF(A1481="","",IFERROR(INT(A1481),"check date"))</f>
        <v/>
      </c>
      <c r="G1481" s="35">
        <f>IF(B1481="","",IFERROR(INDEX(Students!$A:$A,MATCH(TRIM(B1481),Students!$A:$A,0)),"NOT ON LIST"))</f>
        <v/>
      </c>
      <c r="H1481" s="35">
        <f>IF(OR(G1481="",G1481="NOT ON LIST"),"",VLOOKUP(G1481,Students!$A:$C,2,FALSE))</f>
        <v/>
      </c>
      <c r="I1481" s="35">
        <f>IF(OR(G1481="",G1481="NOT ON LIST"),"",VLOOKUP(G1481,Students!$A:$C,3,FALSE)&amp;"")</f>
        <v/>
      </c>
    </row>
    <row r="1482">
      <c r="A1482" s="31" t="n"/>
      <c r="B1482" s="32" t="n"/>
      <c r="C1482" s="32" t="n"/>
      <c r="D1482" s="33" t="n"/>
      <c r="E1482" s="32" t="n"/>
      <c r="F1482" s="34">
        <f>IF(A1482="","",IFERROR(INT(A1482),"check date"))</f>
        <v/>
      </c>
      <c r="G1482" s="35">
        <f>IF(B1482="","",IFERROR(INDEX(Students!$A:$A,MATCH(TRIM(B1482),Students!$A:$A,0)),"NOT ON LIST"))</f>
        <v/>
      </c>
      <c r="H1482" s="35">
        <f>IF(OR(G1482="",G1482="NOT ON LIST"),"",VLOOKUP(G1482,Students!$A:$C,2,FALSE))</f>
        <v/>
      </c>
      <c r="I1482" s="35">
        <f>IF(OR(G1482="",G1482="NOT ON LIST"),"",VLOOKUP(G1482,Students!$A:$C,3,FALSE)&amp;"")</f>
        <v/>
      </c>
    </row>
    <row r="1483">
      <c r="A1483" s="31" t="n"/>
      <c r="B1483" s="32" t="n"/>
      <c r="C1483" s="32" t="n"/>
      <c r="D1483" s="33" t="n"/>
      <c r="E1483" s="32" t="n"/>
      <c r="F1483" s="34">
        <f>IF(A1483="","",IFERROR(INT(A1483),"check date"))</f>
        <v/>
      </c>
      <c r="G1483" s="35">
        <f>IF(B1483="","",IFERROR(INDEX(Students!$A:$A,MATCH(TRIM(B1483),Students!$A:$A,0)),"NOT ON LIST"))</f>
        <v/>
      </c>
      <c r="H1483" s="35">
        <f>IF(OR(G1483="",G1483="NOT ON LIST"),"",VLOOKUP(G1483,Students!$A:$C,2,FALSE))</f>
        <v/>
      </c>
      <c r="I1483" s="35">
        <f>IF(OR(G1483="",G1483="NOT ON LIST"),"",VLOOKUP(G1483,Students!$A:$C,3,FALSE)&amp;"")</f>
        <v/>
      </c>
    </row>
    <row r="1484">
      <c r="A1484" s="31" t="n"/>
      <c r="B1484" s="32" t="n"/>
      <c r="C1484" s="32" t="n"/>
      <c r="D1484" s="33" t="n"/>
      <c r="E1484" s="32" t="n"/>
      <c r="F1484" s="34">
        <f>IF(A1484="","",IFERROR(INT(A1484),"check date"))</f>
        <v/>
      </c>
      <c r="G1484" s="35">
        <f>IF(B1484="","",IFERROR(INDEX(Students!$A:$A,MATCH(TRIM(B1484),Students!$A:$A,0)),"NOT ON LIST"))</f>
        <v/>
      </c>
      <c r="H1484" s="35">
        <f>IF(OR(G1484="",G1484="NOT ON LIST"),"",VLOOKUP(G1484,Students!$A:$C,2,FALSE))</f>
        <v/>
      </c>
      <c r="I1484" s="35">
        <f>IF(OR(G1484="",G1484="NOT ON LIST"),"",VLOOKUP(G1484,Students!$A:$C,3,FALSE)&amp;"")</f>
        <v/>
      </c>
    </row>
    <row r="1485">
      <c r="A1485" s="31" t="n"/>
      <c r="B1485" s="32" t="n"/>
      <c r="C1485" s="32" t="n"/>
      <c r="D1485" s="33" t="n"/>
      <c r="E1485" s="32" t="n"/>
      <c r="F1485" s="34">
        <f>IF(A1485="","",IFERROR(INT(A1485),"check date"))</f>
        <v/>
      </c>
      <c r="G1485" s="35">
        <f>IF(B1485="","",IFERROR(INDEX(Students!$A:$A,MATCH(TRIM(B1485),Students!$A:$A,0)),"NOT ON LIST"))</f>
        <v/>
      </c>
      <c r="H1485" s="35">
        <f>IF(OR(G1485="",G1485="NOT ON LIST"),"",VLOOKUP(G1485,Students!$A:$C,2,FALSE))</f>
        <v/>
      </c>
      <c r="I1485" s="35">
        <f>IF(OR(G1485="",G1485="NOT ON LIST"),"",VLOOKUP(G1485,Students!$A:$C,3,FALSE)&amp;"")</f>
        <v/>
      </c>
    </row>
    <row r="1486">
      <c r="A1486" s="31" t="n"/>
      <c r="B1486" s="32" t="n"/>
      <c r="C1486" s="32" t="n"/>
      <c r="D1486" s="33" t="n"/>
      <c r="E1486" s="32" t="n"/>
      <c r="F1486" s="34">
        <f>IF(A1486="","",IFERROR(INT(A1486),"check date"))</f>
        <v/>
      </c>
      <c r="G1486" s="35">
        <f>IF(B1486="","",IFERROR(INDEX(Students!$A:$A,MATCH(TRIM(B1486),Students!$A:$A,0)),"NOT ON LIST"))</f>
        <v/>
      </c>
      <c r="H1486" s="35">
        <f>IF(OR(G1486="",G1486="NOT ON LIST"),"",VLOOKUP(G1486,Students!$A:$C,2,FALSE))</f>
        <v/>
      </c>
      <c r="I1486" s="35">
        <f>IF(OR(G1486="",G1486="NOT ON LIST"),"",VLOOKUP(G1486,Students!$A:$C,3,FALSE)&amp;"")</f>
        <v/>
      </c>
    </row>
    <row r="1487">
      <c r="A1487" s="31" t="n"/>
      <c r="B1487" s="32" t="n"/>
      <c r="C1487" s="32" t="n"/>
      <c r="D1487" s="33" t="n"/>
      <c r="E1487" s="32" t="n"/>
      <c r="F1487" s="34">
        <f>IF(A1487="","",IFERROR(INT(A1487),"check date"))</f>
        <v/>
      </c>
      <c r="G1487" s="35">
        <f>IF(B1487="","",IFERROR(INDEX(Students!$A:$A,MATCH(TRIM(B1487),Students!$A:$A,0)),"NOT ON LIST"))</f>
        <v/>
      </c>
      <c r="H1487" s="35">
        <f>IF(OR(G1487="",G1487="NOT ON LIST"),"",VLOOKUP(G1487,Students!$A:$C,2,FALSE))</f>
        <v/>
      </c>
      <c r="I1487" s="35">
        <f>IF(OR(G1487="",G1487="NOT ON LIST"),"",VLOOKUP(G1487,Students!$A:$C,3,FALSE)&amp;"")</f>
        <v/>
      </c>
    </row>
    <row r="1488">
      <c r="A1488" s="31" t="n"/>
      <c r="B1488" s="32" t="n"/>
      <c r="C1488" s="32" t="n"/>
      <c r="D1488" s="33" t="n"/>
      <c r="E1488" s="32" t="n"/>
      <c r="F1488" s="34">
        <f>IF(A1488="","",IFERROR(INT(A1488),"check date"))</f>
        <v/>
      </c>
      <c r="G1488" s="35">
        <f>IF(B1488="","",IFERROR(INDEX(Students!$A:$A,MATCH(TRIM(B1488),Students!$A:$A,0)),"NOT ON LIST"))</f>
        <v/>
      </c>
      <c r="H1488" s="35">
        <f>IF(OR(G1488="",G1488="NOT ON LIST"),"",VLOOKUP(G1488,Students!$A:$C,2,FALSE))</f>
        <v/>
      </c>
      <c r="I1488" s="35">
        <f>IF(OR(G1488="",G1488="NOT ON LIST"),"",VLOOKUP(G1488,Students!$A:$C,3,FALSE)&amp;"")</f>
        <v/>
      </c>
    </row>
    <row r="1489">
      <c r="A1489" s="31" t="n"/>
      <c r="B1489" s="32" t="n"/>
      <c r="C1489" s="32" t="n"/>
      <c r="D1489" s="33" t="n"/>
      <c r="E1489" s="32" t="n"/>
      <c r="F1489" s="34">
        <f>IF(A1489="","",IFERROR(INT(A1489),"check date"))</f>
        <v/>
      </c>
      <c r="G1489" s="35">
        <f>IF(B1489="","",IFERROR(INDEX(Students!$A:$A,MATCH(TRIM(B1489),Students!$A:$A,0)),"NOT ON LIST"))</f>
        <v/>
      </c>
      <c r="H1489" s="35">
        <f>IF(OR(G1489="",G1489="NOT ON LIST"),"",VLOOKUP(G1489,Students!$A:$C,2,FALSE))</f>
        <v/>
      </c>
      <c r="I1489" s="35">
        <f>IF(OR(G1489="",G1489="NOT ON LIST"),"",VLOOKUP(G1489,Students!$A:$C,3,FALSE)&amp;"")</f>
        <v/>
      </c>
    </row>
    <row r="1490">
      <c r="A1490" s="31" t="n"/>
      <c r="B1490" s="32" t="n"/>
      <c r="C1490" s="32" t="n"/>
      <c r="D1490" s="33" t="n"/>
      <c r="E1490" s="32" t="n"/>
      <c r="F1490" s="34">
        <f>IF(A1490="","",IFERROR(INT(A1490),"check date"))</f>
        <v/>
      </c>
      <c r="G1490" s="35">
        <f>IF(B1490="","",IFERROR(INDEX(Students!$A:$A,MATCH(TRIM(B1490),Students!$A:$A,0)),"NOT ON LIST"))</f>
        <v/>
      </c>
      <c r="H1490" s="35">
        <f>IF(OR(G1490="",G1490="NOT ON LIST"),"",VLOOKUP(G1490,Students!$A:$C,2,FALSE))</f>
        <v/>
      </c>
      <c r="I1490" s="35">
        <f>IF(OR(G1490="",G1490="NOT ON LIST"),"",VLOOKUP(G1490,Students!$A:$C,3,FALSE)&amp;"")</f>
        <v/>
      </c>
    </row>
    <row r="1491">
      <c r="A1491" s="31" t="n"/>
      <c r="B1491" s="32" t="n"/>
      <c r="C1491" s="32" t="n"/>
      <c r="D1491" s="33" t="n"/>
      <c r="E1491" s="32" t="n"/>
      <c r="F1491" s="34">
        <f>IF(A1491="","",IFERROR(INT(A1491),"check date"))</f>
        <v/>
      </c>
      <c r="G1491" s="35">
        <f>IF(B1491="","",IFERROR(INDEX(Students!$A:$A,MATCH(TRIM(B1491),Students!$A:$A,0)),"NOT ON LIST"))</f>
        <v/>
      </c>
      <c r="H1491" s="35">
        <f>IF(OR(G1491="",G1491="NOT ON LIST"),"",VLOOKUP(G1491,Students!$A:$C,2,FALSE))</f>
        <v/>
      </c>
      <c r="I1491" s="35">
        <f>IF(OR(G1491="",G1491="NOT ON LIST"),"",VLOOKUP(G1491,Students!$A:$C,3,FALSE)&amp;"")</f>
        <v/>
      </c>
    </row>
    <row r="1492">
      <c r="A1492" s="31" t="n"/>
      <c r="B1492" s="32" t="n"/>
      <c r="C1492" s="32" t="n"/>
      <c r="D1492" s="33" t="n"/>
      <c r="E1492" s="32" t="n"/>
      <c r="F1492" s="34">
        <f>IF(A1492="","",IFERROR(INT(A1492),"check date"))</f>
        <v/>
      </c>
      <c r="G1492" s="35">
        <f>IF(B1492="","",IFERROR(INDEX(Students!$A:$A,MATCH(TRIM(B1492),Students!$A:$A,0)),"NOT ON LIST"))</f>
        <v/>
      </c>
      <c r="H1492" s="35">
        <f>IF(OR(G1492="",G1492="NOT ON LIST"),"",VLOOKUP(G1492,Students!$A:$C,2,FALSE))</f>
        <v/>
      </c>
      <c r="I1492" s="35">
        <f>IF(OR(G1492="",G1492="NOT ON LIST"),"",VLOOKUP(G1492,Students!$A:$C,3,FALSE)&amp;"")</f>
        <v/>
      </c>
    </row>
    <row r="1493">
      <c r="A1493" s="31" t="n"/>
      <c r="B1493" s="32" t="n"/>
      <c r="C1493" s="32" t="n"/>
      <c r="D1493" s="33" t="n"/>
      <c r="E1493" s="32" t="n"/>
      <c r="F1493" s="34">
        <f>IF(A1493="","",IFERROR(INT(A1493),"check date"))</f>
        <v/>
      </c>
      <c r="G1493" s="35">
        <f>IF(B1493="","",IFERROR(INDEX(Students!$A:$A,MATCH(TRIM(B1493),Students!$A:$A,0)),"NOT ON LIST"))</f>
        <v/>
      </c>
      <c r="H1493" s="35">
        <f>IF(OR(G1493="",G1493="NOT ON LIST"),"",VLOOKUP(G1493,Students!$A:$C,2,FALSE))</f>
        <v/>
      </c>
      <c r="I1493" s="35">
        <f>IF(OR(G1493="",G1493="NOT ON LIST"),"",VLOOKUP(G1493,Students!$A:$C,3,FALSE)&amp;"")</f>
        <v/>
      </c>
    </row>
    <row r="1494">
      <c r="A1494" s="31" t="n"/>
      <c r="B1494" s="32" t="n"/>
      <c r="C1494" s="32" t="n"/>
      <c r="D1494" s="33" t="n"/>
      <c r="E1494" s="32" t="n"/>
      <c r="F1494" s="34">
        <f>IF(A1494="","",IFERROR(INT(A1494),"check date"))</f>
        <v/>
      </c>
      <c r="G1494" s="35">
        <f>IF(B1494="","",IFERROR(INDEX(Students!$A:$A,MATCH(TRIM(B1494),Students!$A:$A,0)),"NOT ON LIST"))</f>
        <v/>
      </c>
      <c r="H1494" s="35">
        <f>IF(OR(G1494="",G1494="NOT ON LIST"),"",VLOOKUP(G1494,Students!$A:$C,2,FALSE))</f>
        <v/>
      </c>
      <c r="I1494" s="35">
        <f>IF(OR(G1494="",G1494="NOT ON LIST"),"",VLOOKUP(G1494,Students!$A:$C,3,FALSE)&amp;"")</f>
        <v/>
      </c>
    </row>
    <row r="1495">
      <c r="A1495" s="31" t="n"/>
      <c r="B1495" s="32" t="n"/>
      <c r="C1495" s="32" t="n"/>
      <c r="D1495" s="33" t="n"/>
      <c r="E1495" s="32" t="n"/>
      <c r="F1495" s="34">
        <f>IF(A1495="","",IFERROR(INT(A1495),"check date"))</f>
        <v/>
      </c>
      <c r="G1495" s="35">
        <f>IF(B1495="","",IFERROR(INDEX(Students!$A:$A,MATCH(TRIM(B1495),Students!$A:$A,0)),"NOT ON LIST"))</f>
        <v/>
      </c>
      <c r="H1495" s="35">
        <f>IF(OR(G1495="",G1495="NOT ON LIST"),"",VLOOKUP(G1495,Students!$A:$C,2,FALSE))</f>
        <v/>
      </c>
      <c r="I1495" s="35">
        <f>IF(OR(G1495="",G1495="NOT ON LIST"),"",VLOOKUP(G1495,Students!$A:$C,3,FALSE)&amp;"")</f>
        <v/>
      </c>
    </row>
    <row r="1496">
      <c r="A1496" s="31" t="n"/>
      <c r="B1496" s="32" t="n"/>
      <c r="C1496" s="32" t="n"/>
      <c r="D1496" s="33" t="n"/>
      <c r="E1496" s="32" t="n"/>
      <c r="F1496" s="34">
        <f>IF(A1496="","",IFERROR(INT(A1496),"check date"))</f>
        <v/>
      </c>
      <c r="G1496" s="35">
        <f>IF(B1496="","",IFERROR(INDEX(Students!$A:$A,MATCH(TRIM(B1496),Students!$A:$A,0)),"NOT ON LIST"))</f>
        <v/>
      </c>
      <c r="H1496" s="35">
        <f>IF(OR(G1496="",G1496="NOT ON LIST"),"",VLOOKUP(G1496,Students!$A:$C,2,FALSE))</f>
        <v/>
      </c>
      <c r="I1496" s="35">
        <f>IF(OR(G1496="",G1496="NOT ON LIST"),"",VLOOKUP(G1496,Students!$A:$C,3,FALSE)&amp;"")</f>
        <v/>
      </c>
    </row>
    <row r="1497">
      <c r="A1497" s="31" t="n"/>
      <c r="B1497" s="32" t="n"/>
      <c r="C1497" s="32" t="n"/>
      <c r="D1497" s="33" t="n"/>
      <c r="E1497" s="32" t="n"/>
      <c r="F1497" s="34">
        <f>IF(A1497="","",IFERROR(INT(A1497),"check date"))</f>
        <v/>
      </c>
      <c r="G1497" s="35">
        <f>IF(B1497="","",IFERROR(INDEX(Students!$A:$A,MATCH(TRIM(B1497),Students!$A:$A,0)),"NOT ON LIST"))</f>
        <v/>
      </c>
      <c r="H1497" s="35">
        <f>IF(OR(G1497="",G1497="NOT ON LIST"),"",VLOOKUP(G1497,Students!$A:$C,2,FALSE))</f>
        <v/>
      </c>
      <c r="I1497" s="35">
        <f>IF(OR(G1497="",G1497="NOT ON LIST"),"",VLOOKUP(G1497,Students!$A:$C,3,FALSE)&amp;"")</f>
        <v/>
      </c>
    </row>
    <row r="1498">
      <c r="A1498" s="31" t="n"/>
      <c r="B1498" s="32" t="n"/>
      <c r="C1498" s="32" t="n"/>
      <c r="D1498" s="33" t="n"/>
      <c r="E1498" s="32" t="n"/>
      <c r="F1498" s="34">
        <f>IF(A1498="","",IFERROR(INT(A1498),"check date"))</f>
        <v/>
      </c>
      <c r="G1498" s="35">
        <f>IF(B1498="","",IFERROR(INDEX(Students!$A:$A,MATCH(TRIM(B1498),Students!$A:$A,0)),"NOT ON LIST"))</f>
        <v/>
      </c>
      <c r="H1498" s="35">
        <f>IF(OR(G1498="",G1498="NOT ON LIST"),"",VLOOKUP(G1498,Students!$A:$C,2,FALSE))</f>
        <v/>
      </c>
      <c r="I1498" s="35">
        <f>IF(OR(G1498="",G1498="NOT ON LIST"),"",VLOOKUP(G1498,Students!$A:$C,3,FALSE)&amp;"")</f>
        <v/>
      </c>
    </row>
    <row r="1499">
      <c r="A1499" s="31" t="n"/>
      <c r="B1499" s="32" t="n"/>
      <c r="C1499" s="32" t="n"/>
      <c r="D1499" s="33" t="n"/>
      <c r="E1499" s="32" t="n"/>
      <c r="F1499" s="34">
        <f>IF(A1499="","",IFERROR(INT(A1499),"check date"))</f>
        <v/>
      </c>
      <c r="G1499" s="35">
        <f>IF(B1499="","",IFERROR(INDEX(Students!$A:$A,MATCH(TRIM(B1499),Students!$A:$A,0)),"NOT ON LIST"))</f>
        <v/>
      </c>
      <c r="H1499" s="35">
        <f>IF(OR(G1499="",G1499="NOT ON LIST"),"",VLOOKUP(G1499,Students!$A:$C,2,FALSE))</f>
        <v/>
      </c>
      <c r="I1499" s="35">
        <f>IF(OR(G1499="",G1499="NOT ON LIST"),"",VLOOKUP(G1499,Students!$A:$C,3,FALSE)&amp;"")</f>
        <v/>
      </c>
    </row>
    <row r="1500">
      <c r="A1500" s="31" t="n"/>
      <c r="B1500" s="32" t="n"/>
      <c r="C1500" s="32" t="n"/>
      <c r="D1500" s="33" t="n"/>
      <c r="E1500" s="32" t="n"/>
      <c r="F1500" s="34">
        <f>IF(A1500="","",IFERROR(INT(A1500),"check date"))</f>
        <v/>
      </c>
      <c r="G1500" s="35">
        <f>IF(B1500="","",IFERROR(INDEX(Students!$A:$A,MATCH(TRIM(B1500),Students!$A:$A,0)),"NOT ON LIST"))</f>
        <v/>
      </c>
      <c r="H1500" s="35">
        <f>IF(OR(G1500="",G1500="NOT ON LIST"),"",VLOOKUP(G1500,Students!$A:$C,2,FALSE))</f>
        <v/>
      </c>
      <c r="I1500" s="35">
        <f>IF(OR(G1500="",G1500="NOT ON LIST"),"",VLOOKUP(G1500,Students!$A:$C,3,FALSE)&amp;"")</f>
        <v/>
      </c>
    </row>
    <row r="1501">
      <c r="A1501" s="31" t="n"/>
      <c r="B1501" s="32" t="n"/>
      <c r="C1501" s="32" t="n"/>
      <c r="D1501" s="33" t="n"/>
      <c r="E1501" s="32" t="n"/>
      <c r="F1501" s="34">
        <f>IF(A1501="","",IFERROR(INT(A1501),"check date"))</f>
        <v/>
      </c>
      <c r="G1501" s="35">
        <f>IF(B1501="","",IFERROR(INDEX(Students!$A:$A,MATCH(TRIM(B1501),Students!$A:$A,0)),"NOT ON LIST"))</f>
        <v/>
      </c>
      <c r="H1501" s="35">
        <f>IF(OR(G1501="",G1501="NOT ON LIST"),"",VLOOKUP(G1501,Students!$A:$C,2,FALSE))</f>
        <v/>
      </c>
      <c r="I1501" s="35">
        <f>IF(OR(G1501="",G1501="NOT ON LIST"),"",VLOOKUP(G1501,Students!$A:$C,3,FALSE)&amp;"")</f>
        <v/>
      </c>
    </row>
    <row r="1502">
      <c r="A1502" s="31" t="n"/>
      <c r="B1502" s="32" t="n"/>
      <c r="C1502" s="32" t="n"/>
      <c r="D1502" s="33" t="n"/>
      <c r="E1502" s="32" t="n"/>
      <c r="F1502" s="34">
        <f>IF(A1502="","",IFERROR(INT(A1502),"check date"))</f>
        <v/>
      </c>
      <c r="G1502" s="35">
        <f>IF(B1502="","",IFERROR(INDEX(Students!$A:$A,MATCH(TRIM(B1502),Students!$A:$A,0)),"NOT ON LIST"))</f>
        <v/>
      </c>
      <c r="H1502" s="35">
        <f>IF(OR(G1502="",G1502="NOT ON LIST"),"",VLOOKUP(G1502,Students!$A:$C,2,FALSE))</f>
        <v/>
      </c>
      <c r="I1502" s="35">
        <f>IF(OR(G1502="",G1502="NOT ON LIST"),"",VLOOKUP(G1502,Students!$A:$C,3,FALSE)&amp;"")</f>
        <v/>
      </c>
    </row>
    <row r="1503">
      <c r="A1503" s="31" t="n"/>
      <c r="B1503" s="32" t="n"/>
      <c r="C1503" s="32" t="n"/>
      <c r="D1503" s="33" t="n"/>
      <c r="E1503" s="32" t="n"/>
      <c r="F1503" s="34">
        <f>IF(A1503="","",IFERROR(INT(A1503),"check date"))</f>
        <v/>
      </c>
      <c r="G1503" s="35">
        <f>IF(B1503="","",IFERROR(INDEX(Students!$A:$A,MATCH(TRIM(B1503),Students!$A:$A,0)),"NOT ON LIST"))</f>
        <v/>
      </c>
      <c r="H1503" s="35">
        <f>IF(OR(G1503="",G1503="NOT ON LIST"),"",VLOOKUP(G1503,Students!$A:$C,2,FALSE))</f>
        <v/>
      </c>
      <c r="I1503" s="35">
        <f>IF(OR(G1503="",G1503="NOT ON LIST"),"",VLOOKUP(G1503,Students!$A:$C,3,FALSE)&amp;"")</f>
        <v/>
      </c>
    </row>
    <row r="1504">
      <c r="A1504" s="31" t="n"/>
      <c r="B1504" s="32" t="n"/>
      <c r="C1504" s="32" t="n"/>
      <c r="D1504" s="33" t="n"/>
      <c r="E1504" s="32" t="n"/>
      <c r="F1504" s="34">
        <f>IF(A1504="","",IFERROR(INT(A1504),"check date"))</f>
        <v/>
      </c>
      <c r="G1504" s="35">
        <f>IF(B1504="","",IFERROR(INDEX(Students!$A:$A,MATCH(TRIM(B1504),Students!$A:$A,0)),"NOT ON LIST"))</f>
        <v/>
      </c>
      <c r="H1504" s="35">
        <f>IF(OR(G1504="",G1504="NOT ON LIST"),"",VLOOKUP(G1504,Students!$A:$C,2,FALSE))</f>
        <v/>
      </c>
      <c r="I1504" s="35">
        <f>IF(OR(G1504="",G1504="NOT ON LIST"),"",VLOOKUP(G1504,Students!$A:$C,3,FALSE)&amp;"")</f>
        <v/>
      </c>
    </row>
    <row r="1505">
      <c r="A1505" s="31" t="n"/>
      <c r="B1505" s="32" t="n"/>
      <c r="C1505" s="32" t="n"/>
      <c r="D1505" s="33" t="n"/>
      <c r="E1505" s="32" t="n"/>
      <c r="F1505" s="34">
        <f>IF(A1505="","",IFERROR(INT(A1505),"check date"))</f>
        <v/>
      </c>
      <c r="G1505" s="35">
        <f>IF(B1505="","",IFERROR(INDEX(Students!$A:$A,MATCH(TRIM(B1505),Students!$A:$A,0)),"NOT ON LIST"))</f>
        <v/>
      </c>
      <c r="H1505" s="35">
        <f>IF(OR(G1505="",G1505="NOT ON LIST"),"",VLOOKUP(G1505,Students!$A:$C,2,FALSE))</f>
        <v/>
      </c>
      <c r="I1505" s="35">
        <f>IF(OR(G1505="",G1505="NOT ON LIST"),"",VLOOKUP(G1505,Students!$A:$C,3,FALSE)&amp;"")</f>
        <v/>
      </c>
    </row>
    <row r="1506">
      <c r="A1506" s="31" t="n"/>
      <c r="B1506" s="32" t="n"/>
      <c r="C1506" s="32" t="n"/>
      <c r="D1506" s="33" t="n"/>
      <c r="E1506" s="32" t="n"/>
      <c r="F1506" s="34">
        <f>IF(A1506="","",IFERROR(INT(A1506),"check date"))</f>
        <v/>
      </c>
      <c r="G1506" s="35">
        <f>IF(B1506="","",IFERROR(INDEX(Students!$A:$A,MATCH(TRIM(B1506),Students!$A:$A,0)),"NOT ON LIST"))</f>
        <v/>
      </c>
      <c r="H1506" s="35">
        <f>IF(OR(G1506="",G1506="NOT ON LIST"),"",VLOOKUP(G1506,Students!$A:$C,2,FALSE))</f>
        <v/>
      </c>
      <c r="I1506" s="35">
        <f>IF(OR(G1506="",G1506="NOT ON LIST"),"",VLOOKUP(G1506,Students!$A:$C,3,FALSE)&amp;"")</f>
        <v/>
      </c>
    </row>
    <row r="1507">
      <c r="A1507" s="31" t="n"/>
      <c r="B1507" s="32" t="n"/>
      <c r="C1507" s="32" t="n"/>
      <c r="D1507" s="33" t="n"/>
      <c r="E1507" s="32" t="n"/>
      <c r="F1507" s="34">
        <f>IF(A1507="","",IFERROR(INT(A1507),"check date"))</f>
        <v/>
      </c>
      <c r="G1507" s="35">
        <f>IF(B1507="","",IFERROR(INDEX(Students!$A:$A,MATCH(TRIM(B1507),Students!$A:$A,0)),"NOT ON LIST"))</f>
        <v/>
      </c>
      <c r="H1507" s="35">
        <f>IF(OR(G1507="",G1507="NOT ON LIST"),"",VLOOKUP(G1507,Students!$A:$C,2,FALSE))</f>
        <v/>
      </c>
      <c r="I1507" s="35">
        <f>IF(OR(G1507="",G1507="NOT ON LIST"),"",VLOOKUP(G1507,Students!$A:$C,3,FALSE)&amp;"")</f>
        <v/>
      </c>
    </row>
    <row r="1508">
      <c r="A1508" s="31" t="n"/>
      <c r="B1508" s="32" t="n"/>
      <c r="C1508" s="32" t="n"/>
      <c r="D1508" s="33" t="n"/>
      <c r="E1508" s="32" t="n"/>
      <c r="F1508" s="34">
        <f>IF(A1508="","",IFERROR(INT(A1508),"check date"))</f>
        <v/>
      </c>
      <c r="G1508" s="35">
        <f>IF(B1508="","",IFERROR(INDEX(Students!$A:$A,MATCH(TRIM(B1508),Students!$A:$A,0)),"NOT ON LIST"))</f>
        <v/>
      </c>
      <c r="H1508" s="35">
        <f>IF(OR(G1508="",G1508="NOT ON LIST"),"",VLOOKUP(G1508,Students!$A:$C,2,FALSE))</f>
        <v/>
      </c>
      <c r="I1508" s="35">
        <f>IF(OR(G1508="",G1508="NOT ON LIST"),"",VLOOKUP(G1508,Students!$A:$C,3,FALSE)&amp;"")</f>
        <v/>
      </c>
    </row>
    <row r="1509">
      <c r="A1509" s="31" t="n"/>
      <c r="B1509" s="32" t="n"/>
      <c r="C1509" s="32" t="n"/>
      <c r="D1509" s="33" t="n"/>
      <c r="E1509" s="32" t="n"/>
      <c r="F1509" s="34">
        <f>IF(A1509="","",IFERROR(INT(A1509),"check date"))</f>
        <v/>
      </c>
      <c r="G1509" s="35">
        <f>IF(B1509="","",IFERROR(INDEX(Students!$A:$A,MATCH(TRIM(B1509),Students!$A:$A,0)),"NOT ON LIST"))</f>
        <v/>
      </c>
      <c r="H1509" s="35">
        <f>IF(OR(G1509="",G1509="NOT ON LIST"),"",VLOOKUP(G1509,Students!$A:$C,2,FALSE))</f>
        <v/>
      </c>
      <c r="I1509" s="35">
        <f>IF(OR(G1509="",G1509="NOT ON LIST"),"",VLOOKUP(G1509,Students!$A:$C,3,FALSE)&amp;"")</f>
        <v/>
      </c>
    </row>
    <row r="1510">
      <c r="A1510" s="31" t="n"/>
      <c r="B1510" s="32" t="n"/>
      <c r="C1510" s="32" t="n"/>
      <c r="D1510" s="33" t="n"/>
      <c r="E1510" s="32" t="n"/>
      <c r="F1510" s="34">
        <f>IF(A1510="","",IFERROR(INT(A1510),"check date"))</f>
        <v/>
      </c>
      <c r="G1510" s="35">
        <f>IF(B1510="","",IFERROR(INDEX(Students!$A:$A,MATCH(TRIM(B1510),Students!$A:$A,0)),"NOT ON LIST"))</f>
        <v/>
      </c>
      <c r="H1510" s="35">
        <f>IF(OR(G1510="",G1510="NOT ON LIST"),"",VLOOKUP(G1510,Students!$A:$C,2,FALSE))</f>
        <v/>
      </c>
      <c r="I1510" s="35">
        <f>IF(OR(G1510="",G1510="NOT ON LIST"),"",VLOOKUP(G1510,Students!$A:$C,3,FALSE)&amp;"")</f>
        <v/>
      </c>
    </row>
    <row r="1511">
      <c r="A1511" s="31" t="n"/>
      <c r="B1511" s="32" t="n"/>
      <c r="C1511" s="32" t="n"/>
      <c r="D1511" s="33" t="n"/>
      <c r="E1511" s="32" t="n"/>
      <c r="F1511" s="34">
        <f>IF(A1511="","",IFERROR(INT(A1511),"check date"))</f>
        <v/>
      </c>
      <c r="G1511" s="35">
        <f>IF(B1511="","",IFERROR(INDEX(Students!$A:$A,MATCH(TRIM(B1511),Students!$A:$A,0)),"NOT ON LIST"))</f>
        <v/>
      </c>
      <c r="H1511" s="35">
        <f>IF(OR(G1511="",G1511="NOT ON LIST"),"",VLOOKUP(G1511,Students!$A:$C,2,FALSE))</f>
        <v/>
      </c>
      <c r="I1511" s="35">
        <f>IF(OR(G1511="",G1511="NOT ON LIST"),"",VLOOKUP(G1511,Students!$A:$C,3,FALSE)&amp;"")</f>
        <v/>
      </c>
    </row>
    <row r="1512">
      <c r="A1512" s="31" t="n"/>
      <c r="B1512" s="32" t="n"/>
      <c r="C1512" s="32" t="n"/>
      <c r="D1512" s="33" t="n"/>
      <c r="E1512" s="32" t="n"/>
      <c r="F1512" s="34">
        <f>IF(A1512="","",IFERROR(INT(A1512),"check date"))</f>
        <v/>
      </c>
      <c r="G1512" s="35">
        <f>IF(B1512="","",IFERROR(INDEX(Students!$A:$A,MATCH(TRIM(B1512),Students!$A:$A,0)),"NOT ON LIST"))</f>
        <v/>
      </c>
      <c r="H1512" s="35">
        <f>IF(OR(G1512="",G1512="NOT ON LIST"),"",VLOOKUP(G1512,Students!$A:$C,2,FALSE))</f>
        <v/>
      </c>
      <c r="I1512" s="35">
        <f>IF(OR(G1512="",G1512="NOT ON LIST"),"",VLOOKUP(G1512,Students!$A:$C,3,FALSE)&amp;"")</f>
        <v/>
      </c>
    </row>
    <row r="1513">
      <c r="A1513" s="31" t="n"/>
      <c r="B1513" s="32" t="n"/>
      <c r="C1513" s="32" t="n"/>
      <c r="D1513" s="33" t="n"/>
      <c r="E1513" s="32" t="n"/>
      <c r="F1513" s="34">
        <f>IF(A1513="","",IFERROR(INT(A1513),"check date"))</f>
        <v/>
      </c>
      <c r="G1513" s="35">
        <f>IF(B1513="","",IFERROR(INDEX(Students!$A:$A,MATCH(TRIM(B1513),Students!$A:$A,0)),"NOT ON LIST"))</f>
        <v/>
      </c>
      <c r="H1513" s="35">
        <f>IF(OR(G1513="",G1513="NOT ON LIST"),"",VLOOKUP(G1513,Students!$A:$C,2,FALSE))</f>
        <v/>
      </c>
      <c r="I1513" s="35">
        <f>IF(OR(G1513="",G1513="NOT ON LIST"),"",VLOOKUP(G1513,Students!$A:$C,3,FALSE)&amp;"")</f>
        <v/>
      </c>
    </row>
    <row r="1514">
      <c r="A1514" s="31" t="n"/>
      <c r="B1514" s="32" t="n"/>
      <c r="C1514" s="32" t="n"/>
      <c r="D1514" s="33" t="n"/>
      <c r="E1514" s="32" t="n"/>
      <c r="F1514" s="34">
        <f>IF(A1514="","",IFERROR(INT(A1514),"check date"))</f>
        <v/>
      </c>
      <c r="G1514" s="35">
        <f>IF(B1514="","",IFERROR(INDEX(Students!$A:$A,MATCH(TRIM(B1514),Students!$A:$A,0)),"NOT ON LIST"))</f>
        <v/>
      </c>
      <c r="H1514" s="35">
        <f>IF(OR(G1514="",G1514="NOT ON LIST"),"",VLOOKUP(G1514,Students!$A:$C,2,FALSE))</f>
        <v/>
      </c>
      <c r="I1514" s="35">
        <f>IF(OR(G1514="",G1514="NOT ON LIST"),"",VLOOKUP(G1514,Students!$A:$C,3,FALSE)&amp;"")</f>
        <v/>
      </c>
    </row>
    <row r="1515">
      <c r="A1515" s="31" t="n"/>
      <c r="B1515" s="32" t="n"/>
      <c r="C1515" s="32" t="n"/>
      <c r="D1515" s="33" t="n"/>
      <c r="E1515" s="32" t="n"/>
      <c r="F1515" s="34">
        <f>IF(A1515="","",IFERROR(INT(A1515),"check date"))</f>
        <v/>
      </c>
      <c r="G1515" s="35">
        <f>IF(B1515="","",IFERROR(INDEX(Students!$A:$A,MATCH(TRIM(B1515),Students!$A:$A,0)),"NOT ON LIST"))</f>
        <v/>
      </c>
      <c r="H1515" s="35">
        <f>IF(OR(G1515="",G1515="NOT ON LIST"),"",VLOOKUP(G1515,Students!$A:$C,2,FALSE))</f>
        <v/>
      </c>
      <c r="I1515" s="35">
        <f>IF(OR(G1515="",G1515="NOT ON LIST"),"",VLOOKUP(G1515,Students!$A:$C,3,FALSE)&amp;"")</f>
        <v/>
      </c>
    </row>
    <row r="1516">
      <c r="A1516" s="31" t="n"/>
      <c r="B1516" s="32" t="n"/>
      <c r="C1516" s="32" t="n"/>
      <c r="D1516" s="33" t="n"/>
      <c r="E1516" s="32" t="n"/>
      <c r="F1516" s="34">
        <f>IF(A1516="","",IFERROR(INT(A1516),"check date"))</f>
        <v/>
      </c>
      <c r="G1516" s="35">
        <f>IF(B1516="","",IFERROR(INDEX(Students!$A:$A,MATCH(TRIM(B1516),Students!$A:$A,0)),"NOT ON LIST"))</f>
        <v/>
      </c>
      <c r="H1516" s="35">
        <f>IF(OR(G1516="",G1516="NOT ON LIST"),"",VLOOKUP(G1516,Students!$A:$C,2,FALSE))</f>
        <v/>
      </c>
      <c r="I1516" s="35">
        <f>IF(OR(G1516="",G1516="NOT ON LIST"),"",VLOOKUP(G1516,Students!$A:$C,3,FALSE)&amp;"")</f>
        <v/>
      </c>
    </row>
    <row r="1517">
      <c r="A1517" s="31" t="n"/>
      <c r="B1517" s="32" t="n"/>
      <c r="C1517" s="32" t="n"/>
      <c r="D1517" s="33" t="n"/>
      <c r="E1517" s="32" t="n"/>
      <c r="F1517" s="34">
        <f>IF(A1517="","",IFERROR(INT(A1517),"check date"))</f>
        <v/>
      </c>
      <c r="G1517" s="35">
        <f>IF(B1517="","",IFERROR(INDEX(Students!$A:$A,MATCH(TRIM(B1517),Students!$A:$A,0)),"NOT ON LIST"))</f>
        <v/>
      </c>
      <c r="H1517" s="35">
        <f>IF(OR(G1517="",G1517="NOT ON LIST"),"",VLOOKUP(G1517,Students!$A:$C,2,FALSE))</f>
        <v/>
      </c>
      <c r="I1517" s="35">
        <f>IF(OR(G1517="",G1517="NOT ON LIST"),"",VLOOKUP(G1517,Students!$A:$C,3,FALSE)&amp;"")</f>
        <v/>
      </c>
    </row>
    <row r="1518">
      <c r="A1518" s="31" t="n"/>
      <c r="B1518" s="32" t="n"/>
      <c r="C1518" s="32" t="n"/>
      <c r="D1518" s="33" t="n"/>
      <c r="E1518" s="32" t="n"/>
      <c r="F1518" s="34">
        <f>IF(A1518="","",IFERROR(INT(A1518),"check date"))</f>
        <v/>
      </c>
      <c r="G1518" s="35">
        <f>IF(B1518="","",IFERROR(INDEX(Students!$A:$A,MATCH(TRIM(B1518),Students!$A:$A,0)),"NOT ON LIST"))</f>
        <v/>
      </c>
      <c r="H1518" s="35">
        <f>IF(OR(G1518="",G1518="NOT ON LIST"),"",VLOOKUP(G1518,Students!$A:$C,2,FALSE))</f>
        <v/>
      </c>
      <c r="I1518" s="35">
        <f>IF(OR(G1518="",G1518="NOT ON LIST"),"",VLOOKUP(G1518,Students!$A:$C,3,FALSE)&amp;"")</f>
        <v/>
      </c>
    </row>
    <row r="1519">
      <c r="A1519" s="31" t="n"/>
      <c r="B1519" s="32" t="n"/>
      <c r="C1519" s="32" t="n"/>
      <c r="D1519" s="33" t="n"/>
      <c r="E1519" s="32" t="n"/>
      <c r="F1519" s="34">
        <f>IF(A1519="","",IFERROR(INT(A1519),"check date"))</f>
        <v/>
      </c>
      <c r="G1519" s="35">
        <f>IF(B1519="","",IFERROR(INDEX(Students!$A:$A,MATCH(TRIM(B1519),Students!$A:$A,0)),"NOT ON LIST"))</f>
        <v/>
      </c>
      <c r="H1519" s="35">
        <f>IF(OR(G1519="",G1519="NOT ON LIST"),"",VLOOKUP(G1519,Students!$A:$C,2,FALSE))</f>
        <v/>
      </c>
      <c r="I1519" s="35">
        <f>IF(OR(G1519="",G1519="NOT ON LIST"),"",VLOOKUP(G1519,Students!$A:$C,3,FALSE)&amp;"")</f>
        <v/>
      </c>
    </row>
    <row r="1520">
      <c r="A1520" s="31" t="n"/>
      <c r="B1520" s="32" t="n"/>
      <c r="C1520" s="32" t="n"/>
      <c r="D1520" s="33" t="n"/>
      <c r="E1520" s="32" t="n"/>
      <c r="F1520" s="34">
        <f>IF(A1520="","",IFERROR(INT(A1520),"check date"))</f>
        <v/>
      </c>
      <c r="G1520" s="35">
        <f>IF(B1520="","",IFERROR(INDEX(Students!$A:$A,MATCH(TRIM(B1520),Students!$A:$A,0)),"NOT ON LIST"))</f>
        <v/>
      </c>
      <c r="H1520" s="35">
        <f>IF(OR(G1520="",G1520="NOT ON LIST"),"",VLOOKUP(G1520,Students!$A:$C,2,FALSE))</f>
        <v/>
      </c>
      <c r="I1520" s="35">
        <f>IF(OR(G1520="",G1520="NOT ON LIST"),"",VLOOKUP(G1520,Students!$A:$C,3,FALSE)&amp;"")</f>
        <v/>
      </c>
    </row>
    <row r="1521">
      <c r="A1521" s="31" t="n"/>
      <c r="B1521" s="32" t="n"/>
      <c r="C1521" s="32" t="n"/>
      <c r="D1521" s="33" t="n"/>
      <c r="E1521" s="32" t="n"/>
      <c r="F1521" s="34">
        <f>IF(A1521="","",IFERROR(INT(A1521),"check date"))</f>
        <v/>
      </c>
      <c r="G1521" s="35">
        <f>IF(B1521="","",IFERROR(INDEX(Students!$A:$A,MATCH(TRIM(B1521),Students!$A:$A,0)),"NOT ON LIST"))</f>
        <v/>
      </c>
      <c r="H1521" s="35">
        <f>IF(OR(G1521="",G1521="NOT ON LIST"),"",VLOOKUP(G1521,Students!$A:$C,2,FALSE))</f>
        <v/>
      </c>
      <c r="I1521" s="35">
        <f>IF(OR(G1521="",G1521="NOT ON LIST"),"",VLOOKUP(G1521,Students!$A:$C,3,FALSE)&amp;"")</f>
        <v/>
      </c>
    </row>
    <row r="1522">
      <c r="A1522" s="31" t="n"/>
      <c r="B1522" s="32" t="n"/>
      <c r="C1522" s="32" t="n"/>
      <c r="D1522" s="33" t="n"/>
      <c r="E1522" s="32" t="n"/>
      <c r="F1522" s="34">
        <f>IF(A1522="","",IFERROR(INT(A1522),"check date"))</f>
        <v/>
      </c>
      <c r="G1522" s="35">
        <f>IF(B1522="","",IFERROR(INDEX(Students!$A:$A,MATCH(TRIM(B1522),Students!$A:$A,0)),"NOT ON LIST"))</f>
        <v/>
      </c>
      <c r="H1522" s="35">
        <f>IF(OR(G1522="",G1522="NOT ON LIST"),"",VLOOKUP(G1522,Students!$A:$C,2,FALSE))</f>
        <v/>
      </c>
      <c r="I1522" s="35">
        <f>IF(OR(G1522="",G1522="NOT ON LIST"),"",VLOOKUP(G1522,Students!$A:$C,3,FALSE)&amp;"")</f>
        <v/>
      </c>
    </row>
    <row r="1523">
      <c r="A1523" s="31" t="n"/>
      <c r="B1523" s="32" t="n"/>
      <c r="C1523" s="32" t="n"/>
      <c r="D1523" s="33" t="n"/>
      <c r="E1523" s="32" t="n"/>
      <c r="F1523" s="34">
        <f>IF(A1523="","",IFERROR(INT(A1523),"check date"))</f>
        <v/>
      </c>
      <c r="G1523" s="35">
        <f>IF(B1523="","",IFERROR(INDEX(Students!$A:$A,MATCH(TRIM(B1523),Students!$A:$A,0)),"NOT ON LIST"))</f>
        <v/>
      </c>
      <c r="H1523" s="35">
        <f>IF(OR(G1523="",G1523="NOT ON LIST"),"",VLOOKUP(G1523,Students!$A:$C,2,FALSE))</f>
        <v/>
      </c>
      <c r="I1523" s="35">
        <f>IF(OR(G1523="",G1523="NOT ON LIST"),"",VLOOKUP(G1523,Students!$A:$C,3,FALSE)&amp;"")</f>
        <v/>
      </c>
    </row>
    <row r="1524">
      <c r="A1524" s="31" t="n"/>
      <c r="B1524" s="32" t="n"/>
      <c r="C1524" s="32" t="n"/>
      <c r="D1524" s="33" t="n"/>
      <c r="E1524" s="32" t="n"/>
      <c r="F1524" s="34">
        <f>IF(A1524="","",IFERROR(INT(A1524),"check date"))</f>
        <v/>
      </c>
      <c r="G1524" s="35">
        <f>IF(B1524="","",IFERROR(INDEX(Students!$A:$A,MATCH(TRIM(B1524),Students!$A:$A,0)),"NOT ON LIST"))</f>
        <v/>
      </c>
      <c r="H1524" s="35">
        <f>IF(OR(G1524="",G1524="NOT ON LIST"),"",VLOOKUP(G1524,Students!$A:$C,2,FALSE))</f>
        <v/>
      </c>
      <c r="I1524" s="35">
        <f>IF(OR(G1524="",G1524="NOT ON LIST"),"",VLOOKUP(G1524,Students!$A:$C,3,FALSE)&amp;"")</f>
        <v/>
      </c>
    </row>
    <row r="1525">
      <c r="A1525" s="31" t="n"/>
      <c r="B1525" s="32" t="n"/>
      <c r="C1525" s="32" t="n"/>
      <c r="D1525" s="33" t="n"/>
      <c r="E1525" s="32" t="n"/>
      <c r="F1525" s="34">
        <f>IF(A1525="","",IFERROR(INT(A1525),"check date"))</f>
        <v/>
      </c>
      <c r="G1525" s="35">
        <f>IF(B1525="","",IFERROR(INDEX(Students!$A:$A,MATCH(TRIM(B1525),Students!$A:$A,0)),"NOT ON LIST"))</f>
        <v/>
      </c>
      <c r="H1525" s="35">
        <f>IF(OR(G1525="",G1525="NOT ON LIST"),"",VLOOKUP(G1525,Students!$A:$C,2,FALSE))</f>
        <v/>
      </c>
      <c r="I1525" s="35">
        <f>IF(OR(G1525="",G1525="NOT ON LIST"),"",VLOOKUP(G1525,Students!$A:$C,3,FALSE)&amp;"")</f>
        <v/>
      </c>
    </row>
    <row r="1526">
      <c r="A1526" s="31" t="n"/>
      <c r="B1526" s="32" t="n"/>
      <c r="C1526" s="32" t="n"/>
      <c r="D1526" s="33" t="n"/>
      <c r="E1526" s="32" t="n"/>
      <c r="F1526" s="34">
        <f>IF(A1526="","",IFERROR(INT(A1526),"check date"))</f>
        <v/>
      </c>
      <c r="G1526" s="35">
        <f>IF(B1526="","",IFERROR(INDEX(Students!$A:$A,MATCH(TRIM(B1526),Students!$A:$A,0)),"NOT ON LIST"))</f>
        <v/>
      </c>
      <c r="H1526" s="35">
        <f>IF(OR(G1526="",G1526="NOT ON LIST"),"",VLOOKUP(G1526,Students!$A:$C,2,FALSE))</f>
        <v/>
      </c>
      <c r="I1526" s="35">
        <f>IF(OR(G1526="",G1526="NOT ON LIST"),"",VLOOKUP(G1526,Students!$A:$C,3,FALSE)&amp;"")</f>
        <v/>
      </c>
    </row>
    <row r="1527">
      <c r="A1527" s="31" t="n"/>
      <c r="B1527" s="32" t="n"/>
      <c r="C1527" s="32" t="n"/>
      <c r="D1527" s="33" t="n"/>
      <c r="E1527" s="32" t="n"/>
      <c r="F1527" s="34">
        <f>IF(A1527="","",IFERROR(INT(A1527),"check date"))</f>
        <v/>
      </c>
      <c r="G1527" s="35">
        <f>IF(B1527="","",IFERROR(INDEX(Students!$A:$A,MATCH(TRIM(B1527),Students!$A:$A,0)),"NOT ON LIST"))</f>
        <v/>
      </c>
      <c r="H1527" s="35">
        <f>IF(OR(G1527="",G1527="NOT ON LIST"),"",VLOOKUP(G1527,Students!$A:$C,2,FALSE))</f>
        <v/>
      </c>
      <c r="I1527" s="35">
        <f>IF(OR(G1527="",G1527="NOT ON LIST"),"",VLOOKUP(G1527,Students!$A:$C,3,FALSE)&amp;"")</f>
        <v/>
      </c>
    </row>
    <row r="1528">
      <c r="A1528" s="31" t="n"/>
      <c r="B1528" s="32" t="n"/>
      <c r="C1528" s="32" t="n"/>
      <c r="D1528" s="33" t="n"/>
      <c r="E1528" s="32" t="n"/>
      <c r="F1528" s="34">
        <f>IF(A1528="","",IFERROR(INT(A1528),"check date"))</f>
        <v/>
      </c>
      <c r="G1528" s="35">
        <f>IF(B1528="","",IFERROR(INDEX(Students!$A:$A,MATCH(TRIM(B1528),Students!$A:$A,0)),"NOT ON LIST"))</f>
        <v/>
      </c>
      <c r="H1528" s="35">
        <f>IF(OR(G1528="",G1528="NOT ON LIST"),"",VLOOKUP(G1528,Students!$A:$C,2,FALSE))</f>
        <v/>
      </c>
      <c r="I1528" s="35">
        <f>IF(OR(G1528="",G1528="NOT ON LIST"),"",VLOOKUP(G1528,Students!$A:$C,3,FALSE)&amp;"")</f>
        <v/>
      </c>
    </row>
    <row r="1529">
      <c r="A1529" s="31" t="n"/>
      <c r="B1529" s="32" t="n"/>
      <c r="C1529" s="32" t="n"/>
      <c r="D1529" s="33" t="n"/>
      <c r="E1529" s="32" t="n"/>
      <c r="F1529" s="34">
        <f>IF(A1529="","",IFERROR(INT(A1529),"check date"))</f>
        <v/>
      </c>
      <c r="G1529" s="35">
        <f>IF(B1529="","",IFERROR(INDEX(Students!$A:$A,MATCH(TRIM(B1529),Students!$A:$A,0)),"NOT ON LIST"))</f>
        <v/>
      </c>
      <c r="H1529" s="35">
        <f>IF(OR(G1529="",G1529="NOT ON LIST"),"",VLOOKUP(G1529,Students!$A:$C,2,FALSE))</f>
        <v/>
      </c>
      <c r="I1529" s="35">
        <f>IF(OR(G1529="",G1529="NOT ON LIST"),"",VLOOKUP(G1529,Students!$A:$C,3,FALSE)&amp;"")</f>
        <v/>
      </c>
    </row>
    <row r="1530">
      <c r="A1530" s="31" t="n"/>
      <c r="B1530" s="32" t="n"/>
      <c r="C1530" s="32" t="n"/>
      <c r="D1530" s="33" t="n"/>
      <c r="E1530" s="32" t="n"/>
      <c r="F1530" s="34">
        <f>IF(A1530="","",IFERROR(INT(A1530),"check date"))</f>
        <v/>
      </c>
      <c r="G1530" s="35">
        <f>IF(B1530="","",IFERROR(INDEX(Students!$A:$A,MATCH(TRIM(B1530),Students!$A:$A,0)),"NOT ON LIST"))</f>
        <v/>
      </c>
      <c r="H1530" s="35">
        <f>IF(OR(G1530="",G1530="NOT ON LIST"),"",VLOOKUP(G1530,Students!$A:$C,2,FALSE))</f>
        <v/>
      </c>
      <c r="I1530" s="35">
        <f>IF(OR(G1530="",G1530="NOT ON LIST"),"",VLOOKUP(G1530,Students!$A:$C,3,FALSE)&amp;"")</f>
        <v/>
      </c>
    </row>
    <row r="1531">
      <c r="A1531" s="31" t="n"/>
      <c r="B1531" s="32" t="n"/>
      <c r="C1531" s="32" t="n"/>
      <c r="D1531" s="33" t="n"/>
      <c r="E1531" s="32" t="n"/>
      <c r="F1531" s="34">
        <f>IF(A1531="","",IFERROR(INT(A1531),"check date"))</f>
        <v/>
      </c>
      <c r="G1531" s="35">
        <f>IF(B1531="","",IFERROR(INDEX(Students!$A:$A,MATCH(TRIM(B1531),Students!$A:$A,0)),"NOT ON LIST"))</f>
        <v/>
      </c>
      <c r="H1531" s="35">
        <f>IF(OR(G1531="",G1531="NOT ON LIST"),"",VLOOKUP(G1531,Students!$A:$C,2,FALSE))</f>
        <v/>
      </c>
      <c r="I1531" s="35">
        <f>IF(OR(G1531="",G1531="NOT ON LIST"),"",VLOOKUP(G1531,Students!$A:$C,3,FALSE)&amp;"")</f>
        <v/>
      </c>
    </row>
    <row r="1532">
      <c r="A1532" s="31" t="n"/>
      <c r="B1532" s="32" t="n"/>
      <c r="C1532" s="32" t="n"/>
      <c r="D1532" s="33" t="n"/>
      <c r="E1532" s="32" t="n"/>
      <c r="F1532" s="34">
        <f>IF(A1532="","",IFERROR(INT(A1532),"check date"))</f>
        <v/>
      </c>
      <c r="G1532" s="35">
        <f>IF(B1532="","",IFERROR(INDEX(Students!$A:$A,MATCH(TRIM(B1532),Students!$A:$A,0)),"NOT ON LIST"))</f>
        <v/>
      </c>
      <c r="H1532" s="35">
        <f>IF(OR(G1532="",G1532="NOT ON LIST"),"",VLOOKUP(G1532,Students!$A:$C,2,FALSE))</f>
        <v/>
      </c>
      <c r="I1532" s="35">
        <f>IF(OR(G1532="",G1532="NOT ON LIST"),"",VLOOKUP(G1532,Students!$A:$C,3,FALSE)&amp;"")</f>
        <v/>
      </c>
    </row>
    <row r="1533">
      <c r="A1533" s="31" t="n"/>
      <c r="B1533" s="32" t="n"/>
      <c r="C1533" s="32" t="n"/>
      <c r="D1533" s="33" t="n"/>
      <c r="E1533" s="32" t="n"/>
      <c r="F1533" s="34">
        <f>IF(A1533="","",IFERROR(INT(A1533),"check date"))</f>
        <v/>
      </c>
      <c r="G1533" s="35">
        <f>IF(B1533="","",IFERROR(INDEX(Students!$A:$A,MATCH(TRIM(B1533),Students!$A:$A,0)),"NOT ON LIST"))</f>
        <v/>
      </c>
      <c r="H1533" s="35">
        <f>IF(OR(G1533="",G1533="NOT ON LIST"),"",VLOOKUP(G1533,Students!$A:$C,2,FALSE))</f>
        <v/>
      </c>
      <c r="I1533" s="35">
        <f>IF(OR(G1533="",G1533="NOT ON LIST"),"",VLOOKUP(G1533,Students!$A:$C,3,FALSE)&amp;"")</f>
        <v/>
      </c>
    </row>
    <row r="1534">
      <c r="A1534" s="31" t="n"/>
      <c r="B1534" s="32" t="n"/>
      <c r="C1534" s="32" t="n"/>
      <c r="D1534" s="33" t="n"/>
      <c r="E1534" s="32" t="n"/>
      <c r="F1534" s="34">
        <f>IF(A1534="","",IFERROR(INT(A1534),"check date"))</f>
        <v/>
      </c>
      <c r="G1534" s="35">
        <f>IF(B1534="","",IFERROR(INDEX(Students!$A:$A,MATCH(TRIM(B1534),Students!$A:$A,0)),"NOT ON LIST"))</f>
        <v/>
      </c>
      <c r="H1534" s="35">
        <f>IF(OR(G1534="",G1534="NOT ON LIST"),"",VLOOKUP(G1534,Students!$A:$C,2,FALSE))</f>
        <v/>
      </c>
      <c r="I1534" s="35">
        <f>IF(OR(G1534="",G1534="NOT ON LIST"),"",VLOOKUP(G1534,Students!$A:$C,3,FALSE)&amp;"")</f>
        <v/>
      </c>
    </row>
    <row r="1535">
      <c r="A1535" s="31" t="n"/>
      <c r="B1535" s="32" t="n"/>
      <c r="C1535" s="32" t="n"/>
      <c r="D1535" s="33" t="n"/>
      <c r="E1535" s="32" t="n"/>
      <c r="F1535" s="34">
        <f>IF(A1535="","",IFERROR(INT(A1535),"check date"))</f>
        <v/>
      </c>
      <c r="G1535" s="35">
        <f>IF(B1535="","",IFERROR(INDEX(Students!$A:$A,MATCH(TRIM(B1535),Students!$A:$A,0)),"NOT ON LIST"))</f>
        <v/>
      </c>
      <c r="H1535" s="35">
        <f>IF(OR(G1535="",G1535="NOT ON LIST"),"",VLOOKUP(G1535,Students!$A:$C,2,FALSE))</f>
        <v/>
      </c>
      <c r="I1535" s="35">
        <f>IF(OR(G1535="",G1535="NOT ON LIST"),"",VLOOKUP(G1535,Students!$A:$C,3,FALSE)&amp;"")</f>
        <v/>
      </c>
    </row>
    <row r="1536">
      <c r="A1536" s="31" t="n"/>
      <c r="B1536" s="32" t="n"/>
      <c r="C1536" s="32" t="n"/>
      <c r="D1536" s="33" t="n"/>
      <c r="E1536" s="32" t="n"/>
      <c r="F1536" s="34">
        <f>IF(A1536="","",IFERROR(INT(A1536),"check date"))</f>
        <v/>
      </c>
      <c r="G1536" s="35">
        <f>IF(B1536="","",IFERROR(INDEX(Students!$A:$A,MATCH(TRIM(B1536),Students!$A:$A,0)),"NOT ON LIST"))</f>
        <v/>
      </c>
      <c r="H1536" s="35">
        <f>IF(OR(G1536="",G1536="NOT ON LIST"),"",VLOOKUP(G1536,Students!$A:$C,2,FALSE))</f>
        <v/>
      </c>
      <c r="I1536" s="35">
        <f>IF(OR(G1536="",G1536="NOT ON LIST"),"",VLOOKUP(G1536,Students!$A:$C,3,FALSE)&amp;"")</f>
        <v/>
      </c>
    </row>
    <row r="1537">
      <c r="A1537" s="31" t="n"/>
      <c r="B1537" s="32" t="n"/>
      <c r="C1537" s="32" t="n"/>
      <c r="D1537" s="33" t="n"/>
      <c r="E1537" s="32" t="n"/>
      <c r="F1537" s="34">
        <f>IF(A1537="","",IFERROR(INT(A1537),"check date"))</f>
        <v/>
      </c>
      <c r="G1537" s="35">
        <f>IF(B1537="","",IFERROR(INDEX(Students!$A:$A,MATCH(TRIM(B1537),Students!$A:$A,0)),"NOT ON LIST"))</f>
        <v/>
      </c>
      <c r="H1537" s="35">
        <f>IF(OR(G1537="",G1537="NOT ON LIST"),"",VLOOKUP(G1537,Students!$A:$C,2,FALSE))</f>
        <v/>
      </c>
      <c r="I1537" s="35">
        <f>IF(OR(G1537="",G1537="NOT ON LIST"),"",VLOOKUP(G1537,Students!$A:$C,3,FALSE)&amp;"")</f>
        <v/>
      </c>
    </row>
    <row r="1538">
      <c r="A1538" s="31" t="n"/>
      <c r="B1538" s="32" t="n"/>
      <c r="C1538" s="32" t="n"/>
      <c r="D1538" s="33" t="n"/>
      <c r="E1538" s="32" t="n"/>
      <c r="F1538" s="34">
        <f>IF(A1538="","",IFERROR(INT(A1538),"check date"))</f>
        <v/>
      </c>
      <c r="G1538" s="35">
        <f>IF(B1538="","",IFERROR(INDEX(Students!$A:$A,MATCH(TRIM(B1538),Students!$A:$A,0)),"NOT ON LIST"))</f>
        <v/>
      </c>
      <c r="H1538" s="35">
        <f>IF(OR(G1538="",G1538="NOT ON LIST"),"",VLOOKUP(G1538,Students!$A:$C,2,FALSE))</f>
        <v/>
      </c>
      <c r="I1538" s="35">
        <f>IF(OR(G1538="",G1538="NOT ON LIST"),"",VLOOKUP(G1538,Students!$A:$C,3,FALSE)&amp;"")</f>
        <v/>
      </c>
    </row>
    <row r="1539">
      <c r="A1539" s="31" t="n"/>
      <c r="B1539" s="32" t="n"/>
      <c r="C1539" s="32" t="n"/>
      <c r="D1539" s="33" t="n"/>
      <c r="E1539" s="32" t="n"/>
      <c r="F1539" s="34">
        <f>IF(A1539="","",IFERROR(INT(A1539),"check date"))</f>
        <v/>
      </c>
      <c r="G1539" s="35">
        <f>IF(B1539="","",IFERROR(INDEX(Students!$A:$A,MATCH(TRIM(B1539),Students!$A:$A,0)),"NOT ON LIST"))</f>
        <v/>
      </c>
      <c r="H1539" s="35">
        <f>IF(OR(G1539="",G1539="NOT ON LIST"),"",VLOOKUP(G1539,Students!$A:$C,2,FALSE))</f>
        <v/>
      </c>
      <c r="I1539" s="35">
        <f>IF(OR(G1539="",G1539="NOT ON LIST"),"",VLOOKUP(G1539,Students!$A:$C,3,FALSE)&amp;"")</f>
        <v/>
      </c>
    </row>
    <row r="1540">
      <c r="A1540" s="31" t="n"/>
      <c r="B1540" s="32" t="n"/>
      <c r="C1540" s="32" t="n"/>
      <c r="D1540" s="33" t="n"/>
      <c r="E1540" s="32" t="n"/>
      <c r="F1540" s="34">
        <f>IF(A1540="","",IFERROR(INT(A1540),"check date"))</f>
        <v/>
      </c>
      <c r="G1540" s="35">
        <f>IF(B1540="","",IFERROR(INDEX(Students!$A:$A,MATCH(TRIM(B1540),Students!$A:$A,0)),"NOT ON LIST"))</f>
        <v/>
      </c>
      <c r="H1540" s="35">
        <f>IF(OR(G1540="",G1540="NOT ON LIST"),"",VLOOKUP(G1540,Students!$A:$C,2,FALSE))</f>
        <v/>
      </c>
      <c r="I1540" s="35">
        <f>IF(OR(G1540="",G1540="NOT ON LIST"),"",VLOOKUP(G1540,Students!$A:$C,3,FALSE)&amp;"")</f>
        <v/>
      </c>
    </row>
    <row r="1541">
      <c r="A1541" s="31" t="n"/>
      <c r="B1541" s="32" t="n"/>
      <c r="C1541" s="32" t="n"/>
      <c r="D1541" s="33" t="n"/>
      <c r="E1541" s="32" t="n"/>
      <c r="F1541" s="34">
        <f>IF(A1541="","",IFERROR(INT(A1541),"check date"))</f>
        <v/>
      </c>
      <c r="G1541" s="35">
        <f>IF(B1541="","",IFERROR(INDEX(Students!$A:$A,MATCH(TRIM(B1541),Students!$A:$A,0)),"NOT ON LIST"))</f>
        <v/>
      </c>
      <c r="H1541" s="35">
        <f>IF(OR(G1541="",G1541="NOT ON LIST"),"",VLOOKUP(G1541,Students!$A:$C,2,FALSE))</f>
        <v/>
      </c>
      <c r="I1541" s="35">
        <f>IF(OR(G1541="",G1541="NOT ON LIST"),"",VLOOKUP(G1541,Students!$A:$C,3,FALSE)&amp;"")</f>
        <v/>
      </c>
    </row>
    <row r="1542">
      <c r="A1542" s="31" t="n"/>
      <c r="B1542" s="32" t="n"/>
      <c r="C1542" s="32" t="n"/>
      <c r="D1542" s="33" t="n"/>
      <c r="E1542" s="32" t="n"/>
      <c r="F1542" s="34">
        <f>IF(A1542="","",IFERROR(INT(A1542),"check date"))</f>
        <v/>
      </c>
      <c r="G1542" s="35">
        <f>IF(B1542="","",IFERROR(INDEX(Students!$A:$A,MATCH(TRIM(B1542),Students!$A:$A,0)),"NOT ON LIST"))</f>
        <v/>
      </c>
      <c r="H1542" s="35">
        <f>IF(OR(G1542="",G1542="NOT ON LIST"),"",VLOOKUP(G1542,Students!$A:$C,2,FALSE))</f>
        <v/>
      </c>
      <c r="I1542" s="35">
        <f>IF(OR(G1542="",G1542="NOT ON LIST"),"",VLOOKUP(G1542,Students!$A:$C,3,FALSE)&amp;"")</f>
        <v/>
      </c>
    </row>
    <row r="1543">
      <c r="A1543" s="31" t="n"/>
      <c r="B1543" s="32" t="n"/>
      <c r="C1543" s="32" t="n"/>
      <c r="D1543" s="33" t="n"/>
      <c r="E1543" s="32" t="n"/>
      <c r="F1543" s="34">
        <f>IF(A1543="","",IFERROR(INT(A1543),"check date"))</f>
        <v/>
      </c>
      <c r="G1543" s="35">
        <f>IF(B1543="","",IFERROR(INDEX(Students!$A:$A,MATCH(TRIM(B1543),Students!$A:$A,0)),"NOT ON LIST"))</f>
        <v/>
      </c>
      <c r="H1543" s="35">
        <f>IF(OR(G1543="",G1543="NOT ON LIST"),"",VLOOKUP(G1543,Students!$A:$C,2,FALSE))</f>
        <v/>
      </c>
      <c r="I1543" s="35">
        <f>IF(OR(G1543="",G1543="NOT ON LIST"),"",VLOOKUP(G1543,Students!$A:$C,3,FALSE)&amp;"")</f>
        <v/>
      </c>
    </row>
    <row r="1544">
      <c r="A1544" s="31" t="n"/>
      <c r="B1544" s="32" t="n"/>
      <c r="C1544" s="32" t="n"/>
      <c r="D1544" s="33" t="n"/>
      <c r="E1544" s="32" t="n"/>
      <c r="F1544" s="34">
        <f>IF(A1544="","",IFERROR(INT(A1544),"check date"))</f>
        <v/>
      </c>
      <c r="G1544" s="35">
        <f>IF(B1544="","",IFERROR(INDEX(Students!$A:$A,MATCH(TRIM(B1544),Students!$A:$A,0)),"NOT ON LIST"))</f>
        <v/>
      </c>
      <c r="H1544" s="35">
        <f>IF(OR(G1544="",G1544="NOT ON LIST"),"",VLOOKUP(G1544,Students!$A:$C,2,FALSE))</f>
        <v/>
      </c>
      <c r="I1544" s="35">
        <f>IF(OR(G1544="",G1544="NOT ON LIST"),"",VLOOKUP(G1544,Students!$A:$C,3,FALSE)&amp;"")</f>
        <v/>
      </c>
    </row>
    <row r="1545">
      <c r="A1545" s="31" t="n"/>
      <c r="B1545" s="32" t="n"/>
      <c r="C1545" s="32" t="n"/>
      <c r="D1545" s="33" t="n"/>
      <c r="E1545" s="32" t="n"/>
      <c r="F1545" s="34">
        <f>IF(A1545="","",IFERROR(INT(A1545),"check date"))</f>
        <v/>
      </c>
      <c r="G1545" s="35">
        <f>IF(B1545="","",IFERROR(INDEX(Students!$A:$A,MATCH(TRIM(B1545),Students!$A:$A,0)),"NOT ON LIST"))</f>
        <v/>
      </c>
      <c r="H1545" s="35">
        <f>IF(OR(G1545="",G1545="NOT ON LIST"),"",VLOOKUP(G1545,Students!$A:$C,2,FALSE))</f>
        <v/>
      </c>
      <c r="I1545" s="35">
        <f>IF(OR(G1545="",G1545="NOT ON LIST"),"",VLOOKUP(G1545,Students!$A:$C,3,FALSE)&amp;"")</f>
        <v/>
      </c>
    </row>
    <row r="1546">
      <c r="A1546" s="31" t="n"/>
      <c r="B1546" s="32" t="n"/>
      <c r="C1546" s="32" t="n"/>
      <c r="D1546" s="33" t="n"/>
      <c r="E1546" s="32" t="n"/>
      <c r="F1546" s="34">
        <f>IF(A1546="","",IFERROR(INT(A1546),"check date"))</f>
        <v/>
      </c>
      <c r="G1546" s="35">
        <f>IF(B1546="","",IFERROR(INDEX(Students!$A:$A,MATCH(TRIM(B1546),Students!$A:$A,0)),"NOT ON LIST"))</f>
        <v/>
      </c>
      <c r="H1546" s="35">
        <f>IF(OR(G1546="",G1546="NOT ON LIST"),"",VLOOKUP(G1546,Students!$A:$C,2,FALSE))</f>
        <v/>
      </c>
      <c r="I1546" s="35">
        <f>IF(OR(G1546="",G1546="NOT ON LIST"),"",VLOOKUP(G1546,Students!$A:$C,3,FALSE)&amp;"")</f>
        <v/>
      </c>
    </row>
    <row r="1547">
      <c r="A1547" s="31" t="n"/>
      <c r="B1547" s="32" t="n"/>
      <c r="C1547" s="32" t="n"/>
      <c r="D1547" s="33" t="n"/>
      <c r="E1547" s="32" t="n"/>
      <c r="F1547" s="34">
        <f>IF(A1547="","",IFERROR(INT(A1547),"check date"))</f>
        <v/>
      </c>
      <c r="G1547" s="35">
        <f>IF(B1547="","",IFERROR(INDEX(Students!$A:$A,MATCH(TRIM(B1547),Students!$A:$A,0)),"NOT ON LIST"))</f>
        <v/>
      </c>
      <c r="H1547" s="35">
        <f>IF(OR(G1547="",G1547="NOT ON LIST"),"",VLOOKUP(G1547,Students!$A:$C,2,FALSE))</f>
        <v/>
      </c>
      <c r="I1547" s="35">
        <f>IF(OR(G1547="",G1547="NOT ON LIST"),"",VLOOKUP(G1547,Students!$A:$C,3,FALSE)&amp;"")</f>
        <v/>
      </c>
    </row>
    <row r="1548">
      <c r="A1548" s="31" t="n"/>
      <c r="B1548" s="32" t="n"/>
      <c r="C1548" s="32" t="n"/>
      <c r="D1548" s="33" t="n"/>
      <c r="E1548" s="32" t="n"/>
      <c r="F1548" s="34">
        <f>IF(A1548="","",IFERROR(INT(A1548),"check date"))</f>
        <v/>
      </c>
      <c r="G1548" s="35">
        <f>IF(B1548="","",IFERROR(INDEX(Students!$A:$A,MATCH(TRIM(B1548),Students!$A:$A,0)),"NOT ON LIST"))</f>
        <v/>
      </c>
      <c r="H1548" s="35">
        <f>IF(OR(G1548="",G1548="NOT ON LIST"),"",VLOOKUP(G1548,Students!$A:$C,2,FALSE))</f>
        <v/>
      </c>
      <c r="I1548" s="35">
        <f>IF(OR(G1548="",G1548="NOT ON LIST"),"",VLOOKUP(G1548,Students!$A:$C,3,FALSE)&amp;"")</f>
        <v/>
      </c>
    </row>
    <row r="1549">
      <c r="A1549" s="31" t="n"/>
      <c r="B1549" s="32" t="n"/>
      <c r="C1549" s="32" t="n"/>
      <c r="D1549" s="33" t="n"/>
      <c r="E1549" s="32" t="n"/>
      <c r="F1549" s="34">
        <f>IF(A1549="","",IFERROR(INT(A1549),"check date"))</f>
        <v/>
      </c>
      <c r="G1549" s="35">
        <f>IF(B1549="","",IFERROR(INDEX(Students!$A:$A,MATCH(TRIM(B1549),Students!$A:$A,0)),"NOT ON LIST"))</f>
        <v/>
      </c>
      <c r="H1549" s="35">
        <f>IF(OR(G1549="",G1549="NOT ON LIST"),"",VLOOKUP(G1549,Students!$A:$C,2,FALSE))</f>
        <v/>
      </c>
      <c r="I1549" s="35">
        <f>IF(OR(G1549="",G1549="NOT ON LIST"),"",VLOOKUP(G1549,Students!$A:$C,3,FALSE)&amp;"")</f>
        <v/>
      </c>
    </row>
    <row r="1550">
      <c r="A1550" s="31" t="n"/>
      <c r="B1550" s="32" t="n"/>
      <c r="C1550" s="32" t="n"/>
      <c r="D1550" s="33" t="n"/>
      <c r="E1550" s="32" t="n"/>
      <c r="F1550" s="34">
        <f>IF(A1550="","",IFERROR(INT(A1550),"check date"))</f>
        <v/>
      </c>
      <c r="G1550" s="35">
        <f>IF(B1550="","",IFERROR(INDEX(Students!$A:$A,MATCH(TRIM(B1550),Students!$A:$A,0)),"NOT ON LIST"))</f>
        <v/>
      </c>
      <c r="H1550" s="35">
        <f>IF(OR(G1550="",G1550="NOT ON LIST"),"",VLOOKUP(G1550,Students!$A:$C,2,FALSE))</f>
        <v/>
      </c>
      <c r="I1550" s="35">
        <f>IF(OR(G1550="",G1550="NOT ON LIST"),"",VLOOKUP(G1550,Students!$A:$C,3,FALSE)&amp;"")</f>
        <v/>
      </c>
    </row>
    <row r="1551">
      <c r="A1551" s="31" t="n"/>
      <c r="B1551" s="32" t="n"/>
      <c r="C1551" s="32" t="n"/>
      <c r="D1551" s="33" t="n"/>
      <c r="E1551" s="32" t="n"/>
      <c r="F1551" s="34">
        <f>IF(A1551="","",IFERROR(INT(A1551),"check date"))</f>
        <v/>
      </c>
      <c r="G1551" s="35">
        <f>IF(B1551="","",IFERROR(INDEX(Students!$A:$A,MATCH(TRIM(B1551),Students!$A:$A,0)),"NOT ON LIST"))</f>
        <v/>
      </c>
      <c r="H1551" s="35">
        <f>IF(OR(G1551="",G1551="NOT ON LIST"),"",VLOOKUP(G1551,Students!$A:$C,2,FALSE))</f>
        <v/>
      </c>
      <c r="I1551" s="35">
        <f>IF(OR(G1551="",G1551="NOT ON LIST"),"",VLOOKUP(G1551,Students!$A:$C,3,FALSE)&amp;"")</f>
        <v/>
      </c>
    </row>
    <row r="1552">
      <c r="A1552" s="31" t="n"/>
      <c r="B1552" s="32" t="n"/>
      <c r="C1552" s="32" t="n"/>
      <c r="D1552" s="33" t="n"/>
      <c r="E1552" s="32" t="n"/>
      <c r="F1552" s="34">
        <f>IF(A1552="","",IFERROR(INT(A1552),"check date"))</f>
        <v/>
      </c>
      <c r="G1552" s="35">
        <f>IF(B1552="","",IFERROR(INDEX(Students!$A:$A,MATCH(TRIM(B1552),Students!$A:$A,0)),"NOT ON LIST"))</f>
        <v/>
      </c>
      <c r="H1552" s="35">
        <f>IF(OR(G1552="",G1552="NOT ON LIST"),"",VLOOKUP(G1552,Students!$A:$C,2,FALSE))</f>
        <v/>
      </c>
      <c r="I1552" s="35">
        <f>IF(OR(G1552="",G1552="NOT ON LIST"),"",VLOOKUP(G1552,Students!$A:$C,3,FALSE)&amp;"")</f>
        <v/>
      </c>
    </row>
    <row r="1553">
      <c r="A1553" s="31" t="n"/>
      <c r="B1553" s="32" t="n"/>
      <c r="C1553" s="32" t="n"/>
      <c r="D1553" s="33" t="n"/>
      <c r="E1553" s="32" t="n"/>
      <c r="F1553" s="34">
        <f>IF(A1553="","",IFERROR(INT(A1553),"check date"))</f>
        <v/>
      </c>
      <c r="G1553" s="35">
        <f>IF(B1553="","",IFERROR(INDEX(Students!$A:$A,MATCH(TRIM(B1553),Students!$A:$A,0)),"NOT ON LIST"))</f>
        <v/>
      </c>
      <c r="H1553" s="35">
        <f>IF(OR(G1553="",G1553="NOT ON LIST"),"",VLOOKUP(G1553,Students!$A:$C,2,FALSE))</f>
        <v/>
      </c>
      <c r="I1553" s="35">
        <f>IF(OR(G1553="",G1553="NOT ON LIST"),"",VLOOKUP(G1553,Students!$A:$C,3,FALSE)&amp;"")</f>
        <v/>
      </c>
    </row>
    <row r="1554">
      <c r="A1554" s="31" t="n"/>
      <c r="B1554" s="32" t="n"/>
      <c r="C1554" s="32" t="n"/>
      <c r="D1554" s="33" t="n"/>
      <c r="E1554" s="32" t="n"/>
      <c r="F1554" s="34">
        <f>IF(A1554="","",IFERROR(INT(A1554),"check date"))</f>
        <v/>
      </c>
      <c r="G1554" s="35">
        <f>IF(B1554="","",IFERROR(INDEX(Students!$A:$A,MATCH(TRIM(B1554),Students!$A:$A,0)),"NOT ON LIST"))</f>
        <v/>
      </c>
      <c r="H1554" s="35">
        <f>IF(OR(G1554="",G1554="NOT ON LIST"),"",VLOOKUP(G1554,Students!$A:$C,2,FALSE))</f>
        <v/>
      </c>
      <c r="I1554" s="35">
        <f>IF(OR(G1554="",G1554="NOT ON LIST"),"",VLOOKUP(G1554,Students!$A:$C,3,FALSE)&amp;"")</f>
        <v/>
      </c>
    </row>
    <row r="1555">
      <c r="A1555" s="31" t="n"/>
      <c r="B1555" s="32" t="n"/>
      <c r="C1555" s="32" t="n"/>
      <c r="D1555" s="33" t="n"/>
      <c r="E1555" s="32" t="n"/>
      <c r="F1555" s="34">
        <f>IF(A1555="","",IFERROR(INT(A1555),"check date"))</f>
        <v/>
      </c>
      <c r="G1555" s="35">
        <f>IF(B1555="","",IFERROR(INDEX(Students!$A:$A,MATCH(TRIM(B1555),Students!$A:$A,0)),"NOT ON LIST"))</f>
        <v/>
      </c>
      <c r="H1555" s="35">
        <f>IF(OR(G1555="",G1555="NOT ON LIST"),"",VLOOKUP(G1555,Students!$A:$C,2,FALSE))</f>
        <v/>
      </c>
      <c r="I1555" s="35">
        <f>IF(OR(G1555="",G1555="NOT ON LIST"),"",VLOOKUP(G1555,Students!$A:$C,3,FALSE)&amp;"")</f>
        <v/>
      </c>
    </row>
    <row r="1556">
      <c r="A1556" s="31" t="n"/>
      <c r="B1556" s="32" t="n"/>
      <c r="C1556" s="32" t="n"/>
      <c r="D1556" s="33" t="n"/>
      <c r="E1556" s="32" t="n"/>
      <c r="F1556" s="34">
        <f>IF(A1556="","",IFERROR(INT(A1556),"check date"))</f>
        <v/>
      </c>
      <c r="G1556" s="35">
        <f>IF(B1556="","",IFERROR(INDEX(Students!$A:$A,MATCH(TRIM(B1556),Students!$A:$A,0)),"NOT ON LIST"))</f>
        <v/>
      </c>
      <c r="H1556" s="35">
        <f>IF(OR(G1556="",G1556="NOT ON LIST"),"",VLOOKUP(G1556,Students!$A:$C,2,FALSE))</f>
        <v/>
      </c>
      <c r="I1556" s="35">
        <f>IF(OR(G1556="",G1556="NOT ON LIST"),"",VLOOKUP(G1556,Students!$A:$C,3,FALSE)&amp;"")</f>
        <v/>
      </c>
    </row>
    <row r="1557">
      <c r="A1557" s="31" t="n"/>
      <c r="B1557" s="32" t="n"/>
      <c r="C1557" s="32" t="n"/>
      <c r="D1557" s="33" t="n"/>
      <c r="E1557" s="32" t="n"/>
      <c r="F1557" s="34">
        <f>IF(A1557="","",IFERROR(INT(A1557),"check date"))</f>
        <v/>
      </c>
      <c r="G1557" s="35">
        <f>IF(B1557="","",IFERROR(INDEX(Students!$A:$A,MATCH(TRIM(B1557),Students!$A:$A,0)),"NOT ON LIST"))</f>
        <v/>
      </c>
      <c r="H1557" s="35">
        <f>IF(OR(G1557="",G1557="NOT ON LIST"),"",VLOOKUP(G1557,Students!$A:$C,2,FALSE))</f>
        <v/>
      </c>
      <c r="I1557" s="35">
        <f>IF(OR(G1557="",G1557="NOT ON LIST"),"",VLOOKUP(G1557,Students!$A:$C,3,FALSE)&amp;"")</f>
        <v/>
      </c>
    </row>
    <row r="1558">
      <c r="A1558" s="31" t="n"/>
      <c r="B1558" s="32" t="n"/>
      <c r="C1558" s="32" t="n"/>
      <c r="D1558" s="33" t="n"/>
      <c r="E1558" s="32" t="n"/>
      <c r="F1558" s="34">
        <f>IF(A1558="","",IFERROR(INT(A1558),"check date"))</f>
        <v/>
      </c>
      <c r="G1558" s="35">
        <f>IF(B1558="","",IFERROR(INDEX(Students!$A:$A,MATCH(TRIM(B1558),Students!$A:$A,0)),"NOT ON LIST"))</f>
        <v/>
      </c>
      <c r="H1558" s="35">
        <f>IF(OR(G1558="",G1558="NOT ON LIST"),"",VLOOKUP(G1558,Students!$A:$C,2,FALSE))</f>
        <v/>
      </c>
      <c r="I1558" s="35">
        <f>IF(OR(G1558="",G1558="NOT ON LIST"),"",VLOOKUP(G1558,Students!$A:$C,3,FALSE)&amp;"")</f>
        <v/>
      </c>
    </row>
    <row r="1559">
      <c r="A1559" s="31" t="n"/>
      <c r="B1559" s="32" t="n"/>
      <c r="C1559" s="32" t="n"/>
      <c r="D1559" s="33" t="n"/>
      <c r="E1559" s="32" t="n"/>
      <c r="F1559" s="34">
        <f>IF(A1559="","",IFERROR(INT(A1559),"check date"))</f>
        <v/>
      </c>
      <c r="G1559" s="35">
        <f>IF(B1559="","",IFERROR(INDEX(Students!$A:$A,MATCH(TRIM(B1559),Students!$A:$A,0)),"NOT ON LIST"))</f>
        <v/>
      </c>
      <c r="H1559" s="35">
        <f>IF(OR(G1559="",G1559="NOT ON LIST"),"",VLOOKUP(G1559,Students!$A:$C,2,FALSE))</f>
        <v/>
      </c>
      <c r="I1559" s="35">
        <f>IF(OR(G1559="",G1559="NOT ON LIST"),"",VLOOKUP(G1559,Students!$A:$C,3,FALSE)&amp;"")</f>
        <v/>
      </c>
    </row>
    <row r="1560">
      <c r="A1560" s="31" t="n"/>
      <c r="B1560" s="32" t="n"/>
      <c r="C1560" s="32" t="n"/>
      <c r="D1560" s="33" t="n"/>
      <c r="E1560" s="32" t="n"/>
      <c r="F1560" s="34">
        <f>IF(A1560="","",IFERROR(INT(A1560),"check date"))</f>
        <v/>
      </c>
      <c r="G1560" s="35">
        <f>IF(B1560="","",IFERROR(INDEX(Students!$A:$A,MATCH(TRIM(B1560),Students!$A:$A,0)),"NOT ON LIST"))</f>
        <v/>
      </c>
      <c r="H1560" s="35">
        <f>IF(OR(G1560="",G1560="NOT ON LIST"),"",VLOOKUP(G1560,Students!$A:$C,2,FALSE))</f>
        <v/>
      </c>
      <c r="I1560" s="35">
        <f>IF(OR(G1560="",G1560="NOT ON LIST"),"",VLOOKUP(G1560,Students!$A:$C,3,FALSE)&amp;"")</f>
        <v/>
      </c>
    </row>
    <row r="1561">
      <c r="A1561" s="31" t="n"/>
      <c r="B1561" s="32" t="n"/>
      <c r="C1561" s="32" t="n"/>
      <c r="D1561" s="33" t="n"/>
      <c r="E1561" s="32" t="n"/>
      <c r="F1561" s="34">
        <f>IF(A1561="","",IFERROR(INT(A1561),"check date"))</f>
        <v/>
      </c>
      <c r="G1561" s="35">
        <f>IF(B1561="","",IFERROR(INDEX(Students!$A:$A,MATCH(TRIM(B1561),Students!$A:$A,0)),"NOT ON LIST"))</f>
        <v/>
      </c>
      <c r="H1561" s="35">
        <f>IF(OR(G1561="",G1561="NOT ON LIST"),"",VLOOKUP(G1561,Students!$A:$C,2,FALSE))</f>
        <v/>
      </c>
      <c r="I1561" s="35">
        <f>IF(OR(G1561="",G1561="NOT ON LIST"),"",VLOOKUP(G1561,Students!$A:$C,3,FALSE)&amp;"")</f>
        <v/>
      </c>
    </row>
    <row r="1562">
      <c r="A1562" s="31" t="n"/>
      <c r="B1562" s="32" t="n"/>
      <c r="C1562" s="32" t="n"/>
      <c r="D1562" s="33" t="n"/>
      <c r="E1562" s="32" t="n"/>
      <c r="F1562" s="34">
        <f>IF(A1562="","",IFERROR(INT(A1562),"check date"))</f>
        <v/>
      </c>
      <c r="G1562" s="35">
        <f>IF(B1562="","",IFERROR(INDEX(Students!$A:$A,MATCH(TRIM(B1562),Students!$A:$A,0)),"NOT ON LIST"))</f>
        <v/>
      </c>
      <c r="H1562" s="35">
        <f>IF(OR(G1562="",G1562="NOT ON LIST"),"",VLOOKUP(G1562,Students!$A:$C,2,FALSE))</f>
        <v/>
      </c>
      <c r="I1562" s="35">
        <f>IF(OR(G1562="",G1562="NOT ON LIST"),"",VLOOKUP(G1562,Students!$A:$C,3,FALSE)&amp;"")</f>
        <v/>
      </c>
    </row>
    <row r="1563">
      <c r="A1563" s="31" t="n"/>
      <c r="B1563" s="32" t="n"/>
      <c r="C1563" s="32" t="n"/>
      <c r="D1563" s="33" t="n"/>
      <c r="E1563" s="32" t="n"/>
      <c r="F1563" s="34">
        <f>IF(A1563="","",IFERROR(INT(A1563),"check date"))</f>
        <v/>
      </c>
      <c r="G1563" s="35">
        <f>IF(B1563="","",IFERROR(INDEX(Students!$A:$A,MATCH(TRIM(B1563),Students!$A:$A,0)),"NOT ON LIST"))</f>
        <v/>
      </c>
      <c r="H1563" s="35">
        <f>IF(OR(G1563="",G1563="NOT ON LIST"),"",VLOOKUP(G1563,Students!$A:$C,2,FALSE))</f>
        <v/>
      </c>
      <c r="I1563" s="35">
        <f>IF(OR(G1563="",G1563="NOT ON LIST"),"",VLOOKUP(G1563,Students!$A:$C,3,FALSE)&amp;"")</f>
        <v/>
      </c>
    </row>
    <row r="1564">
      <c r="A1564" s="31" t="n"/>
      <c r="B1564" s="32" t="n"/>
      <c r="C1564" s="32" t="n"/>
      <c r="D1564" s="33" t="n"/>
      <c r="E1564" s="32" t="n"/>
      <c r="F1564" s="34">
        <f>IF(A1564="","",IFERROR(INT(A1564),"check date"))</f>
        <v/>
      </c>
      <c r="G1564" s="35">
        <f>IF(B1564="","",IFERROR(INDEX(Students!$A:$A,MATCH(TRIM(B1564),Students!$A:$A,0)),"NOT ON LIST"))</f>
        <v/>
      </c>
      <c r="H1564" s="35">
        <f>IF(OR(G1564="",G1564="NOT ON LIST"),"",VLOOKUP(G1564,Students!$A:$C,2,FALSE))</f>
        <v/>
      </c>
      <c r="I1564" s="35">
        <f>IF(OR(G1564="",G1564="NOT ON LIST"),"",VLOOKUP(G1564,Students!$A:$C,3,FALSE)&amp;"")</f>
        <v/>
      </c>
    </row>
    <row r="1565">
      <c r="A1565" s="31" t="n"/>
      <c r="B1565" s="32" t="n"/>
      <c r="C1565" s="32" t="n"/>
      <c r="D1565" s="33" t="n"/>
      <c r="E1565" s="32" t="n"/>
      <c r="F1565" s="34">
        <f>IF(A1565="","",IFERROR(INT(A1565),"check date"))</f>
        <v/>
      </c>
      <c r="G1565" s="35">
        <f>IF(B1565="","",IFERROR(INDEX(Students!$A:$A,MATCH(TRIM(B1565),Students!$A:$A,0)),"NOT ON LIST"))</f>
        <v/>
      </c>
      <c r="H1565" s="35">
        <f>IF(OR(G1565="",G1565="NOT ON LIST"),"",VLOOKUP(G1565,Students!$A:$C,2,FALSE))</f>
        <v/>
      </c>
      <c r="I1565" s="35">
        <f>IF(OR(G1565="",G1565="NOT ON LIST"),"",VLOOKUP(G1565,Students!$A:$C,3,FALSE)&amp;"")</f>
        <v/>
      </c>
    </row>
    <row r="1566">
      <c r="A1566" s="31" t="n"/>
      <c r="B1566" s="32" t="n"/>
      <c r="C1566" s="32" t="n"/>
      <c r="D1566" s="33" t="n"/>
      <c r="E1566" s="32" t="n"/>
      <c r="F1566" s="34">
        <f>IF(A1566="","",IFERROR(INT(A1566),"check date"))</f>
        <v/>
      </c>
      <c r="G1566" s="35">
        <f>IF(B1566="","",IFERROR(INDEX(Students!$A:$A,MATCH(TRIM(B1566),Students!$A:$A,0)),"NOT ON LIST"))</f>
        <v/>
      </c>
      <c r="H1566" s="35">
        <f>IF(OR(G1566="",G1566="NOT ON LIST"),"",VLOOKUP(G1566,Students!$A:$C,2,FALSE))</f>
        <v/>
      </c>
      <c r="I1566" s="35">
        <f>IF(OR(G1566="",G1566="NOT ON LIST"),"",VLOOKUP(G1566,Students!$A:$C,3,FALSE)&amp;"")</f>
        <v/>
      </c>
    </row>
    <row r="1567">
      <c r="A1567" s="31" t="n"/>
      <c r="B1567" s="32" t="n"/>
      <c r="C1567" s="32" t="n"/>
      <c r="D1567" s="33" t="n"/>
      <c r="E1567" s="32" t="n"/>
      <c r="F1567" s="34">
        <f>IF(A1567="","",IFERROR(INT(A1567),"check date"))</f>
        <v/>
      </c>
      <c r="G1567" s="35">
        <f>IF(B1567="","",IFERROR(INDEX(Students!$A:$A,MATCH(TRIM(B1567),Students!$A:$A,0)),"NOT ON LIST"))</f>
        <v/>
      </c>
      <c r="H1567" s="35">
        <f>IF(OR(G1567="",G1567="NOT ON LIST"),"",VLOOKUP(G1567,Students!$A:$C,2,FALSE))</f>
        <v/>
      </c>
      <c r="I1567" s="35">
        <f>IF(OR(G1567="",G1567="NOT ON LIST"),"",VLOOKUP(G1567,Students!$A:$C,3,FALSE)&amp;"")</f>
        <v/>
      </c>
    </row>
    <row r="1568">
      <c r="A1568" s="31" t="n"/>
      <c r="B1568" s="32" t="n"/>
      <c r="C1568" s="32" t="n"/>
      <c r="D1568" s="33" t="n"/>
      <c r="E1568" s="32" t="n"/>
      <c r="F1568" s="34">
        <f>IF(A1568="","",IFERROR(INT(A1568),"check date"))</f>
        <v/>
      </c>
      <c r="G1568" s="35">
        <f>IF(B1568="","",IFERROR(INDEX(Students!$A:$A,MATCH(TRIM(B1568),Students!$A:$A,0)),"NOT ON LIST"))</f>
        <v/>
      </c>
      <c r="H1568" s="35">
        <f>IF(OR(G1568="",G1568="NOT ON LIST"),"",VLOOKUP(G1568,Students!$A:$C,2,FALSE))</f>
        <v/>
      </c>
      <c r="I1568" s="35">
        <f>IF(OR(G1568="",G1568="NOT ON LIST"),"",VLOOKUP(G1568,Students!$A:$C,3,FALSE)&amp;"")</f>
        <v/>
      </c>
    </row>
    <row r="1569">
      <c r="A1569" s="31" t="n"/>
      <c r="B1569" s="32" t="n"/>
      <c r="C1569" s="32" t="n"/>
      <c r="D1569" s="33" t="n"/>
      <c r="E1569" s="32" t="n"/>
      <c r="F1569" s="34">
        <f>IF(A1569="","",IFERROR(INT(A1569),"check date"))</f>
        <v/>
      </c>
      <c r="G1569" s="35">
        <f>IF(B1569="","",IFERROR(INDEX(Students!$A:$A,MATCH(TRIM(B1569),Students!$A:$A,0)),"NOT ON LIST"))</f>
        <v/>
      </c>
      <c r="H1569" s="35">
        <f>IF(OR(G1569="",G1569="NOT ON LIST"),"",VLOOKUP(G1569,Students!$A:$C,2,FALSE))</f>
        <v/>
      </c>
      <c r="I1569" s="35">
        <f>IF(OR(G1569="",G1569="NOT ON LIST"),"",VLOOKUP(G1569,Students!$A:$C,3,FALSE)&amp;"")</f>
        <v/>
      </c>
    </row>
    <row r="1570">
      <c r="A1570" s="31" t="n"/>
      <c r="B1570" s="32" t="n"/>
      <c r="C1570" s="32" t="n"/>
      <c r="D1570" s="33" t="n"/>
      <c r="E1570" s="32" t="n"/>
      <c r="F1570" s="34">
        <f>IF(A1570="","",IFERROR(INT(A1570),"check date"))</f>
        <v/>
      </c>
      <c r="G1570" s="35">
        <f>IF(B1570="","",IFERROR(INDEX(Students!$A:$A,MATCH(TRIM(B1570),Students!$A:$A,0)),"NOT ON LIST"))</f>
        <v/>
      </c>
      <c r="H1570" s="35">
        <f>IF(OR(G1570="",G1570="NOT ON LIST"),"",VLOOKUP(G1570,Students!$A:$C,2,FALSE))</f>
        <v/>
      </c>
      <c r="I1570" s="35">
        <f>IF(OR(G1570="",G1570="NOT ON LIST"),"",VLOOKUP(G1570,Students!$A:$C,3,FALSE)&amp;"")</f>
        <v/>
      </c>
    </row>
    <row r="1571">
      <c r="A1571" s="31" t="n"/>
      <c r="B1571" s="32" t="n"/>
      <c r="C1571" s="32" t="n"/>
      <c r="D1571" s="33" t="n"/>
      <c r="E1571" s="32" t="n"/>
      <c r="F1571" s="34">
        <f>IF(A1571="","",IFERROR(INT(A1571),"check date"))</f>
        <v/>
      </c>
      <c r="G1571" s="35">
        <f>IF(B1571="","",IFERROR(INDEX(Students!$A:$A,MATCH(TRIM(B1571),Students!$A:$A,0)),"NOT ON LIST"))</f>
        <v/>
      </c>
      <c r="H1571" s="35">
        <f>IF(OR(G1571="",G1571="NOT ON LIST"),"",VLOOKUP(G1571,Students!$A:$C,2,FALSE))</f>
        <v/>
      </c>
      <c r="I1571" s="35">
        <f>IF(OR(G1571="",G1571="NOT ON LIST"),"",VLOOKUP(G1571,Students!$A:$C,3,FALSE)&amp;"")</f>
        <v/>
      </c>
    </row>
    <row r="1572">
      <c r="A1572" s="31" t="n"/>
      <c r="B1572" s="32" t="n"/>
      <c r="C1572" s="32" t="n"/>
      <c r="D1572" s="33" t="n"/>
      <c r="E1572" s="32" t="n"/>
      <c r="F1572" s="34">
        <f>IF(A1572="","",IFERROR(INT(A1572),"check date"))</f>
        <v/>
      </c>
      <c r="G1572" s="35">
        <f>IF(B1572="","",IFERROR(INDEX(Students!$A:$A,MATCH(TRIM(B1572),Students!$A:$A,0)),"NOT ON LIST"))</f>
        <v/>
      </c>
      <c r="H1572" s="35">
        <f>IF(OR(G1572="",G1572="NOT ON LIST"),"",VLOOKUP(G1572,Students!$A:$C,2,FALSE))</f>
        <v/>
      </c>
      <c r="I1572" s="35">
        <f>IF(OR(G1572="",G1572="NOT ON LIST"),"",VLOOKUP(G1572,Students!$A:$C,3,FALSE)&amp;"")</f>
        <v/>
      </c>
    </row>
    <row r="1573">
      <c r="A1573" s="31" t="n"/>
      <c r="B1573" s="32" t="n"/>
      <c r="C1573" s="32" t="n"/>
      <c r="D1573" s="33" t="n"/>
      <c r="E1573" s="32" t="n"/>
      <c r="F1573" s="34">
        <f>IF(A1573="","",IFERROR(INT(A1573),"check date"))</f>
        <v/>
      </c>
      <c r="G1573" s="35">
        <f>IF(B1573="","",IFERROR(INDEX(Students!$A:$A,MATCH(TRIM(B1573),Students!$A:$A,0)),"NOT ON LIST"))</f>
        <v/>
      </c>
      <c r="H1573" s="35">
        <f>IF(OR(G1573="",G1573="NOT ON LIST"),"",VLOOKUP(G1573,Students!$A:$C,2,FALSE))</f>
        <v/>
      </c>
      <c r="I1573" s="35">
        <f>IF(OR(G1573="",G1573="NOT ON LIST"),"",VLOOKUP(G1573,Students!$A:$C,3,FALSE)&amp;"")</f>
        <v/>
      </c>
    </row>
    <row r="1574">
      <c r="A1574" s="31" t="n"/>
      <c r="B1574" s="32" t="n"/>
      <c r="C1574" s="32" t="n"/>
      <c r="D1574" s="33" t="n"/>
      <c r="E1574" s="32" t="n"/>
      <c r="F1574" s="34">
        <f>IF(A1574="","",IFERROR(INT(A1574),"check date"))</f>
        <v/>
      </c>
      <c r="G1574" s="35">
        <f>IF(B1574="","",IFERROR(INDEX(Students!$A:$A,MATCH(TRIM(B1574),Students!$A:$A,0)),"NOT ON LIST"))</f>
        <v/>
      </c>
      <c r="H1574" s="35">
        <f>IF(OR(G1574="",G1574="NOT ON LIST"),"",VLOOKUP(G1574,Students!$A:$C,2,FALSE))</f>
        <v/>
      </c>
      <c r="I1574" s="35">
        <f>IF(OR(G1574="",G1574="NOT ON LIST"),"",VLOOKUP(G1574,Students!$A:$C,3,FALSE)&amp;"")</f>
        <v/>
      </c>
    </row>
    <row r="1575">
      <c r="A1575" s="31" t="n"/>
      <c r="B1575" s="32" t="n"/>
      <c r="C1575" s="32" t="n"/>
      <c r="D1575" s="33" t="n"/>
      <c r="E1575" s="32" t="n"/>
      <c r="F1575" s="34">
        <f>IF(A1575="","",IFERROR(INT(A1575),"check date"))</f>
        <v/>
      </c>
      <c r="G1575" s="35">
        <f>IF(B1575="","",IFERROR(INDEX(Students!$A:$A,MATCH(TRIM(B1575),Students!$A:$A,0)),"NOT ON LIST"))</f>
        <v/>
      </c>
      <c r="H1575" s="35">
        <f>IF(OR(G1575="",G1575="NOT ON LIST"),"",VLOOKUP(G1575,Students!$A:$C,2,FALSE))</f>
        <v/>
      </c>
      <c r="I1575" s="35">
        <f>IF(OR(G1575="",G1575="NOT ON LIST"),"",VLOOKUP(G1575,Students!$A:$C,3,FALSE)&amp;"")</f>
        <v/>
      </c>
    </row>
    <row r="1576">
      <c r="A1576" s="31" t="n"/>
      <c r="B1576" s="32" t="n"/>
      <c r="C1576" s="32" t="n"/>
      <c r="D1576" s="33" t="n"/>
      <c r="E1576" s="32" t="n"/>
      <c r="F1576" s="34">
        <f>IF(A1576="","",IFERROR(INT(A1576),"check date"))</f>
        <v/>
      </c>
      <c r="G1576" s="35">
        <f>IF(B1576="","",IFERROR(INDEX(Students!$A:$A,MATCH(TRIM(B1576),Students!$A:$A,0)),"NOT ON LIST"))</f>
        <v/>
      </c>
      <c r="H1576" s="35">
        <f>IF(OR(G1576="",G1576="NOT ON LIST"),"",VLOOKUP(G1576,Students!$A:$C,2,FALSE))</f>
        <v/>
      </c>
      <c r="I1576" s="35">
        <f>IF(OR(G1576="",G1576="NOT ON LIST"),"",VLOOKUP(G1576,Students!$A:$C,3,FALSE)&amp;"")</f>
        <v/>
      </c>
    </row>
    <row r="1577">
      <c r="A1577" s="31" t="n"/>
      <c r="B1577" s="32" t="n"/>
      <c r="C1577" s="32" t="n"/>
      <c r="D1577" s="33" t="n"/>
      <c r="E1577" s="32" t="n"/>
      <c r="F1577" s="34">
        <f>IF(A1577="","",IFERROR(INT(A1577),"check date"))</f>
        <v/>
      </c>
      <c r="G1577" s="35">
        <f>IF(B1577="","",IFERROR(INDEX(Students!$A:$A,MATCH(TRIM(B1577),Students!$A:$A,0)),"NOT ON LIST"))</f>
        <v/>
      </c>
      <c r="H1577" s="35">
        <f>IF(OR(G1577="",G1577="NOT ON LIST"),"",VLOOKUP(G1577,Students!$A:$C,2,FALSE))</f>
        <v/>
      </c>
      <c r="I1577" s="35">
        <f>IF(OR(G1577="",G1577="NOT ON LIST"),"",VLOOKUP(G1577,Students!$A:$C,3,FALSE)&amp;"")</f>
        <v/>
      </c>
    </row>
    <row r="1578">
      <c r="A1578" s="31" t="n"/>
      <c r="B1578" s="32" t="n"/>
      <c r="C1578" s="32" t="n"/>
      <c r="D1578" s="33" t="n"/>
      <c r="E1578" s="32" t="n"/>
      <c r="F1578" s="34">
        <f>IF(A1578="","",IFERROR(INT(A1578),"check date"))</f>
        <v/>
      </c>
      <c r="G1578" s="35">
        <f>IF(B1578="","",IFERROR(INDEX(Students!$A:$A,MATCH(TRIM(B1578),Students!$A:$A,0)),"NOT ON LIST"))</f>
        <v/>
      </c>
      <c r="H1578" s="35">
        <f>IF(OR(G1578="",G1578="NOT ON LIST"),"",VLOOKUP(G1578,Students!$A:$C,2,FALSE))</f>
        <v/>
      </c>
      <c r="I1578" s="35">
        <f>IF(OR(G1578="",G1578="NOT ON LIST"),"",VLOOKUP(G1578,Students!$A:$C,3,FALSE)&amp;"")</f>
        <v/>
      </c>
    </row>
    <row r="1579">
      <c r="A1579" s="31" t="n"/>
      <c r="B1579" s="32" t="n"/>
      <c r="C1579" s="32" t="n"/>
      <c r="D1579" s="33" t="n"/>
      <c r="E1579" s="32" t="n"/>
      <c r="F1579" s="34">
        <f>IF(A1579="","",IFERROR(INT(A1579),"check date"))</f>
        <v/>
      </c>
      <c r="G1579" s="35">
        <f>IF(B1579="","",IFERROR(INDEX(Students!$A:$A,MATCH(TRIM(B1579),Students!$A:$A,0)),"NOT ON LIST"))</f>
        <v/>
      </c>
      <c r="H1579" s="35">
        <f>IF(OR(G1579="",G1579="NOT ON LIST"),"",VLOOKUP(G1579,Students!$A:$C,2,FALSE))</f>
        <v/>
      </c>
      <c r="I1579" s="35">
        <f>IF(OR(G1579="",G1579="NOT ON LIST"),"",VLOOKUP(G1579,Students!$A:$C,3,FALSE)&amp;"")</f>
        <v/>
      </c>
    </row>
    <row r="1580">
      <c r="A1580" s="31" t="n"/>
      <c r="B1580" s="32" t="n"/>
      <c r="C1580" s="32" t="n"/>
      <c r="D1580" s="33" t="n"/>
      <c r="E1580" s="32" t="n"/>
      <c r="F1580" s="34">
        <f>IF(A1580="","",IFERROR(INT(A1580),"check date"))</f>
        <v/>
      </c>
      <c r="G1580" s="35">
        <f>IF(B1580="","",IFERROR(INDEX(Students!$A:$A,MATCH(TRIM(B1580),Students!$A:$A,0)),"NOT ON LIST"))</f>
        <v/>
      </c>
      <c r="H1580" s="35">
        <f>IF(OR(G1580="",G1580="NOT ON LIST"),"",VLOOKUP(G1580,Students!$A:$C,2,FALSE))</f>
        <v/>
      </c>
      <c r="I1580" s="35">
        <f>IF(OR(G1580="",G1580="NOT ON LIST"),"",VLOOKUP(G1580,Students!$A:$C,3,FALSE)&amp;"")</f>
        <v/>
      </c>
    </row>
    <row r="1581">
      <c r="A1581" s="31" t="n"/>
      <c r="B1581" s="32" t="n"/>
      <c r="C1581" s="32" t="n"/>
      <c r="D1581" s="33" t="n"/>
      <c r="E1581" s="32" t="n"/>
      <c r="F1581" s="34">
        <f>IF(A1581="","",IFERROR(INT(A1581),"check date"))</f>
        <v/>
      </c>
      <c r="G1581" s="35">
        <f>IF(B1581="","",IFERROR(INDEX(Students!$A:$A,MATCH(TRIM(B1581),Students!$A:$A,0)),"NOT ON LIST"))</f>
        <v/>
      </c>
      <c r="H1581" s="35">
        <f>IF(OR(G1581="",G1581="NOT ON LIST"),"",VLOOKUP(G1581,Students!$A:$C,2,FALSE))</f>
        <v/>
      </c>
      <c r="I1581" s="35">
        <f>IF(OR(G1581="",G1581="NOT ON LIST"),"",VLOOKUP(G1581,Students!$A:$C,3,FALSE)&amp;"")</f>
        <v/>
      </c>
    </row>
    <row r="1582">
      <c r="A1582" s="31" t="n"/>
      <c r="B1582" s="32" t="n"/>
      <c r="C1582" s="32" t="n"/>
      <c r="D1582" s="33" t="n"/>
      <c r="E1582" s="32" t="n"/>
      <c r="F1582" s="34">
        <f>IF(A1582="","",IFERROR(INT(A1582),"check date"))</f>
        <v/>
      </c>
      <c r="G1582" s="35">
        <f>IF(B1582="","",IFERROR(INDEX(Students!$A:$A,MATCH(TRIM(B1582),Students!$A:$A,0)),"NOT ON LIST"))</f>
        <v/>
      </c>
      <c r="H1582" s="35">
        <f>IF(OR(G1582="",G1582="NOT ON LIST"),"",VLOOKUP(G1582,Students!$A:$C,2,FALSE))</f>
        <v/>
      </c>
      <c r="I1582" s="35">
        <f>IF(OR(G1582="",G1582="NOT ON LIST"),"",VLOOKUP(G1582,Students!$A:$C,3,FALSE)&amp;"")</f>
        <v/>
      </c>
    </row>
    <row r="1583">
      <c r="A1583" s="31" t="n"/>
      <c r="B1583" s="32" t="n"/>
      <c r="C1583" s="32" t="n"/>
      <c r="D1583" s="33" t="n"/>
      <c r="E1583" s="32" t="n"/>
      <c r="F1583" s="34">
        <f>IF(A1583="","",IFERROR(INT(A1583),"check date"))</f>
        <v/>
      </c>
      <c r="G1583" s="35">
        <f>IF(B1583="","",IFERROR(INDEX(Students!$A:$A,MATCH(TRIM(B1583),Students!$A:$A,0)),"NOT ON LIST"))</f>
        <v/>
      </c>
      <c r="H1583" s="35">
        <f>IF(OR(G1583="",G1583="NOT ON LIST"),"",VLOOKUP(G1583,Students!$A:$C,2,FALSE))</f>
        <v/>
      </c>
      <c r="I1583" s="35">
        <f>IF(OR(G1583="",G1583="NOT ON LIST"),"",VLOOKUP(G1583,Students!$A:$C,3,FALSE)&amp;"")</f>
        <v/>
      </c>
    </row>
    <row r="1584">
      <c r="A1584" s="31" t="n"/>
      <c r="B1584" s="32" t="n"/>
      <c r="C1584" s="32" t="n"/>
      <c r="D1584" s="33" t="n"/>
      <c r="E1584" s="32" t="n"/>
      <c r="F1584" s="34">
        <f>IF(A1584="","",IFERROR(INT(A1584),"check date"))</f>
        <v/>
      </c>
      <c r="G1584" s="35">
        <f>IF(B1584="","",IFERROR(INDEX(Students!$A:$A,MATCH(TRIM(B1584),Students!$A:$A,0)),"NOT ON LIST"))</f>
        <v/>
      </c>
      <c r="H1584" s="35">
        <f>IF(OR(G1584="",G1584="NOT ON LIST"),"",VLOOKUP(G1584,Students!$A:$C,2,FALSE))</f>
        <v/>
      </c>
      <c r="I1584" s="35">
        <f>IF(OR(G1584="",G1584="NOT ON LIST"),"",VLOOKUP(G1584,Students!$A:$C,3,FALSE)&amp;"")</f>
        <v/>
      </c>
    </row>
    <row r="1585">
      <c r="A1585" s="31" t="n"/>
      <c r="B1585" s="32" t="n"/>
      <c r="C1585" s="32" t="n"/>
      <c r="D1585" s="33" t="n"/>
      <c r="E1585" s="32" t="n"/>
      <c r="F1585" s="34">
        <f>IF(A1585="","",IFERROR(INT(A1585),"check date"))</f>
        <v/>
      </c>
      <c r="G1585" s="35">
        <f>IF(B1585="","",IFERROR(INDEX(Students!$A:$A,MATCH(TRIM(B1585),Students!$A:$A,0)),"NOT ON LIST"))</f>
        <v/>
      </c>
      <c r="H1585" s="35">
        <f>IF(OR(G1585="",G1585="NOT ON LIST"),"",VLOOKUP(G1585,Students!$A:$C,2,FALSE))</f>
        <v/>
      </c>
      <c r="I1585" s="35">
        <f>IF(OR(G1585="",G1585="NOT ON LIST"),"",VLOOKUP(G1585,Students!$A:$C,3,FALSE)&amp;"")</f>
        <v/>
      </c>
    </row>
    <row r="1586">
      <c r="A1586" s="31" t="n"/>
      <c r="B1586" s="32" t="n"/>
      <c r="C1586" s="32" t="n"/>
      <c r="D1586" s="33" t="n"/>
      <c r="E1586" s="32" t="n"/>
      <c r="F1586" s="34">
        <f>IF(A1586="","",IFERROR(INT(A1586),"check date"))</f>
        <v/>
      </c>
      <c r="G1586" s="35">
        <f>IF(B1586="","",IFERROR(INDEX(Students!$A:$A,MATCH(TRIM(B1586),Students!$A:$A,0)),"NOT ON LIST"))</f>
        <v/>
      </c>
      <c r="H1586" s="35">
        <f>IF(OR(G1586="",G1586="NOT ON LIST"),"",VLOOKUP(G1586,Students!$A:$C,2,FALSE))</f>
        <v/>
      </c>
      <c r="I1586" s="35">
        <f>IF(OR(G1586="",G1586="NOT ON LIST"),"",VLOOKUP(G1586,Students!$A:$C,3,FALSE)&amp;"")</f>
        <v/>
      </c>
    </row>
    <row r="1587">
      <c r="A1587" s="31" t="n"/>
      <c r="B1587" s="32" t="n"/>
      <c r="C1587" s="32" t="n"/>
      <c r="D1587" s="33" t="n"/>
      <c r="E1587" s="32" t="n"/>
      <c r="F1587" s="34">
        <f>IF(A1587="","",IFERROR(INT(A1587),"check date"))</f>
        <v/>
      </c>
      <c r="G1587" s="35">
        <f>IF(B1587="","",IFERROR(INDEX(Students!$A:$A,MATCH(TRIM(B1587),Students!$A:$A,0)),"NOT ON LIST"))</f>
        <v/>
      </c>
      <c r="H1587" s="35">
        <f>IF(OR(G1587="",G1587="NOT ON LIST"),"",VLOOKUP(G1587,Students!$A:$C,2,FALSE))</f>
        <v/>
      </c>
      <c r="I1587" s="35">
        <f>IF(OR(G1587="",G1587="NOT ON LIST"),"",VLOOKUP(G1587,Students!$A:$C,3,FALSE)&amp;"")</f>
        <v/>
      </c>
    </row>
    <row r="1588">
      <c r="A1588" s="31" t="n"/>
      <c r="B1588" s="32" t="n"/>
      <c r="C1588" s="32" t="n"/>
      <c r="D1588" s="33" t="n"/>
      <c r="E1588" s="32" t="n"/>
      <c r="F1588" s="34">
        <f>IF(A1588="","",IFERROR(INT(A1588),"check date"))</f>
        <v/>
      </c>
      <c r="G1588" s="35">
        <f>IF(B1588="","",IFERROR(INDEX(Students!$A:$A,MATCH(TRIM(B1588),Students!$A:$A,0)),"NOT ON LIST"))</f>
        <v/>
      </c>
      <c r="H1588" s="35">
        <f>IF(OR(G1588="",G1588="NOT ON LIST"),"",VLOOKUP(G1588,Students!$A:$C,2,FALSE))</f>
        <v/>
      </c>
      <c r="I1588" s="35">
        <f>IF(OR(G1588="",G1588="NOT ON LIST"),"",VLOOKUP(G1588,Students!$A:$C,3,FALSE)&amp;"")</f>
        <v/>
      </c>
    </row>
    <row r="1589">
      <c r="A1589" s="31" t="n"/>
      <c r="B1589" s="32" t="n"/>
      <c r="C1589" s="32" t="n"/>
      <c r="D1589" s="33" t="n"/>
      <c r="E1589" s="32" t="n"/>
      <c r="F1589" s="34">
        <f>IF(A1589="","",IFERROR(INT(A1589),"check date"))</f>
        <v/>
      </c>
      <c r="G1589" s="35">
        <f>IF(B1589="","",IFERROR(INDEX(Students!$A:$A,MATCH(TRIM(B1589),Students!$A:$A,0)),"NOT ON LIST"))</f>
        <v/>
      </c>
      <c r="H1589" s="35">
        <f>IF(OR(G1589="",G1589="NOT ON LIST"),"",VLOOKUP(G1589,Students!$A:$C,2,FALSE))</f>
        <v/>
      </c>
      <c r="I1589" s="35">
        <f>IF(OR(G1589="",G1589="NOT ON LIST"),"",VLOOKUP(G1589,Students!$A:$C,3,FALSE)&amp;"")</f>
        <v/>
      </c>
    </row>
    <row r="1590">
      <c r="A1590" s="31" t="n"/>
      <c r="B1590" s="32" t="n"/>
      <c r="C1590" s="32" t="n"/>
      <c r="D1590" s="33" t="n"/>
      <c r="E1590" s="32" t="n"/>
      <c r="F1590" s="34">
        <f>IF(A1590="","",IFERROR(INT(A1590),"check date"))</f>
        <v/>
      </c>
      <c r="G1590" s="35">
        <f>IF(B1590="","",IFERROR(INDEX(Students!$A:$A,MATCH(TRIM(B1590),Students!$A:$A,0)),"NOT ON LIST"))</f>
        <v/>
      </c>
      <c r="H1590" s="35">
        <f>IF(OR(G1590="",G1590="NOT ON LIST"),"",VLOOKUP(G1590,Students!$A:$C,2,FALSE))</f>
        <v/>
      </c>
      <c r="I1590" s="35">
        <f>IF(OR(G1590="",G1590="NOT ON LIST"),"",VLOOKUP(G1590,Students!$A:$C,3,FALSE)&amp;"")</f>
        <v/>
      </c>
    </row>
    <row r="1591">
      <c r="A1591" s="31" t="n"/>
      <c r="B1591" s="32" t="n"/>
      <c r="C1591" s="32" t="n"/>
      <c r="D1591" s="33" t="n"/>
      <c r="E1591" s="32" t="n"/>
      <c r="F1591" s="34">
        <f>IF(A1591="","",IFERROR(INT(A1591),"check date"))</f>
        <v/>
      </c>
      <c r="G1591" s="35">
        <f>IF(B1591="","",IFERROR(INDEX(Students!$A:$A,MATCH(TRIM(B1591),Students!$A:$A,0)),"NOT ON LIST"))</f>
        <v/>
      </c>
      <c r="H1591" s="35">
        <f>IF(OR(G1591="",G1591="NOT ON LIST"),"",VLOOKUP(G1591,Students!$A:$C,2,FALSE))</f>
        <v/>
      </c>
      <c r="I1591" s="35">
        <f>IF(OR(G1591="",G1591="NOT ON LIST"),"",VLOOKUP(G1591,Students!$A:$C,3,FALSE)&amp;"")</f>
        <v/>
      </c>
    </row>
    <row r="1592">
      <c r="A1592" s="31" t="n"/>
      <c r="B1592" s="32" t="n"/>
      <c r="C1592" s="32" t="n"/>
      <c r="D1592" s="33" t="n"/>
      <c r="E1592" s="32" t="n"/>
      <c r="F1592" s="34">
        <f>IF(A1592="","",IFERROR(INT(A1592),"check date"))</f>
        <v/>
      </c>
      <c r="G1592" s="35">
        <f>IF(B1592="","",IFERROR(INDEX(Students!$A:$A,MATCH(TRIM(B1592),Students!$A:$A,0)),"NOT ON LIST"))</f>
        <v/>
      </c>
      <c r="H1592" s="35">
        <f>IF(OR(G1592="",G1592="NOT ON LIST"),"",VLOOKUP(G1592,Students!$A:$C,2,FALSE))</f>
        <v/>
      </c>
      <c r="I1592" s="35">
        <f>IF(OR(G1592="",G1592="NOT ON LIST"),"",VLOOKUP(G1592,Students!$A:$C,3,FALSE)&amp;"")</f>
        <v/>
      </c>
    </row>
    <row r="1593">
      <c r="A1593" s="31" t="n"/>
      <c r="B1593" s="32" t="n"/>
      <c r="C1593" s="32" t="n"/>
      <c r="D1593" s="33" t="n"/>
      <c r="E1593" s="32" t="n"/>
      <c r="F1593" s="34">
        <f>IF(A1593="","",IFERROR(INT(A1593),"check date"))</f>
        <v/>
      </c>
      <c r="G1593" s="35">
        <f>IF(B1593="","",IFERROR(INDEX(Students!$A:$A,MATCH(TRIM(B1593),Students!$A:$A,0)),"NOT ON LIST"))</f>
        <v/>
      </c>
      <c r="H1593" s="35">
        <f>IF(OR(G1593="",G1593="NOT ON LIST"),"",VLOOKUP(G1593,Students!$A:$C,2,FALSE))</f>
        <v/>
      </c>
      <c r="I1593" s="35">
        <f>IF(OR(G1593="",G1593="NOT ON LIST"),"",VLOOKUP(G1593,Students!$A:$C,3,FALSE)&amp;"")</f>
        <v/>
      </c>
    </row>
    <row r="1594">
      <c r="A1594" s="31" t="n"/>
      <c r="B1594" s="32" t="n"/>
      <c r="C1594" s="32" t="n"/>
      <c r="D1594" s="33" t="n"/>
      <c r="E1594" s="32" t="n"/>
      <c r="F1594" s="34">
        <f>IF(A1594="","",IFERROR(INT(A1594),"check date"))</f>
        <v/>
      </c>
      <c r="G1594" s="35">
        <f>IF(B1594="","",IFERROR(INDEX(Students!$A:$A,MATCH(TRIM(B1594),Students!$A:$A,0)),"NOT ON LIST"))</f>
        <v/>
      </c>
      <c r="H1594" s="35">
        <f>IF(OR(G1594="",G1594="NOT ON LIST"),"",VLOOKUP(G1594,Students!$A:$C,2,FALSE))</f>
        <v/>
      </c>
      <c r="I1594" s="35">
        <f>IF(OR(G1594="",G1594="NOT ON LIST"),"",VLOOKUP(G1594,Students!$A:$C,3,FALSE)&amp;"")</f>
        <v/>
      </c>
    </row>
    <row r="1595">
      <c r="A1595" s="31" t="n"/>
      <c r="B1595" s="32" t="n"/>
      <c r="C1595" s="32" t="n"/>
      <c r="D1595" s="33" t="n"/>
      <c r="E1595" s="32" t="n"/>
      <c r="F1595" s="34">
        <f>IF(A1595="","",IFERROR(INT(A1595),"check date"))</f>
        <v/>
      </c>
      <c r="G1595" s="35">
        <f>IF(B1595="","",IFERROR(INDEX(Students!$A:$A,MATCH(TRIM(B1595),Students!$A:$A,0)),"NOT ON LIST"))</f>
        <v/>
      </c>
      <c r="H1595" s="35">
        <f>IF(OR(G1595="",G1595="NOT ON LIST"),"",VLOOKUP(G1595,Students!$A:$C,2,FALSE))</f>
        <v/>
      </c>
      <c r="I1595" s="35">
        <f>IF(OR(G1595="",G1595="NOT ON LIST"),"",VLOOKUP(G1595,Students!$A:$C,3,FALSE)&amp;"")</f>
        <v/>
      </c>
    </row>
    <row r="1596">
      <c r="A1596" s="31" t="n"/>
      <c r="B1596" s="32" t="n"/>
      <c r="C1596" s="32" t="n"/>
      <c r="D1596" s="33" t="n"/>
      <c r="E1596" s="32" t="n"/>
      <c r="F1596" s="34">
        <f>IF(A1596="","",IFERROR(INT(A1596),"check date"))</f>
        <v/>
      </c>
      <c r="G1596" s="35">
        <f>IF(B1596="","",IFERROR(INDEX(Students!$A:$A,MATCH(TRIM(B1596),Students!$A:$A,0)),"NOT ON LIST"))</f>
        <v/>
      </c>
      <c r="H1596" s="35">
        <f>IF(OR(G1596="",G1596="NOT ON LIST"),"",VLOOKUP(G1596,Students!$A:$C,2,FALSE))</f>
        <v/>
      </c>
      <c r="I1596" s="35">
        <f>IF(OR(G1596="",G1596="NOT ON LIST"),"",VLOOKUP(G1596,Students!$A:$C,3,FALSE)&amp;"")</f>
        <v/>
      </c>
    </row>
    <row r="1597">
      <c r="A1597" s="31" t="n"/>
      <c r="B1597" s="32" t="n"/>
      <c r="C1597" s="32" t="n"/>
      <c r="D1597" s="33" t="n"/>
      <c r="E1597" s="32" t="n"/>
      <c r="F1597" s="34">
        <f>IF(A1597="","",IFERROR(INT(A1597),"check date"))</f>
        <v/>
      </c>
      <c r="G1597" s="35">
        <f>IF(B1597="","",IFERROR(INDEX(Students!$A:$A,MATCH(TRIM(B1597),Students!$A:$A,0)),"NOT ON LIST"))</f>
        <v/>
      </c>
      <c r="H1597" s="35">
        <f>IF(OR(G1597="",G1597="NOT ON LIST"),"",VLOOKUP(G1597,Students!$A:$C,2,FALSE))</f>
        <v/>
      </c>
      <c r="I1597" s="35">
        <f>IF(OR(G1597="",G1597="NOT ON LIST"),"",VLOOKUP(G1597,Students!$A:$C,3,FALSE)&amp;"")</f>
        <v/>
      </c>
    </row>
    <row r="1598">
      <c r="A1598" s="31" t="n"/>
      <c r="B1598" s="32" t="n"/>
      <c r="C1598" s="32" t="n"/>
      <c r="D1598" s="33" t="n"/>
      <c r="E1598" s="32" t="n"/>
      <c r="F1598" s="34">
        <f>IF(A1598="","",IFERROR(INT(A1598),"check date"))</f>
        <v/>
      </c>
      <c r="G1598" s="35">
        <f>IF(B1598="","",IFERROR(INDEX(Students!$A:$A,MATCH(TRIM(B1598),Students!$A:$A,0)),"NOT ON LIST"))</f>
        <v/>
      </c>
      <c r="H1598" s="35">
        <f>IF(OR(G1598="",G1598="NOT ON LIST"),"",VLOOKUP(G1598,Students!$A:$C,2,FALSE))</f>
        <v/>
      </c>
      <c r="I1598" s="35">
        <f>IF(OR(G1598="",G1598="NOT ON LIST"),"",VLOOKUP(G1598,Students!$A:$C,3,FALSE)&amp;"")</f>
        <v/>
      </c>
    </row>
    <row r="1599">
      <c r="A1599" s="31" t="n"/>
      <c r="B1599" s="32" t="n"/>
      <c r="C1599" s="32" t="n"/>
      <c r="D1599" s="33" t="n"/>
      <c r="E1599" s="32" t="n"/>
      <c r="F1599" s="34">
        <f>IF(A1599="","",IFERROR(INT(A1599),"check date"))</f>
        <v/>
      </c>
      <c r="G1599" s="35">
        <f>IF(B1599="","",IFERROR(INDEX(Students!$A:$A,MATCH(TRIM(B1599),Students!$A:$A,0)),"NOT ON LIST"))</f>
        <v/>
      </c>
      <c r="H1599" s="35">
        <f>IF(OR(G1599="",G1599="NOT ON LIST"),"",VLOOKUP(G1599,Students!$A:$C,2,FALSE))</f>
        <v/>
      </c>
      <c r="I1599" s="35">
        <f>IF(OR(G1599="",G1599="NOT ON LIST"),"",VLOOKUP(G1599,Students!$A:$C,3,FALSE)&amp;"")</f>
        <v/>
      </c>
    </row>
    <row r="1600">
      <c r="A1600" s="31" t="n"/>
      <c r="B1600" s="32" t="n"/>
      <c r="C1600" s="32" t="n"/>
      <c r="D1600" s="33" t="n"/>
      <c r="E1600" s="32" t="n"/>
      <c r="F1600" s="34">
        <f>IF(A1600="","",IFERROR(INT(A1600),"check date"))</f>
        <v/>
      </c>
      <c r="G1600" s="35">
        <f>IF(B1600="","",IFERROR(INDEX(Students!$A:$A,MATCH(TRIM(B1600),Students!$A:$A,0)),"NOT ON LIST"))</f>
        <v/>
      </c>
      <c r="H1600" s="35">
        <f>IF(OR(G1600="",G1600="NOT ON LIST"),"",VLOOKUP(G1600,Students!$A:$C,2,FALSE))</f>
        <v/>
      </c>
      <c r="I1600" s="35">
        <f>IF(OR(G1600="",G1600="NOT ON LIST"),"",VLOOKUP(G1600,Students!$A:$C,3,FALSE)&amp;"")</f>
        <v/>
      </c>
    </row>
    <row r="1601">
      <c r="A1601" s="31" t="n"/>
      <c r="B1601" s="32" t="n"/>
      <c r="C1601" s="32" t="n"/>
      <c r="D1601" s="33" t="n"/>
      <c r="E1601" s="32" t="n"/>
      <c r="F1601" s="34">
        <f>IF(A1601="","",IFERROR(INT(A1601),"check date"))</f>
        <v/>
      </c>
      <c r="G1601" s="35">
        <f>IF(B1601="","",IFERROR(INDEX(Students!$A:$A,MATCH(TRIM(B1601),Students!$A:$A,0)),"NOT ON LIST"))</f>
        <v/>
      </c>
      <c r="H1601" s="35">
        <f>IF(OR(G1601="",G1601="NOT ON LIST"),"",VLOOKUP(G1601,Students!$A:$C,2,FALSE))</f>
        <v/>
      </c>
      <c r="I1601" s="35">
        <f>IF(OR(G1601="",G1601="NOT ON LIST"),"",VLOOKUP(G1601,Students!$A:$C,3,FALSE)&amp;"")</f>
        <v/>
      </c>
    </row>
    <row r="1602">
      <c r="A1602" s="31" t="n"/>
      <c r="B1602" s="32" t="n"/>
      <c r="C1602" s="32" t="n"/>
      <c r="D1602" s="33" t="n"/>
      <c r="E1602" s="32" t="n"/>
      <c r="F1602" s="34">
        <f>IF(A1602="","",IFERROR(INT(A1602),"check date"))</f>
        <v/>
      </c>
      <c r="G1602" s="35">
        <f>IF(B1602="","",IFERROR(INDEX(Students!$A:$A,MATCH(TRIM(B1602),Students!$A:$A,0)),"NOT ON LIST"))</f>
        <v/>
      </c>
      <c r="H1602" s="35">
        <f>IF(OR(G1602="",G1602="NOT ON LIST"),"",VLOOKUP(G1602,Students!$A:$C,2,FALSE))</f>
        <v/>
      </c>
      <c r="I1602" s="35">
        <f>IF(OR(G1602="",G1602="NOT ON LIST"),"",VLOOKUP(G1602,Students!$A:$C,3,FALSE)&amp;"")</f>
        <v/>
      </c>
    </row>
    <row r="1603">
      <c r="A1603" s="31" t="n"/>
      <c r="B1603" s="32" t="n"/>
      <c r="C1603" s="32" t="n"/>
      <c r="D1603" s="33" t="n"/>
      <c r="E1603" s="32" t="n"/>
      <c r="F1603" s="34">
        <f>IF(A1603="","",IFERROR(INT(A1603),"check date"))</f>
        <v/>
      </c>
      <c r="G1603" s="35">
        <f>IF(B1603="","",IFERROR(INDEX(Students!$A:$A,MATCH(TRIM(B1603),Students!$A:$A,0)),"NOT ON LIST"))</f>
        <v/>
      </c>
      <c r="H1603" s="35">
        <f>IF(OR(G1603="",G1603="NOT ON LIST"),"",VLOOKUP(G1603,Students!$A:$C,2,FALSE))</f>
        <v/>
      </c>
      <c r="I1603" s="35">
        <f>IF(OR(G1603="",G1603="NOT ON LIST"),"",VLOOKUP(G1603,Students!$A:$C,3,FALSE)&amp;"")</f>
        <v/>
      </c>
    </row>
    <row r="1604">
      <c r="A1604" s="31" t="n"/>
      <c r="B1604" s="32" t="n"/>
      <c r="C1604" s="32" t="n"/>
      <c r="D1604" s="33" t="n"/>
      <c r="E1604" s="32" t="n"/>
      <c r="F1604" s="34">
        <f>IF(A1604="","",IFERROR(INT(A1604),"check date"))</f>
        <v/>
      </c>
      <c r="G1604" s="35">
        <f>IF(B1604="","",IFERROR(INDEX(Students!$A:$A,MATCH(TRIM(B1604),Students!$A:$A,0)),"NOT ON LIST"))</f>
        <v/>
      </c>
      <c r="H1604" s="35">
        <f>IF(OR(G1604="",G1604="NOT ON LIST"),"",VLOOKUP(G1604,Students!$A:$C,2,FALSE))</f>
        <v/>
      </c>
      <c r="I1604" s="35">
        <f>IF(OR(G1604="",G1604="NOT ON LIST"),"",VLOOKUP(G1604,Students!$A:$C,3,FALSE)&amp;"")</f>
        <v/>
      </c>
    </row>
    <row r="1605">
      <c r="A1605" s="31" t="n"/>
      <c r="B1605" s="32" t="n"/>
      <c r="C1605" s="32" t="n"/>
      <c r="D1605" s="33" t="n"/>
      <c r="E1605" s="32" t="n"/>
      <c r="F1605" s="34">
        <f>IF(A1605="","",IFERROR(INT(A1605),"check date"))</f>
        <v/>
      </c>
      <c r="G1605" s="35">
        <f>IF(B1605="","",IFERROR(INDEX(Students!$A:$A,MATCH(TRIM(B1605),Students!$A:$A,0)),"NOT ON LIST"))</f>
        <v/>
      </c>
      <c r="H1605" s="35">
        <f>IF(OR(G1605="",G1605="NOT ON LIST"),"",VLOOKUP(G1605,Students!$A:$C,2,FALSE))</f>
        <v/>
      </c>
      <c r="I1605" s="35">
        <f>IF(OR(G1605="",G1605="NOT ON LIST"),"",VLOOKUP(G1605,Students!$A:$C,3,FALSE)&amp;"")</f>
        <v/>
      </c>
    </row>
    <row r="1606">
      <c r="A1606" s="31" t="n"/>
      <c r="B1606" s="32" t="n"/>
      <c r="C1606" s="32" t="n"/>
      <c r="D1606" s="33" t="n"/>
      <c r="E1606" s="32" t="n"/>
      <c r="F1606" s="34">
        <f>IF(A1606="","",IFERROR(INT(A1606),"check date"))</f>
        <v/>
      </c>
      <c r="G1606" s="35">
        <f>IF(B1606="","",IFERROR(INDEX(Students!$A:$A,MATCH(TRIM(B1606),Students!$A:$A,0)),"NOT ON LIST"))</f>
        <v/>
      </c>
      <c r="H1606" s="35">
        <f>IF(OR(G1606="",G1606="NOT ON LIST"),"",VLOOKUP(G1606,Students!$A:$C,2,FALSE))</f>
        <v/>
      </c>
      <c r="I1606" s="35">
        <f>IF(OR(G1606="",G1606="NOT ON LIST"),"",VLOOKUP(G1606,Students!$A:$C,3,FALSE)&amp;"")</f>
        <v/>
      </c>
    </row>
    <row r="1607">
      <c r="A1607" s="31" t="n"/>
      <c r="B1607" s="32" t="n"/>
      <c r="C1607" s="32" t="n"/>
      <c r="D1607" s="33" t="n"/>
      <c r="E1607" s="32" t="n"/>
      <c r="F1607" s="34">
        <f>IF(A1607="","",IFERROR(INT(A1607),"check date"))</f>
        <v/>
      </c>
      <c r="G1607" s="35">
        <f>IF(B1607="","",IFERROR(INDEX(Students!$A:$A,MATCH(TRIM(B1607),Students!$A:$A,0)),"NOT ON LIST"))</f>
        <v/>
      </c>
      <c r="H1607" s="35">
        <f>IF(OR(G1607="",G1607="NOT ON LIST"),"",VLOOKUP(G1607,Students!$A:$C,2,FALSE))</f>
        <v/>
      </c>
      <c r="I1607" s="35">
        <f>IF(OR(G1607="",G1607="NOT ON LIST"),"",VLOOKUP(G1607,Students!$A:$C,3,FALSE)&amp;"")</f>
        <v/>
      </c>
    </row>
    <row r="1608">
      <c r="A1608" s="31" t="n"/>
      <c r="B1608" s="32" t="n"/>
      <c r="C1608" s="32" t="n"/>
      <c r="D1608" s="33" t="n"/>
      <c r="E1608" s="32" t="n"/>
      <c r="F1608" s="34">
        <f>IF(A1608="","",IFERROR(INT(A1608),"check date"))</f>
        <v/>
      </c>
      <c r="G1608" s="35">
        <f>IF(B1608="","",IFERROR(INDEX(Students!$A:$A,MATCH(TRIM(B1608),Students!$A:$A,0)),"NOT ON LIST"))</f>
        <v/>
      </c>
      <c r="H1608" s="35">
        <f>IF(OR(G1608="",G1608="NOT ON LIST"),"",VLOOKUP(G1608,Students!$A:$C,2,FALSE))</f>
        <v/>
      </c>
      <c r="I1608" s="35">
        <f>IF(OR(G1608="",G1608="NOT ON LIST"),"",VLOOKUP(G1608,Students!$A:$C,3,FALSE)&amp;"")</f>
        <v/>
      </c>
    </row>
    <row r="1609">
      <c r="A1609" s="31" t="n"/>
      <c r="B1609" s="32" t="n"/>
      <c r="C1609" s="32" t="n"/>
      <c r="D1609" s="33" t="n"/>
      <c r="E1609" s="32" t="n"/>
      <c r="F1609" s="34">
        <f>IF(A1609="","",IFERROR(INT(A1609),"check date"))</f>
        <v/>
      </c>
      <c r="G1609" s="35">
        <f>IF(B1609="","",IFERROR(INDEX(Students!$A:$A,MATCH(TRIM(B1609),Students!$A:$A,0)),"NOT ON LIST"))</f>
        <v/>
      </c>
      <c r="H1609" s="35">
        <f>IF(OR(G1609="",G1609="NOT ON LIST"),"",VLOOKUP(G1609,Students!$A:$C,2,FALSE))</f>
        <v/>
      </c>
      <c r="I1609" s="35">
        <f>IF(OR(G1609="",G1609="NOT ON LIST"),"",VLOOKUP(G1609,Students!$A:$C,3,FALSE)&amp;"")</f>
        <v/>
      </c>
    </row>
    <row r="1610">
      <c r="A1610" s="31" t="n"/>
      <c r="B1610" s="32" t="n"/>
      <c r="C1610" s="32" t="n"/>
      <c r="D1610" s="33" t="n"/>
      <c r="E1610" s="32" t="n"/>
      <c r="F1610" s="34">
        <f>IF(A1610="","",IFERROR(INT(A1610),"check date"))</f>
        <v/>
      </c>
      <c r="G1610" s="35">
        <f>IF(B1610="","",IFERROR(INDEX(Students!$A:$A,MATCH(TRIM(B1610),Students!$A:$A,0)),"NOT ON LIST"))</f>
        <v/>
      </c>
      <c r="H1610" s="35">
        <f>IF(OR(G1610="",G1610="NOT ON LIST"),"",VLOOKUP(G1610,Students!$A:$C,2,FALSE))</f>
        <v/>
      </c>
      <c r="I1610" s="35">
        <f>IF(OR(G1610="",G1610="NOT ON LIST"),"",VLOOKUP(G1610,Students!$A:$C,3,FALSE)&amp;"")</f>
        <v/>
      </c>
    </row>
    <row r="1611">
      <c r="A1611" s="31" t="n"/>
      <c r="B1611" s="32" t="n"/>
      <c r="C1611" s="32" t="n"/>
      <c r="D1611" s="33" t="n"/>
      <c r="E1611" s="32" t="n"/>
      <c r="F1611" s="34">
        <f>IF(A1611="","",IFERROR(INT(A1611),"check date"))</f>
        <v/>
      </c>
      <c r="G1611" s="35">
        <f>IF(B1611="","",IFERROR(INDEX(Students!$A:$A,MATCH(TRIM(B1611),Students!$A:$A,0)),"NOT ON LIST"))</f>
        <v/>
      </c>
      <c r="H1611" s="35">
        <f>IF(OR(G1611="",G1611="NOT ON LIST"),"",VLOOKUP(G1611,Students!$A:$C,2,FALSE))</f>
        <v/>
      </c>
      <c r="I1611" s="35">
        <f>IF(OR(G1611="",G1611="NOT ON LIST"),"",VLOOKUP(G1611,Students!$A:$C,3,FALSE)&amp;"")</f>
        <v/>
      </c>
    </row>
    <row r="1612">
      <c r="A1612" s="31" t="n"/>
      <c r="B1612" s="32" t="n"/>
      <c r="C1612" s="32" t="n"/>
      <c r="D1612" s="33" t="n"/>
      <c r="E1612" s="32" t="n"/>
      <c r="F1612" s="34">
        <f>IF(A1612="","",IFERROR(INT(A1612),"check date"))</f>
        <v/>
      </c>
      <c r="G1612" s="35">
        <f>IF(B1612="","",IFERROR(INDEX(Students!$A:$A,MATCH(TRIM(B1612),Students!$A:$A,0)),"NOT ON LIST"))</f>
        <v/>
      </c>
      <c r="H1612" s="35">
        <f>IF(OR(G1612="",G1612="NOT ON LIST"),"",VLOOKUP(G1612,Students!$A:$C,2,FALSE))</f>
        <v/>
      </c>
      <c r="I1612" s="35">
        <f>IF(OR(G1612="",G1612="NOT ON LIST"),"",VLOOKUP(G1612,Students!$A:$C,3,FALSE)&amp;"")</f>
        <v/>
      </c>
    </row>
    <row r="1613">
      <c r="A1613" s="31" t="n"/>
      <c r="B1613" s="32" t="n"/>
      <c r="C1613" s="32" t="n"/>
      <c r="D1613" s="33" t="n"/>
      <c r="E1613" s="32" t="n"/>
      <c r="F1613" s="34">
        <f>IF(A1613="","",IFERROR(INT(A1613),"check date"))</f>
        <v/>
      </c>
      <c r="G1613" s="35">
        <f>IF(B1613="","",IFERROR(INDEX(Students!$A:$A,MATCH(TRIM(B1613),Students!$A:$A,0)),"NOT ON LIST"))</f>
        <v/>
      </c>
      <c r="H1613" s="35">
        <f>IF(OR(G1613="",G1613="NOT ON LIST"),"",VLOOKUP(G1613,Students!$A:$C,2,FALSE))</f>
        <v/>
      </c>
      <c r="I1613" s="35">
        <f>IF(OR(G1613="",G1613="NOT ON LIST"),"",VLOOKUP(G1613,Students!$A:$C,3,FALSE)&amp;"")</f>
        <v/>
      </c>
    </row>
    <row r="1614">
      <c r="A1614" s="31" t="n"/>
      <c r="B1614" s="32" t="n"/>
      <c r="C1614" s="32" t="n"/>
      <c r="D1614" s="33" t="n"/>
      <c r="E1614" s="32" t="n"/>
      <c r="F1614" s="34">
        <f>IF(A1614="","",IFERROR(INT(A1614),"check date"))</f>
        <v/>
      </c>
      <c r="G1614" s="35">
        <f>IF(B1614="","",IFERROR(INDEX(Students!$A:$A,MATCH(TRIM(B1614),Students!$A:$A,0)),"NOT ON LIST"))</f>
        <v/>
      </c>
      <c r="H1614" s="35">
        <f>IF(OR(G1614="",G1614="NOT ON LIST"),"",VLOOKUP(G1614,Students!$A:$C,2,FALSE))</f>
        <v/>
      </c>
      <c r="I1614" s="35">
        <f>IF(OR(G1614="",G1614="NOT ON LIST"),"",VLOOKUP(G1614,Students!$A:$C,3,FALSE)&amp;"")</f>
        <v/>
      </c>
    </row>
    <row r="1615">
      <c r="A1615" s="31" t="n"/>
      <c r="B1615" s="32" t="n"/>
      <c r="C1615" s="32" t="n"/>
      <c r="D1615" s="33" t="n"/>
      <c r="E1615" s="32" t="n"/>
      <c r="F1615" s="34">
        <f>IF(A1615="","",IFERROR(INT(A1615),"check date"))</f>
        <v/>
      </c>
      <c r="G1615" s="35">
        <f>IF(B1615="","",IFERROR(INDEX(Students!$A:$A,MATCH(TRIM(B1615),Students!$A:$A,0)),"NOT ON LIST"))</f>
        <v/>
      </c>
      <c r="H1615" s="35">
        <f>IF(OR(G1615="",G1615="NOT ON LIST"),"",VLOOKUP(G1615,Students!$A:$C,2,FALSE))</f>
        <v/>
      </c>
      <c r="I1615" s="35">
        <f>IF(OR(G1615="",G1615="NOT ON LIST"),"",VLOOKUP(G1615,Students!$A:$C,3,FALSE)&amp;"")</f>
        <v/>
      </c>
    </row>
    <row r="1616">
      <c r="A1616" s="31" t="n"/>
      <c r="B1616" s="32" t="n"/>
      <c r="C1616" s="32" t="n"/>
      <c r="D1616" s="33" t="n"/>
      <c r="E1616" s="32" t="n"/>
      <c r="F1616" s="34">
        <f>IF(A1616="","",IFERROR(INT(A1616),"check date"))</f>
        <v/>
      </c>
      <c r="G1616" s="35">
        <f>IF(B1616="","",IFERROR(INDEX(Students!$A:$A,MATCH(TRIM(B1616),Students!$A:$A,0)),"NOT ON LIST"))</f>
        <v/>
      </c>
      <c r="H1616" s="35">
        <f>IF(OR(G1616="",G1616="NOT ON LIST"),"",VLOOKUP(G1616,Students!$A:$C,2,FALSE))</f>
        <v/>
      </c>
      <c r="I1616" s="35">
        <f>IF(OR(G1616="",G1616="NOT ON LIST"),"",VLOOKUP(G1616,Students!$A:$C,3,FALSE)&amp;"")</f>
        <v/>
      </c>
    </row>
    <row r="1617">
      <c r="A1617" s="31" t="n"/>
      <c r="B1617" s="32" t="n"/>
      <c r="C1617" s="32" t="n"/>
      <c r="D1617" s="33" t="n"/>
      <c r="E1617" s="32" t="n"/>
      <c r="F1617" s="34">
        <f>IF(A1617="","",IFERROR(INT(A1617),"check date"))</f>
        <v/>
      </c>
      <c r="G1617" s="35">
        <f>IF(B1617="","",IFERROR(INDEX(Students!$A:$A,MATCH(TRIM(B1617),Students!$A:$A,0)),"NOT ON LIST"))</f>
        <v/>
      </c>
      <c r="H1617" s="35">
        <f>IF(OR(G1617="",G1617="NOT ON LIST"),"",VLOOKUP(G1617,Students!$A:$C,2,FALSE))</f>
        <v/>
      </c>
      <c r="I1617" s="35">
        <f>IF(OR(G1617="",G1617="NOT ON LIST"),"",VLOOKUP(G1617,Students!$A:$C,3,FALSE)&amp;"")</f>
        <v/>
      </c>
    </row>
    <row r="1618">
      <c r="A1618" s="31" t="n"/>
      <c r="B1618" s="32" t="n"/>
      <c r="C1618" s="32" t="n"/>
      <c r="D1618" s="33" t="n"/>
      <c r="E1618" s="32" t="n"/>
      <c r="F1618" s="34">
        <f>IF(A1618="","",IFERROR(INT(A1618),"check date"))</f>
        <v/>
      </c>
      <c r="G1618" s="35">
        <f>IF(B1618="","",IFERROR(INDEX(Students!$A:$A,MATCH(TRIM(B1618),Students!$A:$A,0)),"NOT ON LIST"))</f>
        <v/>
      </c>
      <c r="H1618" s="35">
        <f>IF(OR(G1618="",G1618="NOT ON LIST"),"",VLOOKUP(G1618,Students!$A:$C,2,FALSE))</f>
        <v/>
      </c>
      <c r="I1618" s="35">
        <f>IF(OR(G1618="",G1618="NOT ON LIST"),"",VLOOKUP(G1618,Students!$A:$C,3,FALSE)&amp;"")</f>
        <v/>
      </c>
    </row>
    <row r="1619">
      <c r="A1619" s="31" t="n"/>
      <c r="B1619" s="32" t="n"/>
      <c r="C1619" s="32" t="n"/>
      <c r="D1619" s="33" t="n"/>
      <c r="E1619" s="32" t="n"/>
      <c r="F1619" s="34">
        <f>IF(A1619="","",IFERROR(INT(A1619),"check date"))</f>
        <v/>
      </c>
      <c r="G1619" s="35">
        <f>IF(B1619="","",IFERROR(INDEX(Students!$A:$A,MATCH(TRIM(B1619),Students!$A:$A,0)),"NOT ON LIST"))</f>
        <v/>
      </c>
      <c r="H1619" s="35">
        <f>IF(OR(G1619="",G1619="NOT ON LIST"),"",VLOOKUP(G1619,Students!$A:$C,2,FALSE))</f>
        <v/>
      </c>
      <c r="I1619" s="35">
        <f>IF(OR(G1619="",G1619="NOT ON LIST"),"",VLOOKUP(G1619,Students!$A:$C,3,FALSE)&amp;"")</f>
        <v/>
      </c>
    </row>
    <row r="1620">
      <c r="A1620" s="31" t="n"/>
      <c r="B1620" s="32" t="n"/>
      <c r="C1620" s="32" t="n"/>
      <c r="D1620" s="33" t="n"/>
      <c r="E1620" s="32" t="n"/>
      <c r="F1620" s="34">
        <f>IF(A1620="","",IFERROR(INT(A1620),"check date"))</f>
        <v/>
      </c>
      <c r="G1620" s="35">
        <f>IF(B1620="","",IFERROR(INDEX(Students!$A:$A,MATCH(TRIM(B1620),Students!$A:$A,0)),"NOT ON LIST"))</f>
        <v/>
      </c>
      <c r="H1620" s="35">
        <f>IF(OR(G1620="",G1620="NOT ON LIST"),"",VLOOKUP(G1620,Students!$A:$C,2,FALSE))</f>
        <v/>
      </c>
      <c r="I1620" s="35">
        <f>IF(OR(G1620="",G1620="NOT ON LIST"),"",VLOOKUP(G1620,Students!$A:$C,3,FALSE)&amp;"")</f>
        <v/>
      </c>
    </row>
    <row r="1621">
      <c r="A1621" s="31" t="n"/>
      <c r="B1621" s="32" t="n"/>
      <c r="C1621" s="32" t="n"/>
      <c r="D1621" s="33" t="n"/>
      <c r="E1621" s="32" t="n"/>
      <c r="F1621" s="34">
        <f>IF(A1621="","",IFERROR(INT(A1621),"check date"))</f>
        <v/>
      </c>
      <c r="G1621" s="35">
        <f>IF(B1621="","",IFERROR(INDEX(Students!$A:$A,MATCH(TRIM(B1621),Students!$A:$A,0)),"NOT ON LIST"))</f>
        <v/>
      </c>
      <c r="H1621" s="35">
        <f>IF(OR(G1621="",G1621="NOT ON LIST"),"",VLOOKUP(G1621,Students!$A:$C,2,FALSE))</f>
        <v/>
      </c>
      <c r="I1621" s="35">
        <f>IF(OR(G1621="",G1621="NOT ON LIST"),"",VLOOKUP(G1621,Students!$A:$C,3,FALSE)&amp;"")</f>
        <v/>
      </c>
    </row>
    <row r="1622">
      <c r="A1622" s="31" t="n"/>
      <c r="B1622" s="32" t="n"/>
      <c r="C1622" s="32" t="n"/>
      <c r="D1622" s="33" t="n"/>
      <c r="E1622" s="32" t="n"/>
      <c r="F1622" s="34">
        <f>IF(A1622="","",IFERROR(INT(A1622),"check date"))</f>
        <v/>
      </c>
      <c r="G1622" s="35">
        <f>IF(B1622="","",IFERROR(INDEX(Students!$A:$A,MATCH(TRIM(B1622),Students!$A:$A,0)),"NOT ON LIST"))</f>
        <v/>
      </c>
      <c r="H1622" s="35">
        <f>IF(OR(G1622="",G1622="NOT ON LIST"),"",VLOOKUP(G1622,Students!$A:$C,2,FALSE))</f>
        <v/>
      </c>
      <c r="I1622" s="35">
        <f>IF(OR(G1622="",G1622="NOT ON LIST"),"",VLOOKUP(G1622,Students!$A:$C,3,FALSE)&amp;"")</f>
        <v/>
      </c>
    </row>
    <row r="1623">
      <c r="A1623" s="31" t="n"/>
      <c r="B1623" s="32" t="n"/>
      <c r="C1623" s="32" t="n"/>
      <c r="D1623" s="33" t="n"/>
      <c r="E1623" s="32" t="n"/>
      <c r="F1623" s="34">
        <f>IF(A1623="","",IFERROR(INT(A1623),"check date"))</f>
        <v/>
      </c>
      <c r="G1623" s="35">
        <f>IF(B1623="","",IFERROR(INDEX(Students!$A:$A,MATCH(TRIM(B1623),Students!$A:$A,0)),"NOT ON LIST"))</f>
        <v/>
      </c>
      <c r="H1623" s="35">
        <f>IF(OR(G1623="",G1623="NOT ON LIST"),"",VLOOKUP(G1623,Students!$A:$C,2,FALSE))</f>
        <v/>
      </c>
      <c r="I1623" s="35">
        <f>IF(OR(G1623="",G1623="NOT ON LIST"),"",VLOOKUP(G1623,Students!$A:$C,3,FALSE)&amp;"")</f>
        <v/>
      </c>
    </row>
    <row r="1624">
      <c r="A1624" s="31" t="n"/>
      <c r="B1624" s="32" t="n"/>
      <c r="C1624" s="32" t="n"/>
      <c r="D1624" s="33" t="n"/>
      <c r="E1624" s="32" t="n"/>
      <c r="F1624" s="34">
        <f>IF(A1624="","",IFERROR(INT(A1624),"check date"))</f>
        <v/>
      </c>
      <c r="G1624" s="35">
        <f>IF(B1624="","",IFERROR(INDEX(Students!$A:$A,MATCH(TRIM(B1624),Students!$A:$A,0)),"NOT ON LIST"))</f>
        <v/>
      </c>
      <c r="H1624" s="35">
        <f>IF(OR(G1624="",G1624="NOT ON LIST"),"",VLOOKUP(G1624,Students!$A:$C,2,FALSE))</f>
        <v/>
      </c>
      <c r="I1624" s="35">
        <f>IF(OR(G1624="",G1624="NOT ON LIST"),"",VLOOKUP(G1624,Students!$A:$C,3,FALSE)&amp;"")</f>
        <v/>
      </c>
    </row>
    <row r="1625">
      <c r="A1625" s="31" t="n"/>
      <c r="B1625" s="32" t="n"/>
      <c r="C1625" s="32" t="n"/>
      <c r="D1625" s="33" t="n"/>
      <c r="E1625" s="32" t="n"/>
      <c r="F1625" s="34">
        <f>IF(A1625="","",IFERROR(INT(A1625),"check date"))</f>
        <v/>
      </c>
      <c r="G1625" s="35">
        <f>IF(B1625="","",IFERROR(INDEX(Students!$A:$A,MATCH(TRIM(B1625),Students!$A:$A,0)),"NOT ON LIST"))</f>
        <v/>
      </c>
      <c r="H1625" s="35">
        <f>IF(OR(G1625="",G1625="NOT ON LIST"),"",VLOOKUP(G1625,Students!$A:$C,2,FALSE))</f>
        <v/>
      </c>
      <c r="I1625" s="35">
        <f>IF(OR(G1625="",G1625="NOT ON LIST"),"",VLOOKUP(G1625,Students!$A:$C,3,FALSE)&amp;"")</f>
        <v/>
      </c>
    </row>
    <row r="1626">
      <c r="A1626" s="31" t="n"/>
      <c r="B1626" s="32" t="n"/>
      <c r="C1626" s="32" t="n"/>
      <c r="D1626" s="33" t="n"/>
      <c r="E1626" s="32" t="n"/>
      <c r="F1626" s="34">
        <f>IF(A1626="","",IFERROR(INT(A1626),"check date"))</f>
        <v/>
      </c>
      <c r="G1626" s="35">
        <f>IF(B1626="","",IFERROR(INDEX(Students!$A:$A,MATCH(TRIM(B1626),Students!$A:$A,0)),"NOT ON LIST"))</f>
        <v/>
      </c>
      <c r="H1626" s="35">
        <f>IF(OR(G1626="",G1626="NOT ON LIST"),"",VLOOKUP(G1626,Students!$A:$C,2,FALSE))</f>
        <v/>
      </c>
      <c r="I1626" s="35">
        <f>IF(OR(G1626="",G1626="NOT ON LIST"),"",VLOOKUP(G1626,Students!$A:$C,3,FALSE)&amp;"")</f>
        <v/>
      </c>
    </row>
    <row r="1627">
      <c r="A1627" s="31" t="n"/>
      <c r="B1627" s="32" t="n"/>
      <c r="C1627" s="32" t="n"/>
      <c r="D1627" s="33" t="n"/>
      <c r="E1627" s="32" t="n"/>
      <c r="F1627" s="34">
        <f>IF(A1627="","",IFERROR(INT(A1627),"check date"))</f>
        <v/>
      </c>
      <c r="G1627" s="35">
        <f>IF(B1627="","",IFERROR(INDEX(Students!$A:$A,MATCH(TRIM(B1627),Students!$A:$A,0)),"NOT ON LIST"))</f>
        <v/>
      </c>
      <c r="H1627" s="35">
        <f>IF(OR(G1627="",G1627="NOT ON LIST"),"",VLOOKUP(G1627,Students!$A:$C,2,FALSE))</f>
        <v/>
      </c>
      <c r="I1627" s="35">
        <f>IF(OR(G1627="",G1627="NOT ON LIST"),"",VLOOKUP(G1627,Students!$A:$C,3,FALSE)&amp;"")</f>
        <v/>
      </c>
    </row>
    <row r="1628">
      <c r="A1628" s="31" t="n"/>
      <c r="B1628" s="32" t="n"/>
      <c r="C1628" s="32" t="n"/>
      <c r="D1628" s="33" t="n"/>
      <c r="E1628" s="32" t="n"/>
      <c r="F1628" s="34">
        <f>IF(A1628="","",IFERROR(INT(A1628),"check date"))</f>
        <v/>
      </c>
      <c r="G1628" s="35">
        <f>IF(B1628="","",IFERROR(INDEX(Students!$A:$A,MATCH(TRIM(B1628),Students!$A:$A,0)),"NOT ON LIST"))</f>
        <v/>
      </c>
      <c r="H1628" s="35">
        <f>IF(OR(G1628="",G1628="NOT ON LIST"),"",VLOOKUP(G1628,Students!$A:$C,2,FALSE))</f>
        <v/>
      </c>
      <c r="I1628" s="35">
        <f>IF(OR(G1628="",G1628="NOT ON LIST"),"",VLOOKUP(G1628,Students!$A:$C,3,FALSE)&amp;"")</f>
        <v/>
      </c>
    </row>
    <row r="1629">
      <c r="A1629" s="31" t="n"/>
      <c r="B1629" s="32" t="n"/>
      <c r="C1629" s="32" t="n"/>
      <c r="D1629" s="33" t="n"/>
      <c r="E1629" s="32" t="n"/>
      <c r="F1629" s="34">
        <f>IF(A1629="","",IFERROR(INT(A1629),"check date"))</f>
        <v/>
      </c>
      <c r="G1629" s="35">
        <f>IF(B1629="","",IFERROR(INDEX(Students!$A:$A,MATCH(TRIM(B1629),Students!$A:$A,0)),"NOT ON LIST"))</f>
        <v/>
      </c>
      <c r="H1629" s="35">
        <f>IF(OR(G1629="",G1629="NOT ON LIST"),"",VLOOKUP(G1629,Students!$A:$C,2,FALSE))</f>
        <v/>
      </c>
      <c r="I1629" s="35">
        <f>IF(OR(G1629="",G1629="NOT ON LIST"),"",VLOOKUP(G1629,Students!$A:$C,3,FALSE)&amp;"")</f>
        <v/>
      </c>
    </row>
    <row r="1630">
      <c r="A1630" s="31" t="n"/>
      <c r="B1630" s="32" t="n"/>
      <c r="C1630" s="32" t="n"/>
      <c r="D1630" s="33" t="n"/>
      <c r="E1630" s="32" t="n"/>
      <c r="F1630" s="34">
        <f>IF(A1630="","",IFERROR(INT(A1630),"check date"))</f>
        <v/>
      </c>
      <c r="G1630" s="35">
        <f>IF(B1630="","",IFERROR(INDEX(Students!$A:$A,MATCH(TRIM(B1630),Students!$A:$A,0)),"NOT ON LIST"))</f>
        <v/>
      </c>
      <c r="H1630" s="35">
        <f>IF(OR(G1630="",G1630="NOT ON LIST"),"",VLOOKUP(G1630,Students!$A:$C,2,FALSE))</f>
        <v/>
      </c>
      <c r="I1630" s="35">
        <f>IF(OR(G1630="",G1630="NOT ON LIST"),"",VLOOKUP(G1630,Students!$A:$C,3,FALSE)&amp;"")</f>
        <v/>
      </c>
    </row>
    <row r="1631">
      <c r="A1631" s="31" t="n"/>
      <c r="B1631" s="32" t="n"/>
      <c r="C1631" s="32" t="n"/>
      <c r="D1631" s="33" t="n"/>
      <c r="E1631" s="32" t="n"/>
      <c r="F1631" s="34">
        <f>IF(A1631="","",IFERROR(INT(A1631),"check date"))</f>
        <v/>
      </c>
      <c r="G1631" s="35">
        <f>IF(B1631="","",IFERROR(INDEX(Students!$A:$A,MATCH(TRIM(B1631),Students!$A:$A,0)),"NOT ON LIST"))</f>
        <v/>
      </c>
      <c r="H1631" s="35">
        <f>IF(OR(G1631="",G1631="NOT ON LIST"),"",VLOOKUP(G1631,Students!$A:$C,2,FALSE))</f>
        <v/>
      </c>
      <c r="I1631" s="35">
        <f>IF(OR(G1631="",G1631="NOT ON LIST"),"",VLOOKUP(G1631,Students!$A:$C,3,FALSE)&amp;"")</f>
        <v/>
      </c>
    </row>
    <row r="1632">
      <c r="A1632" s="31" t="n"/>
      <c r="B1632" s="32" t="n"/>
      <c r="C1632" s="32" t="n"/>
      <c r="D1632" s="33" t="n"/>
      <c r="E1632" s="32" t="n"/>
      <c r="F1632" s="34">
        <f>IF(A1632="","",IFERROR(INT(A1632),"check date"))</f>
        <v/>
      </c>
      <c r="G1632" s="35">
        <f>IF(B1632="","",IFERROR(INDEX(Students!$A:$A,MATCH(TRIM(B1632),Students!$A:$A,0)),"NOT ON LIST"))</f>
        <v/>
      </c>
      <c r="H1632" s="35">
        <f>IF(OR(G1632="",G1632="NOT ON LIST"),"",VLOOKUP(G1632,Students!$A:$C,2,FALSE))</f>
        <v/>
      </c>
      <c r="I1632" s="35">
        <f>IF(OR(G1632="",G1632="NOT ON LIST"),"",VLOOKUP(G1632,Students!$A:$C,3,FALSE)&amp;"")</f>
        <v/>
      </c>
    </row>
    <row r="1633">
      <c r="A1633" s="31" t="n"/>
      <c r="B1633" s="32" t="n"/>
      <c r="C1633" s="32" t="n"/>
      <c r="D1633" s="33" t="n"/>
      <c r="E1633" s="32" t="n"/>
      <c r="F1633" s="34">
        <f>IF(A1633="","",IFERROR(INT(A1633),"check date"))</f>
        <v/>
      </c>
      <c r="G1633" s="35">
        <f>IF(B1633="","",IFERROR(INDEX(Students!$A:$A,MATCH(TRIM(B1633),Students!$A:$A,0)),"NOT ON LIST"))</f>
        <v/>
      </c>
      <c r="H1633" s="35">
        <f>IF(OR(G1633="",G1633="NOT ON LIST"),"",VLOOKUP(G1633,Students!$A:$C,2,FALSE))</f>
        <v/>
      </c>
      <c r="I1633" s="35">
        <f>IF(OR(G1633="",G1633="NOT ON LIST"),"",VLOOKUP(G1633,Students!$A:$C,3,FALSE)&amp;"")</f>
        <v/>
      </c>
    </row>
    <row r="1634">
      <c r="A1634" s="31" t="n"/>
      <c r="B1634" s="32" t="n"/>
      <c r="C1634" s="32" t="n"/>
      <c r="D1634" s="33" t="n"/>
      <c r="E1634" s="32" t="n"/>
      <c r="F1634" s="34">
        <f>IF(A1634="","",IFERROR(INT(A1634),"check date"))</f>
        <v/>
      </c>
      <c r="G1634" s="35">
        <f>IF(B1634="","",IFERROR(INDEX(Students!$A:$A,MATCH(TRIM(B1634),Students!$A:$A,0)),"NOT ON LIST"))</f>
        <v/>
      </c>
      <c r="H1634" s="35">
        <f>IF(OR(G1634="",G1634="NOT ON LIST"),"",VLOOKUP(G1634,Students!$A:$C,2,FALSE))</f>
        <v/>
      </c>
      <c r="I1634" s="35">
        <f>IF(OR(G1634="",G1634="NOT ON LIST"),"",VLOOKUP(G1634,Students!$A:$C,3,FALSE)&amp;"")</f>
        <v/>
      </c>
    </row>
    <row r="1635">
      <c r="A1635" s="31" t="n"/>
      <c r="B1635" s="32" t="n"/>
      <c r="C1635" s="32" t="n"/>
      <c r="D1635" s="33" t="n"/>
      <c r="E1635" s="32" t="n"/>
      <c r="F1635" s="34">
        <f>IF(A1635="","",IFERROR(INT(A1635),"check date"))</f>
        <v/>
      </c>
      <c r="G1635" s="35">
        <f>IF(B1635="","",IFERROR(INDEX(Students!$A:$A,MATCH(TRIM(B1635),Students!$A:$A,0)),"NOT ON LIST"))</f>
        <v/>
      </c>
      <c r="H1635" s="35">
        <f>IF(OR(G1635="",G1635="NOT ON LIST"),"",VLOOKUP(G1635,Students!$A:$C,2,FALSE))</f>
        <v/>
      </c>
      <c r="I1635" s="35">
        <f>IF(OR(G1635="",G1635="NOT ON LIST"),"",VLOOKUP(G1635,Students!$A:$C,3,FALSE)&amp;"")</f>
        <v/>
      </c>
    </row>
    <row r="1636">
      <c r="A1636" s="31" t="n"/>
      <c r="B1636" s="32" t="n"/>
      <c r="C1636" s="32" t="n"/>
      <c r="D1636" s="33" t="n"/>
      <c r="E1636" s="32" t="n"/>
      <c r="F1636" s="34">
        <f>IF(A1636="","",IFERROR(INT(A1636),"check date"))</f>
        <v/>
      </c>
      <c r="G1636" s="35">
        <f>IF(B1636="","",IFERROR(INDEX(Students!$A:$A,MATCH(TRIM(B1636),Students!$A:$A,0)),"NOT ON LIST"))</f>
        <v/>
      </c>
      <c r="H1636" s="35">
        <f>IF(OR(G1636="",G1636="NOT ON LIST"),"",VLOOKUP(G1636,Students!$A:$C,2,FALSE))</f>
        <v/>
      </c>
      <c r="I1636" s="35">
        <f>IF(OR(G1636="",G1636="NOT ON LIST"),"",VLOOKUP(G1636,Students!$A:$C,3,FALSE)&amp;"")</f>
        <v/>
      </c>
    </row>
    <row r="1637">
      <c r="A1637" s="31" t="n"/>
      <c r="B1637" s="32" t="n"/>
      <c r="C1637" s="32" t="n"/>
      <c r="D1637" s="33" t="n"/>
      <c r="E1637" s="32" t="n"/>
      <c r="F1637" s="34">
        <f>IF(A1637="","",IFERROR(INT(A1637),"check date"))</f>
        <v/>
      </c>
      <c r="G1637" s="35">
        <f>IF(B1637="","",IFERROR(INDEX(Students!$A:$A,MATCH(TRIM(B1637),Students!$A:$A,0)),"NOT ON LIST"))</f>
        <v/>
      </c>
      <c r="H1637" s="35">
        <f>IF(OR(G1637="",G1637="NOT ON LIST"),"",VLOOKUP(G1637,Students!$A:$C,2,FALSE))</f>
        <v/>
      </c>
      <c r="I1637" s="35">
        <f>IF(OR(G1637="",G1637="NOT ON LIST"),"",VLOOKUP(G1637,Students!$A:$C,3,FALSE)&amp;"")</f>
        <v/>
      </c>
    </row>
    <row r="1638">
      <c r="A1638" s="31" t="n"/>
      <c r="B1638" s="32" t="n"/>
      <c r="C1638" s="32" t="n"/>
      <c r="D1638" s="33" t="n"/>
      <c r="E1638" s="32" t="n"/>
      <c r="F1638" s="34">
        <f>IF(A1638="","",IFERROR(INT(A1638),"check date"))</f>
        <v/>
      </c>
      <c r="G1638" s="35">
        <f>IF(B1638="","",IFERROR(INDEX(Students!$A:$A,MATCH(TRIM(B1638),Students!$A:$A,0)),"NOT ON LIST"))</f>
        <v/>
      </c>
      <c r="H1638" s="35">
        <f>IF(OR(G1638="",G1638="NOT ON LIST"),"",VLOOKUP(G1638,Students!$A:$C,2,FALSE))</f>
        <v/>
      </c>
      <c r="I1638" s="35">
        <f>IF(OR(G1638="",G1638="NOT ON LIST"),"",VLOOKUP(G1638,Students!$A:$C,3,FALSE)&amp;"")</f>
        <v/>
      </c>
    </row>
    <row r="1639">
      <c r="A1639" s="31" t="n"/>
      <c r="B1639" s="32" t="n"/>
      <c r="C1639" s="32" t="n"/>
      <c r="D1639" s="33" t="n"/>
      <c r="E1639" s="32" t="n"/>
      <c r="F1639" s="34">
        <f>IF(A1639="","",IFERROR(INT(A1639),"check date"))</f>
        <v/>
      </c>
      <c r="G1639" s="35">
        <f>IF(B1639="","",IFERROR(INDEX(Students!$A:$A,MATCH(TRIM(B1639),Students!$A:$A,0)),"NOT ON LIST"))</f>
        <v/>
      </c>
      <c r="H1639" s="35">
        <f>IF(OR(G1639="",G1639="NOT ON LIST"),"",VLOOKUP(G1639,Students!$A:$C,2,FALSE))</f>
        <v/>
      </c>
      <c r="I1639" s="35">
        <f>IF(OR(G1639="",G1639="NOT ON LIST"),"",VLOOKUP(G1639,Students!$A:$C,3,FALSE)&amp;"")</f>
        <v/>
      </c>
    </row>
    <row r="1640">
      <c r="A1640" s="31" t="n"/>
      <c r="B1640" s="32" t="n"/>
      <c r="C1640" s="32" t="n"/>
      <c r="D1640" s="33" t="n"/>
      <c r="E1640" s="32" t="n"/>
      <c r="F1640" s="34">
        <f>IF(A1640="","",IFERROR(INT(A1640),"check date"))</f>
        <v/>
      </c>
      <c r="G1640" s="35">
        <f>IF(B1640="","",IFERROR(INDEX(Students!$A:$A,MATCH(TRIM(B1640),Students!$A:$A,0)),"NOT ON LIST"))</f>
        <v/>
      </c>
      <c r="H1640" s="35">
        <f>IF(OR(G1640="",G1640="NOT ON LIST"),"",VLOOKUP(G1640,Students!$A:$C,2,FALSE))</f>
        <v/>
      </c>
      <c r="I1640" s="35">
        <f>IF(OR(G1640="",G1640="NOT ON LIST"),"",VLOOKUP(G1640,Students!$A:$C,3,FALSE)&amp;"")</f>
        <v/>
      </c>
    </row>
    <row r="1641">
      <c r="A1641" s="31" t="n"/>
      <c r="B1641" s="32" t="n"/>
      <c r="C1641" s="32" t="n"/>
      <c r="D1641" s="33" t="n"/>
      <c r="E1641" s="32" t="n"/>
      <c r="F1641" s="34">
        <f>IF(A1641="","",IFERROR(INT(A1641),"check date"))</f>
        <v/>
      </c>
      <c r="G1641" s="35">
        <f>IF(B1641="","",IFERROR(INDEX(Students!$A:$A,MATCH(TRIM(B1641),Students!$A:$A,0)),"NOT ON LIST"))</f>
        <v/>
      </c>
      <c r="H1641" s="35">
        <f>IF(OR(G1641="",G1641="NOT ON LIST"),"",VLOOKUP(G1641,Students!$A:$C,2,FALSE))</f>
        <v/>
      </c>
      <c r="I1641" s="35">
        <f>IF(OR(G1641="",G1641="NOT ON LIST"),"",VLOOKUP(G1641,Students!$A:$C,3,FALSE)&amp;"")</f>
        <v/>
      </c>
    </row>
    <row r="1642">
      <c r="A1642" s="31" t="n"/>
      <c r="B1642" s="32" t="n"/>
      <c r="C1642" s="32" t="n"/>
      <c r="D1642" s="33" t="n"/>
      <c r="E1642" s="32" t="n"/>
      <c r="F1642" s="34">
        <f>IF(A1642="","",IFERROR(INT(A1642),"check date"))</f>
        <v/>
      </c>
      <c r="G1642" s="35">
        <f>IF(B1642="","",IFERROR(INDEX(Students!$A:$A,MATCH(TRIM(B1642),Students!$A:$A,0)),"NOT ON LIST"))</f>
        <v/>
      </c>
      <c r="H1642" s="35">
        <f>IF(OR(G1642="",G1642="NOT ON LIST"),"",VLOOKUP(G1642,Students!$A:$C,2,FALSE))</f>
        <v/>
      </c>
      <c r="I1642" s="35">
        <f>IF(OR(G1642="",G1642="NOT ON LIST"),"",VLOOKUP(G1642,Students!$A:$C,3,FALSE)&amp;"")</f>
        <v/>
      </c>
    </row>
    <row r="1643">
      <c r="A1643" s="31" t="n"/>
      <c r="B1643" s="32" t="n"/>
      <c r="C1643" s="32" t="n"/>
      <c r="D1643" s="33" t="n"/>
      <c r="E1643" s="32" t="n"/>
      <c r="F1643" s="34">
        <f>IF(A1643="","",IFERROR(INT(A1643),"check date"))</f>
        <v/>
      </c>
      <c r="G1643" s="35">
        <f>IF(B1643="","",IFERROR(INDEX(Students!$A:$A,MATCH(TRIM(B1643),Students!$A:$A,0)),"NOT ON LIST"))</f>
        <v/>
      </c>
      <c r="H1643" s="35">
        <f>IF(OR(G1643="",G1643="NOT ON LIST"),"",VLOOKUP(G1643,Students!$A:$C,2,FALSE))</f>
        <v/>
      </c>
      <c r="I1643" s="35">
        <f>IF(OR(G1643="",G1643="NOT ON LIST"),"",VLOOKUP(G1643,Students!$A:$C,3,FALSE)&amp;"")</f>
        <v/>
      </c>
    </row>
    <row r="1644">
      <c r="A1644" s="31" t="n"/>
      <c r="B1644" s="32" t="n"/>
      <c r="C1644" s="32" t="n"/>
      <c r="D1644" s="33" t="n"/>
      <c r="E1644" s="32" t="n"/>
      <c r="F1644" s="34">
        <f>IF(A1644="","",IFERROR(INT(A1644),"check date"))</f>
        <v/>
      </c>
      <c r="G1644" s="35">
        <f>IF(B1644="","",IFERROR(INDEX(Students!$A:$A,MATCH(TRIM(B1644),Students!$A:$A,0)),"NOT ON LIST"))</f>
        <v/>
      </c>
      <c r="H1644" s="35">
        <f>IF(OR(G1644="",G1644="NOT ON LIST"),"",VLOOKUP(G1644,Students!$A:$C,2,FALSE))</f>
        <v/>
      </c>
      <c r="I1644" s="35">
        <f>IF(OR(G1644="",G1644="NOT ON LIST"),"",VLOOKUP(G1644,Students!$A:$C,3,FALSE)&amp;"")</f>
        <v/>
      </c>
    </row>
    <row r="1645">
      <c r="A1645" s="31" t="n"/>
      <c r="B1645" s="32" t="n"/>
      <c r="C1645" s="32" t="n"/>
      <c r="D1645" s="33" t="n"/>
      <c r="E1645" s="32" t="n"/>
      <c r="F1645" s="34">
        <f>IF(A1645="","",IFERROR(INT(A1645),"check date"))</f>
        <v/>
      </c>
      <c r="G1645" s="35">
        <f>IF(B1645="","",IFERROR(INDEX(Students!$A:$A,MATCH(TRIM(B1645),Students!$A:$A,0)),"NOT ON LIST"))</f>
        <v/>
      </c>
      <c r="H1645" s="35">
        <f>IF(OR(G1645="",G1645="NOT ON LIST"),"",VLOOKUP(G1645,Students!$A:$C,2,FALSE))</f>
        <v/>
      </c>
      <c r="I1645" s="35">
        <f>IF(OR(G1645="",G1645="NOT ON LIST"),"",VLOOKUP(G1645,Students!$A:$C,3,FALSE)&amp;"")</f>
        <v/>
      </c>
    </row>
    <row r="1646">
      <c r="A1646" s="31" t="n"/>
      <c r="B1646" s="32" t="n"/>
      <c r="C1646" s="32" t="n"/>
      <c r="D1646" s="33" t="n"/>
      <c r="E1646" s="32" t="n"/>
      <c r="F1646" s="34">
        <f>IF(A1646="","",IFERROR(INT(A1646),"check date"))</f>
        <v/>
      </c>
      <c r="G1646" s="35">
        <f>IF(B1646="","",IFERROR(INDEX(Students!$A:$A,MATCH(TRIM(B1646),Students!$A:$A,0)),"NOT ON LIST"))</f>
        <v/>
      </c>
      <c r="H1646" s="35">
        <f>IF(OR(G1646="",G1646="NOT ON LIST"),"",VLOOKUP(G1646,Students!$A:$C,2,FALSE))</f>
        <v/>
      </c>
      <c r="I1646" s="35">
        <f>IF(OR(G1646="",G1646="NOT ON LIST"),"",VLOOKUP(G1646,Students!$A:$C,3,FALSE)&amp;"")</f>
        <v/>
      </c>
    </row>
    <row r="1647">
      <c r="A1647" s="31" t="n"/>
      <c r="B1647" s="32" t="n"/>
      <c r="C1647" s="32" t="n"/>
      <c r="D1647" s="33" t="n"/>
      <c r="E1647" s="32" t="n"/>
      <c r="F1647" s="34">
        <f>IF(A1647="","",IFERROR(INT(A1647),"check date"))</f>
        <v/>
      </c>
      <c r="G1647" s="35">
        <f>IF(B1647="","",IFERROR(INDEX(Students!$A:$A,MATCH(TRIM(B1647),Students!$A:$A,0)),"NOT ON LIST"))</f>
        <v/>
      </c>
      <c r="H1647" s="35">
        <f>IF(OR(G1647="",G1647="NOT ON LIST"),"",VLOOKUP(G1647,Students!$A:$C,2,FALSE))</f>
        <v/>
      </c>
      <c r="I1647" s="35">
        <f>IF(OR(G1647="",G1647="NOT ON LIST"),"",VLOOKUP(G1647,Students!$A:$C,3,FALSE)&amp;"")</f>
        <v/>
      </c>
    </row>
    <row r="1648">
      <c r="A1648" s="31" t="n"/>
      <c r="B1648" s="32" t="n"/>
      <c r="C1648" s="32" t="n"/>
      <c r="D1648" s="33" t="n"/>
      <c r="E1648" s="32" t="n"/>
      <c r="F1648" s="34">
        <f>IF(A1648="","",IFERROR(INT(A1648),"check date"))</f>
        <v/>
      </c>
      <c r="G1648" s="35">
        <f>IF(B1648="","",IFERROR(INDEX(Students!$A:$A,MATCH(TRIM(B1648),Students!$A:$A,0)),"NOT ON LIST"))</f>
        <v/>
      </c>
      <c r="H1648" s="35">
        <f>IF(OR(G1648="",G1648="NOT ON LIST"),"",VLOOKUP(G1648,Students!$A:$C,2,FALSE))</f>
        <v/>
      </c>
      <c r="I1648" s="35">
        <f>IF(OR(G1648="",G1648="NOT ON LIST"),"",VLOOKUP(G1648,Students!$A:$C,3,FALSE)&amp;"")</f>
        <v/>
      </c>
    </row>
    <row r="1649">
      <c r="A1649" s="31" t="n"/>
      <c r="B1649" s="32" t="n"/>
      <c r="C1649" s="32" t="n"/>
      <c r="D1649" s="33" t="n"/>
      <c r="E1649" s="32" t="n"/>
      <c r="F1649" s="34">
        <f>IF(A1649="","",IFERROR(INT(A1649),"check date"))</f>
        <v/>
      </c>
      <c r="G1649" s="35">
        <f>IF(B1649="","",IFERROR(INDEX(Students!$A:$A,MATCH(TRIM(B1649),Students!$A:$A,0)),"NOT ON LIST"))</f>
        <v/>
      </c>
      <c r="H1649" s="35">
        <f>IF(OR(G1649="",G1649="NOT ON LIST"),"",VLOOKUP(G1649,Students!$A:$C,2,FALSE))</f>
        <v/>
      </c>
      <c r="I1649" s="35">
        <f>IF(OR(G1649="",G1649="NOT ON LIST"),"",VLOOKUP(G1649,Students!$A:$C,3,FALSE)&amp;"")</f>
        <v/>
      </c>
    </row>
    <row r="1650">
      <c r="A1650" s="31" t="n"/>
      <c r="B1650" s="32" t="n"/>
      <c r="C1650" s="32" t="n"/>
      <c r="D1650" s="33" t="n"/>
      <c r="E1650" s="32" t="n"/>
      <c r="F1650" s="34">
        <f>IF(A1650="","",IFERROR(INT(A1650),"check date"))</f>
        <v/>
      </c>
      <c r="G1650" s="35">
        <f>IF(B1650="","",IFERROR(INDEX(Students!$A:$A,MATCH(TRIM(B1650),Students!$A:$A,0)),"NOT ON LIST"))</f>
        <v/>
      </c>
      <c r="H1650" s="35">
        <f>IF(OR(G1650="",G1650="NOT ON LIST"),"",VLOOKUP(G1650,Students!$A:$C,2,FALSE))</f>
        <v/>
      </c>
      <c r="I1650" s="35">
        <f>IF(OR(G1650="",G1650="NOT ON LIST"),"",VLOOKUP(G1650,Students!$A:$C,3,FALSE)&amp;"")</f>
        <v/>
      </c>
    </row>
    <row r="1651">
      <c r="A1651" s="31" t="n"/>
      <c r="B1651" s="32" t="n"/>
      <c r="C1651" s="32" t="n"/>
      <c r="D1651" s="33" t="n"/>
      <c r="E1651" s="32" t="n"/>
      <c r="F1651" s="34">
        <f>IF(A1651="","",IFERROR(INT(A1651),"check date"))</f>
        <v/>
      </c>
      <c r="G1651" s="35">
        <f>IF(B1651="","",IFERROR(INDEX(Students!$A:$A,MATCH(TRIM(B1651),Students!$A:$A,0)),"NOT ON LIST"))</f>
        <v/>
      </c>
      <c r="H1651" s="35">
        <f>IF(OR(G1651="",G1651="NOT ON LIST"),"",VLOOKUP(G1651,Students!$A:$C,2,FALSE))</f>
        <v/>
      </c>
      <c r="I1651" s="35">
        <f>IF(OR(G1651="",G1651="NOT ON LIST"),"",VLOOKUP(G1651,Students!$A:$C,3,FALSE)&amp;"")</f>
        <v/>
      </c>
    </row>
    <row r="1652">
      <c r="A1652" s="31" t="n"/>
      <c r="B1652" s="32" t="n"/>
      <c r="C1652" s="32" t="n"/>
      <c r="D1652" s="33" t="n"/>
      <c r="E1652" s="32" t="n"/>
      <c r="F1652" s="34">
        <f>IF(A1652="","",IFERROR(INT(A1652),"check date"))</f>
        <v/>
      </c>
      <c r="G1652" s="35">
        <f>IF(B1652="","",IFERROR(INDEX(Students!$A:$A,MATCH(TRIM(B1652),Students!$A:$A,0)),"NOT ON LIST"))</f>
        <v/>
      </c>
      <c r="H1652" s="35">
        <f>IF(OR(G1652="",G1652="NOT ON LIST"),"",VLOOKUP(G1652,Students!$A:$C,2,FALSE))</f>
        <v/>
      </c>
      <c r="I1652" s="35">
        <f>IF(OR(G1652="",G1652="NOT ON LIST"),"",VLOOKUP(G1652,Students!$A:$C,3,FALSE)&amp;"")</f>
        <v/>
      </c>
    </row>
    <row r="1653">
      <c r="A1653" s="31" t="n"/>
      <c r="B1653" s="32" t="n"/>
      <c r="C1653" s="32" t="n"/>
      <c r="D1653" s="33" t="n"/>
      <c r="E1653" s="32" t="n"/>
      <c r="F1653" s="34">
        <f>IF(A1653="","",IFERROR(INT(A1653),"check date"))</f>
        <v/>
      </c>
      <c r="G1653" s="35">
        <f>IF(B1653="","",IFERROR(INDEX(Students!$A:$A,MATCH(TRIM(B1653),Students!$A:$A,0)),"NOT ON LIST"))</f>
        <v/>
      </c>
      <c r="H1653" s="35">
        <f>IF(OR(G1653="",G1653="NOT ON LIST"),"",VLOOKUP(G1653,Students!$A:$C,2,FALSE))</f>
        <v/>
      </c>
      <c r="I1653" s="35">
        <f>IF(OR(G1653="",G1653="NOT ON LIST"),"",VLOOKUP(G1653,Students!$A:$C,3,FALSE)&amp;"")</f>
        <v/>
      </c>
    </row>
    <row r="1654">
      <c r="A1654" s="31" t="n"/>
      <c r="B1654" s="32" t="n"/>
      <c r="C1654" s="32" t="n"/>
      <c r="D1654" s="33" t="n"/>
      <c r="E1654" s="32" t="n"/>
      <c r="F1654" s="34">
        <f>IF(A1654="","",IFERROR(INT(A1654),"check date"))</f>
        <v/>
      </c>
      <c r="G1654" s="35">
        <f>IF(B1654="","",IFERROR(INDEX(Students!$A:$A,MATCH(TRIM(B1654),Students!$A:$A,0)),"NOT ON LIST"))</f>
        <v/>
      </c>
      <c r="H1654" s="35">
        <f>IF(OR(G1654="",G1654="NOT ON LIST"),"",VLOOKUP(G1654,Students!$A:$C,2,FALSE))</f>
        <v/>
      </c>
      <c r="I1654" s="35">
        <f>IF(OR(G1654="",G1654="NOT ON LIST"),"",VLOOKUP(G1654,Students!$A:$C,3,FALSE)&amp;"")</f>
        <v/>
      </c>
    </row>
    <row r="1655">
      <c r="A1655" s="31" t="n"/>
      <c r="B1655" s="32" t="n"/>
      <c r="C1655" s="32" t="n"/>
      <c r="D1655" s="33" t="n"/>
      <c r="E1655" s="32" t="n"/>
      <c r="F1655" s="34">
        <f>IF(A1655="","",IFERROR(INT(A1655),"check date"))</f>
        <v/>
      </c>
      <c r="G1655" s="35">
        <f>IF(B1655="","",IFERROR(INDEX(Students!$A:$A,MATCH(TRIM(B1655),Students!$A:$A,0)),"NOT ON LIST"))</f>
        <v/>
      </c>
      <c r="H1655" s="35">
        <f>IF(OR(G1655="",G1655="NOT ON LIST"),"",VLOOKUP(G1655,Students!$A:$C,2,FALSE))</f>
        <v/>
      </c>
      <c r="I1655" s="35">
        <f>IF(OR(G1655="",G1655="NOT ON LIST"),"",VLOOKUP(G1655,Students!$A:$C,3,FALSE)&amp;"")</f>
        <v/>
      </c>
    </row>
    <row r="1656">
      <c r="A1656" s="31" t="n"/>
      <c r="B1656" s="32" t="n"/>
      <c r="C1656" s="32" t="n"/>
      <c r="D1656" s="33" t="n"/>
      <c r="E1656" s="32" t="n"/>
      <c r="F1656" s="34">
        <f>IF(A1656="","",IFERROR(INT(A1656),"check date"))</f>
        <v/>
      </c>
      <c r="G1656" s="35">
        <f>IF(B1656="","",IFERROR(INDEX(Students!$A:$A,MATCH(TRIM(B1656),Students!$A:$A,0)),"NOT ON LIST"))</f>
        <v/>
      </c>
      <c r="H1656" s="35">
        <f>IF(OR(G1656="",G1656="NOT ON LIST"),"",VLOOKUP(G1656,Students!$A:$C,2,FALSE))</f>
        <v/>
      </c>
      <c r="I1656" s="35">
        <f>IF(OR(G1656="",G1656="NOT ON LIST"),"",VLOOKUP(G1656,Students!$A:$C,3,FALSE)&amp;"")</f>
        <v/>
      </c>
    </row>
    <row r="1657">
      <c r="A1657" s="31" t="n"/>
      <c r="B1657" s="32" t="n"/>
      <c r="C1657" s="32" t="n"/>
      <c r="D1657" s="33" t="n"/>
      <c r="E1657" s="32" t="n"/>
      <c r="F1657" s="34">
        <f>IF(A1657="","",IFERROR(INT(A1657),"check date"))</f>
        <v/>
      </c>
      <c r="G1657" s="35">
        <f>IF(B1657="","",IFERROR(INDEX(Students!$A:$A,MATCH(TRIM(B1657),Students!$A:$A,0)),"NOT ON LIST"))</f>
        <v/>
      </c>
      <c r="H1657" s="35">
        <f>IF(OR(G1657="",G1657="NOT ON LIST"),"",VLOOKUP(G1657,Students!$A:$C,2,FALSE))</f>
        <v/>
      </c>
      <c r="I1657" s="35">
        <f>IF(OR(G1657="",G1657="NOT ON LIST"),"",VLOOKUP(G1657,Students!$A:$C,3,FALSE)&amp;"")</f>
        <v/>
      </c>
    </row>
    <row r="1658">
      <c r="A1658" s="31" t="n"/>
      <c r="B1658" s="32" t="n"/>
      <c r="C1658" s="32" t="n"/>
      <c r="D1658" s="33" t="n"/>
      <c r="E1658" s="32" t="n"/>
      <c r="F1658" s="34">
        <f>IF(A1658="","",IFERROR(INT(A1658),"check date"))</f>
        <v/>
      </c>
      <c r="G1658" s="35">
        <f>IF(B1658="","",IFERROR(INDEX(Students!$A:$A,MATCH(TRIM(B1658),Students!$A:$A,0)),"NOT ON LIST"))</f>
        <v/>
      </c>
      <c r="H1658" s="35">
        <f>IF(OR(G1658="",G1658="NOT ON LIST"),"",VLOOKUP(G1658,Students!$A:$C,2,FALSE))</f>
        <v/>
      </c>
      <c r="I1658" s="35">
        <f>IF(OR(G1658="",G1658="NOT ON LIST"),"",VLOOKUP(G1658,Students!$A:$C,3,FALSE)&amp;"")</f>
        <v/>
      </c>
    </row>
    <row r="1659">
      <c r="A1659" s="31" t="n"/>
      <c r="B1659" s="32" t="n"/>
      <c r="C1659" s="32" t="n"/>
      <c r="D1659" s="33" t="n"/>
      <c r="E1659" s="32" t="n"/>
      <c r="F1659" s="34">
        <f>IF(A1659="","",IFERROR(INT(A1659),"check date"))</f>
        <v/>
      </c>
      <c r="G1659" s="35">
        <f>IF(B1659="","",IFERROR(INDEX(Students!$A:$A,MATCH(TRIM(B1659),Students!$A:$A,0)),"NOT ON LIST"))</f>
        <v/>
      </c>
      <c r="H1659" s="35">
        <f>IF(OR(G1659="",G1659="NOT ON LIST"),"",VLOOKUP(G1659,Students!$A:$C,2,FALSE))</f>
        <v/>
      </c>
      <c r="I1659" s="35">
        <f>IF(OR(G1659="",G1659="NOT ON LIST"),"",VLOOKUP(G1659,Students!$A:$C,3,FALSE)&amp;"")</f>
        <v/>
      </c>
    </row>
    <row r="1660">
      <c r="A1660" s="31" t="n"/>
      <c r="B1660" s="32" t="n"/>
      <c r="C1660" s="32" t="n"/>
      <c r="D1660" s="33" t="n"/>
      <c r="E1660" s="32" t="n"/>
      <c r="F1660" s="34">
        <f>IF(A1660="","",IFERROR(INT(A1660),"check date"))</f>
        <v/>
      </c>
      <c r="G1660" s="35">
        <f>IF(B1660="","",IFERROR(INDEX(Students!$A:$A,MATCH(TRIM(B1660),Students!$A:$A,0)),"NOT ON LIST"))</f>
        <v/>
      </c>
      <c r="H1660" s="35">
        <f>IF(OR(G1660="",G1660="NOT ON LIST"),"",VLOOKUP(G1660,Students!$A:$C,2,FALSE))</f>
        <v/>
      </c>
      <c r="I1660" s="35">
        <f>IF(OR(G1660="",G1660="NOT ON LIST"),"",VLOOKUP(G1660,Students!$A:$C,3,FALSE)&amp;"")</f>
        <v/>
      </c>
    </row>
    <row r="1661">
      <c r="A1661" s="31" t="n"/>
      <c r="B1661" s="32" t="n"/>
      <c r="C1661" s="32" t="n"/>
      <c r="D1661" s="33" t="n"/>
      <c r="E1661" s="32" t="n"/>
      <c r="F1661" s="34">
        <f>IF(A1661="","",IFERROR(INT(A1661),"check date"))</f>
        <v/>
      </c>
      <c r="G1661" s="35">
        <f>IF(B1661="","",IFERROR(INDEX(Students!$A:$A,MATCH(TRIM(B1661),Students!$A:$A,0)),"NOT ON LIST"))</f>
        <v/>
      </c>
      <c r="H1661" s="35">
        <f>IF(OR(G1661="",G1661="NOT ON LIST"),"",VLOOKUP(G1661,Students!$A:$C,2,FALSE))</f>
        <v/>
      </c>
      <c r="I1661" s="35">
        <f>IF(OR(G1661="",G1661="NOT ON LIST"),"",VLOOKUP(G1661,Students!$A:$C,3,FALSE)&amp;"")</f>
        <v/>
      </c>
    </row>
    <row r="1662">
      <c r="A1662" s="31" t="n"/>
      <c r="B1662" s="32" t="n"/>
      <c r="C1662" s="32" t="n"/>
      <c r="D1662" s="33" t="n"/>
      <c r="E1662" s="32" t="n"/>
      <c r="F1662" s="34">
        <f>IF(A1662="","",IFERROR(INT(A1662),"check date"))</f>
        <v/>
      </c>
      <c r="G1662" s="35">
        <f>IF(B1662="","",IFERROR(INDEX(Students!$A:$A,MATCH(TRIM(B1662),Students!$A:$A,0)),"NOT ON LIST"))</f>
        <v/>
      </c>
      <c r="H1662" s="35">
        <f>IF(OR(G1662="",G1662="NOT ON LIST"),"",VLOOKUP(G1662,Students!$A:$C,2,FALSE))</f>
        <v/>
      </c>
      <c r="I1662" s="35">
        <f>IF(OR(G1662="",G1662="NOT ON LIST"),"",VLOOKUP(G1662,Students!$A:$C,3,FALSE)&amp;"")</f>
        <v/>
      </c>
    </row>
    <row r="1663">
      <c r="A1663" s="31" t="n"/>
      <c r="B1663" s="32" t="n"/>
      <c r="C1663" s="32" t="n"/>
      <c r="D1663" s="33" t="n"/>
      <c r="E1663" s="32" t="n"/>
      <c r="F1663" s="34">
        <f>IF(A1663="","",IFERROR(INT(A1663),"check date"))</f>
        <v/>
      </c>
      <c r="G1663" s="35">
        <f>IF(B1663="","",IFERROR(INDEX(Students!$A:$A,MATCH(TRIM(B1663),Students!$A:$A,0)),"NOT ON LIST"))</f>
        <v/>
      </c>
      <c r="H1663" s="35">
        <f>IF(OR(G1663="",G1663="NOT ON LIST"),"",VLOOKUP(G1663,Students!$A:$C,2,FALSE))</f>
        <v/>
      </c>
      <c r="I1663" s="35">
        <f>IF(OR(G1663="",G1663="NOT ON LIST"),"",VLOOKUP(G1663,Students!$A:$C,3,FALSE)&amp;"")</f>
        <v/>
      </c>
    </row>
    <row r="1664">
      <c r="A1664" s="31" t="n"/>
      <c r="B1664" s="32" t="n"/>
      <c r="C1664" s="32" t="n"/>
      <c r="D1664" s="33" t="n"/>
      <c r="E1664" s="32" t="n"/>
      <c r="F1664" s="34">
        <f>IF(A1664="","",IFERROR(INT(A1664),"check date"))</f>
        <v/>
      </c>
      <c r="G1664" s="35">
        <f>IF(B1664="","",IFERROR(INDEX(Students!$A:$A,MATCH(TRIM(B1664),Students!$A:$A,0)),"NOT ON LIST"))</f>
        <v/>
      </c>
      <c r="H1664" s="35">
        <f>IF(OR(G1664="",G1664="NOT ON LIST"),"",VLOOKUP(G1664,Students!$A:$C,2,FALSE))</f>
        <v/>
      </c>
      <c r="I1664" s="35">
        <f>IF(OR(G1664="",G1664="NOT ON LIST"),"",VLOOKUP(G1664,Students!$A:$C,3,FALSE)&amp;"")</f>
        <v/>
      </c>
    </row>
    <row r="1665">
      <c r="A1665" s="31" t="n"/>
      <c r="B1665" s="32" t="n"/>
      <c r="C1665" s="32" t="n"/>
      <c r="D1665" s="33" t="n"/>
      <c r="E1665" s="32" t="n"/>
      <c r="F1665" s="34">
        <f>IF(A1665="","",IFERROR(INT(A1665),"check date"))</f>
        <v/>
      </c>
      <c r="G1665" s="35">
        <f>IF(B1665="","",IFERROR(INDEX(Students!$A:$A,MATCH(TRIM(B1665),Students!$A:$A,0)),"NOT ON LIST"))</f>
        <v/>
      </c>
      <c r="H1665" s="35">
        <f>IF(OR(G1665="",G1665="NOT ON LIST"),"",VLOOKUP(G1665,Students!$A:$C,2,FALSE))</f>
        <v/>
      </c>
      <c r="I1665" s="35">
        <f>IF(OR(G1665="",G1665="NOT ON LIST"),"",VLOOKUP(G1665,Students!$A:$C,3,FALSE)&amp;"")</f>
        <v/>
      </c>
    </row>
    <row r="1666">
      <c r="A1666" s="31" t="n"/>
      <c r="B1666" s="32" t="n"/>
      <c r="C1666" s="32" t="n"/>
      <c r="D1666" s="33" t="n"/>
      <c r="E1666" s="32" t="n"/>
      <c r="F1666" s="34">
        <f>IF(A1666="","",IFERROR(INT(A1666),"check date"))</f>
        <v/>
      </c>
      <c r="G1666" s="35">
        <f>IF(B1666="","",IFERROR(INDEX(Students!$A:$A,MATCH(TRIM(B1666),Students!$A:$A,0)),"NOT ON LIST"))</f>
        <v/>
      </c>
      <c r="H1666" s="35">
        <f>IF(OR(G1666="",G1666="NOT ON LIST"),"",VLOOKUP(G1666,Students!$A:$C,2,FALSE))</f>
        <v/>
      </c>
      <c r="I1666" s="35">
        <f>IF(OR(G1666="",G1666="NOT ON LIST"),"",VLOOKUP(G1666,Students!$A:$C,3,FALSE)&amp;"")</f>
        <v/>
      </c>
    </row>
    <row r="1667">
      <c r="A1667" s="31" t="n"/>
      <c r="B1667" s="32" t="n"/>
      <c r="C1667" s="32" t="n"/>
      <c r="D1667" s="33" t="n"/>
      <c r="E1667" s="32" t="n"/>
      <c r="F1667" s="34">
        <f>IF(A1667="","",IFERROR(INT(A1667),"check date"))</f>
        <v/>
      </c>
      <c r="G1667" s="35">
        <f>IF(B1667="","",IFERROR(INDEX(Students!$A:$A,MATCH(TRIM(B1667),Students!$A:$A,0)),"NOT ON LIST"))</f>
        <v/>
      </c>
      <c r="H1667" s="35">
        <f>IF(OR(G1667="",G1667="NOT ON LIST"),"",VLOOKUP(G1667,Students!$A:$C,2,FALSE))</f>
        <v/>
      </c>
      <c r="I1667" s="35">
        <f>IF(OR(G1667="",G1667="NOT ON LIST"),"",VLOOKUP(G1667,Students!$A:$C,3,FALSE)&amp;"")</f>
        <v/>
      </c>
    </row>
    <row r="1668">
      <c r="A1668" s="31" t="n"/>
      <c r="B1668" s="32" t="n"/>
      <c r="C1668" s="32" t="n"/>
      <c r="D1668" s="33" t="n"/>
      <c r="E1668" s="32" t="n"/>
      <c r="F1668" s="34">
        <f>IF(A1668="","",IFERROR(INT(A1668),"check date"))</f>
        <v/>
      </c>
      <c r="G1668" s="35">
        <f>IF(B1668="","",IFERROR(INDEX(Students!$A:$A,MATCH(TRIM(B1668),Students!$A:$A,0)),"NOT ON LIST"))</f>
        <v/>
      </c>
      <c r="H1668" s="35">
        <f>IF(OR(G1668="",G1668="NOT ON LIST"),"",VLOOKUP(G1668,Students!$A:$C,2,FALSE))</f>
        <v/>
      </c>
      <c r="I1668" s="35">
        <f>IF(OR(G1668="",G1668="NOT ON LIST"),"",VLOOKUP(G1668,Students!$A:$C,3,FALSE)&amp;"")</f>
        <v/>
      </c>
    </row>
    <row r="1669">
      <c r="A1669" s="31" t="n"/>
      <c r="B1669" s="32" t="n"/>
      <c r="C1669" s="32" t="n"/>
      <c r="D1669" s="33" t="n"/>
      <c r="E1669" s="32" t="n"/>
      <c r="F1669" s="34">
        <f>IF(A1669="","",IFERROR(INT(A1669),"check date"))</f>
        <v/>
      </c>
      <c r="G1669" s="35">
        <f>IF(B1669="","",IFERROR(INDEX(Students!$A:$A,MATCH(TRIM(B1669),Students!$A:$A,0)),"NOT ON LIST"))</f>
        <v/>
      </c>
      <c r="H1669" s="35">
        <f>IF(OR(G1669="",G1669="NOT ON LIST"),"",VLOOKUP(G1669,Students!$A:$C,2,FALSE))</f>
        <v/>
      </c>
      <c r="I1669" s="35">
        <f>IF(OR(G1669="",G1669="NOT ON LIST"),"",VLOOKUP(G1669,Students!$A:$C,3,FALSE)&amp;"")</f>
        <v/>
      </c>
    </row>
    <row r="1670">
      <c r="A1670" s="31" t="n"/>
      <c r="B1670" s="32" t="n"/>
      <c r="C1670" s="32" t="n"/>
      <c r="D1670" s="33" t="n"/>
      <c r="E1670" s="32" t="n"/>
      <c r="F1670" s="34">
        <f>IF(A1670="","",IFERROR(INT(A1670),"check date"))</f>
        <v/>
      </c>
      <c r="G1670" s="35">
        <f>IF(B1670="","",IFERROR(INDEX(Students!$A:$A,MATCH(TRIM(B1670),Students!$A:$A,0)),"NOT ON LIST"))</f>
        <v/>
      </c>
      <c r="H1670" s="35">
        <f>IF(OR(G1670="",G1670="NOT ON LIST"),"",VLOOKUP(G1670,Students!$A:$C,2,FALSE))</f>
        <v/>
      </c>
      <c r="I1670" s="35">
        <f>IF(OR(G1670="",G1670="NOT ON LIST"),"",VLOOKUP(G1670,Students!$A:$C,3,FALSE)&amp;"")</f>
        <v/>
      </c>
    </row>
    <row r="1671">
      <c r="A1671" s="31" t="n"/>
      <c r="B1671" s="32" t="n"/>
      <c r="C1671" s="32" t="n"/>
      <c r="D1671" s="33" t="n"/>
      <c r="E1671" s="32" t="n"/>
      <c r="F1671" s="34">
        <f>IF(A1671="","",IFERROR(INT(A1671),"check date"))</f>
        <v/>
      </c>
      <c r="G1671" s="35">
        <f>IF(B1671="","",IFERROR(INDEX(Students!$A:$A,MATCH(TRIM(B1671),Students!$A:$A,0)),"NOT ON LIST"))</f>
        <v/>
      </c>
      <c r="H1671" s="35">
        <f>IF(OR(G1671="",G1671="NOT ON LIST"),"",VLOOKUP(G1671,Students!$A:$C,2,FALSE))</f>
        <v/>
      </c>
      <c r="I1671" s="35">
        <f>IF(OR(G1671="",G1671="NOT ON LIST"),"",VLOOKUP(G1671,Students!$A:$C,3,FALSE)&amp;"")</f>
        <v/>
      </c>
    </row>
    <row r="1672">
      <c r="A1672" s="31" t="n"/>
      <c r="B1672" s="32" t="n"/>
      <c r="C1672" s="32" t="n"/>
      <c r="D1672" s="33" t="n"/>
      <c r="E1672" s="32" t="n"/>
      <c r="F1672" s="34">
        <f>IF(A1672="","",IFERROR(INT(A1672),"check date"))</f>
        <v/>
      </c>
      <c r="G1672" s="35">
        <f>IF(B1672="","",IFERROR(INDEX(Students!$A:$A,MATCH(TRIM(B1672),Students!$A:$A,0)),"NOT ON LIST"))</f>
        <v/>
      </c>
      <c r="H1672" s="35">
        <f>IF(OR(G1672="",G1672="NOT ON LIST"),"",VLOOKUP(G1672,Students!$A:$C,2,FALSE))</f>
        <v/>
      </c>
      <c r="I1672" s="35">
        <f>IF(OR(G1672="",G1672="NOT ON LIST"),"",VLOOKUP(G1672,Students!$A:$C,3,FALSE)&amp;"")</f>
        <v/>
      </c>
    </row>
    <row r="1673">
      <c r="A1673" s="31" t="n"/>
      <c r="B1673" s="32" t="n"/>
      <c r="C1673" s="32" t="n"/>
      <c r="D1673" s="33" t="n"/>
      <c r="E1673" s="32" t="n"/>
      <c r="F1673" s="34">
        <f>IF(A1673="","",IFERROR(INT(A1673),"check date"))</f>
        <v/>
      </c>
      <c r="G1673" s="35">
        <f>IF(B1673="","",IFERROR(INDEX(Students!$A:$A,MATCH(TRIM(B1673),Students!$A:$A,0)),"NOT ON LIST"))</f>
        <v/>
      </c>
      <c r="H1673" s="35">
        <f>IF(OR(G1673="",G1673="NOT ON LIST"),"",VLOOKUP(G1673,Students!$A:$C,2,FALSE))</f>
        <v/>
      </c>
      <c r="I1673" s="35">
        <f>IF(OR(G1673="",G1673="NOT ON LIST"),"",VLOOKUP(G1673,Students!$A:$C,3,FALSE)&amp;"")</f>
        <v/>
      </c>
    </row>
    <row r="1674">
      <c r="A1674" s="31" t="n"/>
      <c r="B1674" s="32" t="n"/>
      <c r="C1674" s="32" t="n"/>
      <c r="D1674" s="33" t="n"/>
      <c r="E1674" s="32" t="n"/>
      <c r="F1674" s="34">
        <f>IF(A1674="","",IFERROR(INT(A1674),"check date"))</f>
        <v/>
      </c>
      <c r="G1674" s="35">
        <f>IF(B1674="","",IFERROR(INDEX(Students!$A:$A,MATCH(TRIM(B1674),Students!$A:$A,0)),"NOT ON LIST"))</f>
        <v/>
      </c>
      <c r="H1674" s="35">
        <f>IF(OR(G1674="",G1674="NOT ON LIST"),"",VLOOKUP(G1674,Students!$A:$C,2,FALSE))</f>
        <v/>
      </c>
      <c r="I1674" s="35">
        <f>IF(OR(G1674="",G1674="NOT ON LIST"),"",VLOOKUP(G1674,Students!$A:$C,3,FALSE)&amp;"")</f>
        <v/>
      </c>
    </row>
    <row r="1675">
      <c r="A1675" s="31" t="n"/>
      <c r="B1675" s="32" t="n"/>
      <c r="C1675" s="32" t="n"/>
      <c r="D1675" s="33" t="n"/>
      <c r="E1675" s="32" t="n"/>
      <c r="F1675" s="34">
        <f>IF(A1675="","",IFERROR(INT(A1675),"check date"))</f>
        <v/>
      </c>
      <c r="G1675" s="35">
        <f>IF(B1675="","",IFERROR(INDEX(Students!$A:$A,MATCH(TRIM(B1675),Students!$A:$A,0)),"NOT ON LIST"))</f>
        <v/>
      </c>
      <c r="H1675" s="35">
        <f>IF(OR(G1675="",G1675="NOT ON LIST"),"",VLOOKUP(G1675,Students!$A:$C,2,FALSE))</f>
        <v/>
      </c>
      <c r="I1675" s="35">
        <f>IF(OR(G1675="",G1675="NOT ON LIST"),"",VLOOKUP(G1675,Students!$A:$C,3,FALSE)&amp;"")</f>
        <v/>
      </c>
    </row>
    <row r="1676">
      <c r="A1676" s="31" t="n"/>
      <c r="B1676" s="32" t="n"/>
      <c r="C1676" s="32" t="n"/>
      <c r="D1676" s="33" t="n"/>
      <c r="E1676" s="32" t="n"/>
      <c r="F1676" s="34">
        <f>IF(A1676="","",IFERROR(INT(A1676),"check date"))</f>
        <v/>
      </c>
      <c r="G1676" s="35">
        <f>IF(B1676="","",IFERROR(INDEX(Students!$A:$A,MATCH(TRIM(B1676),Students!$A:$A,0)),"NOT ON LIST"))</f>
        <v/>
      </c>
      <c r="H1676" s="35">
        <f>IF(OR(G1676="",G1676="NOT ON LIST"),"",VLOOKUP(G1676,Students!$A:$C,2,FALSE))</f>
        <v/>
      </c>
      <c r="I1676" s="35">
        <f>IF(OR(G1676="",G1676="NOT ON LIST"),"",VLOOKUP(G1676,Students!$A:$C,3,FALSE)&amp;"")</f>
        <v/>
      </c>
    </row>
    <row r="1677">
      <c r="A1677" s="31" t="n"/>
      <c r="B1677" s="32" t="n"/>
      <c r="C1677" s="32" t="n"/>
      <c r="D1677" s="33" t="n"/>
      <c r="E1677" s="32" t="n"/>
      <c r="F1677" s="34">
        <f>IF(A1677="","",IFERROR(INT(A1677),"check date"))</f>
        <v/>
      </c>
      <c r="G1677" s="35">
        <f>IF(B1677="","",IFERROR(INDEX(Students!$A:$A,MATCH(TRIM(B1677),Students!$A:$A,0)),"NOT ON LIST"))</f>
        <v/>
      </c>
      <c r="H1677" s="35">
        <f>IF(OR(G1677="",G1677="NOT ON LIST"),"",VLOOKUP(G1677,Students!$A:$C,2,FALSE))</f>
        <v/>
      </c>
      <c r="I1677" s="35">
        <f>IF(OR(G1677="",G1677="NOT ON LIST"),"",VLOOKUP(G1677,Students!$A:$C,3,FALSE)&amp;"")</f>
        <v/>
      </c>
    </row>
    <row r="1678">
      <c r="A1678" s="31" t="n"/>
      <c r="B1678" s="32" t="n"/>
      <c r="C1678" s="32" t="n"/>
      <c r="D1678" s="33" t="n"/>
      <c r="E1678" s="32" t="n"/>
      <c r="F1678" s="34">
        <f>IF(A1678="","",IFERROR(INT(A1678),"check date"))</f>
        <v/>
      </c>
      <c r="G1678" s="35">
        <f>IF(B1678="","",IFERROR(INDEX(Students!$A:$A,MATCH(TRIM(B1678),Students!$A:$A,0)),"NOT ON LIST"))</f>
        <v/>
      </c>
      <c r="H1678" s="35">
        <f>IF(OR(G1678="",G1678="NOT ON LIST"),"",VLOOKUP(G1678,Students!$A:$C,2,FALSE))</f>
        <v/>
      </c>
      <c r="I1678" s="35">
        <f>IF(OR(G1678="",G1678="NOT ON LIST"),"",VLOOKUP(G1678,Students!$A:$C,3,FALSE)&amp;"")</f>
        <v/>
      </c>
    </row>
    <row r="1679">
      <c r="A1679" s="31" t="n"/>
      <c r="B1679" s="32" t="n"/>
      <c r="C1679" s="32" t="n"/>
      <c r="D1679" s="33" t="n"/>
      <c r="E1679" s="32" t="n"/>
      <c r="F1679" s="34">
        <f>IF(A1679="","",IFERROR(INT(A1679),"check date"))</f>
        <v/>
      </c>
      <c r="G1679" s="35">
        <f>IF(B1679="","",IFERROR(INDEX(Students!$A:$A,MATCH(TRIM(B1679),Students!$A:$A,0)),"NOT ON LIST"))</f>
        <v/>
      </c>
      <c r="H1679" s="35">
        <f>IF(OR(G1679="",G1679="NOT ON LIST"),"",VLOOKUP(G1679,Students!$A:$C,2,FALSE))</f>
        <v/>
      </c>
      <c r="I1679" s="35">
        <f>IF(OR(G1679="",G1679="NOT ON LIST"),"",VLOOKUP(G1679,Students!$A:$C,3,FALSE)&amp;"")</f>
        <v/>
      </c>
    </row>
    <row r="1680">
      <c r="A1680" s="31" t="n"/>
      <c r="B1680" s="32" t="n"/>
      <c r="C1680" s="32" t="n"/>
      <c r="D1680" s="33" t="n"/>
      <c r="E1680" s="32" t="n"/>
      <c r="F1680" s="34">
        <f>IF(A1680="","",IFERROR(INT(A1680),"check date"))</f>
        <v/>
      </c>
      <c r="G1680" s="35">
        <f>IF(B1680="","",IFERROR(INDEX(Students!$A:$A,MATCH(TRIM(B1680),Students!$A:$A,0)),"NOT ON LIST"))</f>
        <v/>
      </c>
      <c r="H1680" s="35">
        <f>IF(OR(G1680="",G1680="NOT ON LIST"),"",VLOOKUP(G1680,Students!$A:$C,2,FALSE))</f>
        <v/>
      </c>
      <c r="I1680" s="35">
        <f>IF(OR(G1680="",G1680="NOT ON LIST"),"",VLOOKUP(G1680,Students!$A:$C,3,FALSE)&amp;"")</f>
        <v/>
      </c>
    </row>
    <row r="1681">
      <c r="A1681" s="31" t="n"/>
      <c r="B1681" s="32" t="n"/>
      <c r="C1681" s="32" t="n"/>
      <c r="D1681" s="33" t="n"/>
      <c r="E1681" s="32" t="n"/>
      <c r="F1681" s="34">
        <f>IF(A1681="","",IFERROR(INT(A1681),"check date"))</f>
        <v/>
      </c>
      <c r="G1681" s="35">
        <f>IF(B1681="","",IFERROR(INDEX(Students!$A:$A,MATCH(TRIM(B1681),Students!$A:$A,0)),"NOT ON LIST"))</f>
        <v/>
      </c>
      <c r="H1681" s="35">
        <f>IF(OR(G1681="",G1681="NOT ON LIST"),"",VLOOKUP(G1681,Students!$A:$C,2,FALSE))</f>
        <v/>
      </c>
      <c r="I1681" s="35">
        <f>IF(OR(G1681="",G1681="NOT ON LIST"),"",VLOOKUP(G1681,Students!$A:$C,3,FALSE)&amp;"")</f>
        <v/>
      </c>
    </row>
    <row r="1682">
      <c r="A1682" s="31" t="n"/>
      <c r="B1682" s="32" t="n"/>
      <c r="C1682" s="32" t="n"/>
      <c r="D1682" s="33" t="n"/>
      <c r="E1682" s="32" t="n"/>
      <c r="F1682" s="34">
        <f>IF(A1682="","",IFERROR(INT(A1682),"check date"))</f>
        <v/>
      </c>
      <c r="G1682" s="35">
        <f>IF(B1682="","",IFERROR(INDEX(Students!$A:$A,MATCH(TRIM(B1682),Students!$A:$A,0)),"NOT ON LIST"))</f>
        <v/>
      </c>
      <c r="H1682" s="35">
        <f>IF(OR(G1682="",G1682="NOT ON LIST"),"",VLOOKUP(G1682,Students!$A:$C,2,FALSE))</f>
        <v/>
      </c>
      <c r="I1682" s="35">
        <f>IF(OR(G1682="",G1682="NOT ON LIST"),"",VLOOKUP(G1682,Students!$A:$C,3,FALSE)&amp;"")</f>
        <v/>
      </c>
    </row>
    <row r="1683">
      <c r="A1683" s="31" t="n"/>
      <c r="B1683" s="32" t="n"/>
      <c r="C1683" s="32" t="n"/>
      <c r="D1683" s="33" t="n"/>
      <c r="E1683" s="32" t="n"/>
      <c r="F1683" s="34">
        <f>IF(A1683="","",IFERROR(INT(A1683),"check date"))</f>
        <v/>
      </c>
      <c r="G1683" s="35">
        <f>IF(B1683="","",IFERROR(INDEX(Students!$A:$A,MATCH(TRIM(B1683),Students!$A:$A,0)),"NOT ON LIST"))</f>
        <v/>
      </c>
      <c r="H1683" s="35">
        <f>IF(OR(G1683="",G1683="NOT ON LIST"),"",VLOOKUP(G1683,Students!$A:$C,2,FALSE))</f>
        <v/>
      </c>
      <c r="I1683" s="35">
        <f>IF(OR(G1683="",G1683="NOT ON LIST"),"",VLOOKUP(G1683,Students!$A:$C,3,FALSE)&amp;"")</f>
        <v/>
      </c>
    </row>
    <row r="1684">
      <c r="A1684" s="31" t="n"/>
      <c r="B1684" s="32" t="n"/>
      <c r="C1684" s="32" t="n"/>
      <c r="D1684" s="33" t="n"/>
      <c r="E1684" s="32" t="n"/>
      <c r="F1684" s="34">
        <f>IF(A1684="","",IFERROR(INT(A1684),"check date"))</f>
        <v/>
      </c>
      <c r="G1684" s="35">
        <f>IF(B1684="","",IFERROR(INDEX(Students!$A:$A,MATCH(TRIM(B1684),Students!$A:$A,0)),"NOT ON LIST"))</f>
        <v/>
      </c>
      <c r="H1684" s="35">
        <f>IF(OR(G1684="",G1684="NOT ON LIST"),"",VLOOKUP(G1684,Students!$A:$C,2,FALSE))</f>
        <v/>
      </c>
      <c r="I1684" s="35">
        <f>IF(OR(G1684="",G1684="NOT ON LIST"),"",VLOOKUP(G1684,Students!$A:$C,3,FALSE)&amp;"")</f>
        <v/>
      </c>
    </row>
    <row r="1685">
      <c r="A1685" s="31" t="n"/>
      <c r="B1685" s="32" t="n"/>
      <c r="C1685" s="32" t="n"/>
      <c r="D1685" s="33" t="n"/>
      <c r="E1685" s="32" t="n"/>
      <c r="F1685" s="34">
        <f>IF(A1685="","",IFERROR(INT(A1685),"check date"))</f>
        <v/>
      </c>
      <c r="G1685" s="35">
        <f>IF(B1685="","",IFERROR(INDEX(Students!$A:$A,MATCH(TRIM(B1685),Students!$A:$A,0)),"NOT ON LIST"))</f>
        <v/>
      </c>
      <c r="H1685" s="35">
        <f>IF(OR(G1685="",G1685="NOT ON LIST"),"",VLOOKUP(G1685,Students!$A:$C,2,FALSE))</f>
        <v/>
      </c>
      <c r="I1685" s="35">
        <f>IF(OR(G1685="",G1685="NOT ON LIST"),"",VLOOKUP(G1685,Students!$A:$C,3,FALSE)&amp;"")</f>
        <v/>
      </c>
    </row>
    <row r="1686">
      <c r="A1686" s="31" t="n"/>
      <c r="B1686" s="32" t="n"/>
      <c r="C1686" s="32" t="n"/>
      <c r="D1686" s="33" t="n"/>
      <c r="E1686" s="32" t="n"/>
      <c r="F1686" s="34">
        <f>IF(A1686="","",IFERROR(INT(A1686),"check date"))</f>
        <v/>
      </c>
      <c r="G1686" s="35">
        <f>IF(B1686="","",IFERROR(INDEX(Students!$A:$A,MATCH(TRIM(B1686),Students!$A:$A,0)),"NOT ON LIST"))</f>
        <v/>
      </c>
      <c r="H1686" s="35">
        <f>IF(OR(G1686="",G1686="NOT ON LIST"),"",VLOOKUP(G1686,Students!$A:$C,2,FALSE))</f>
        <v/>
      </c>
      <c r="I1686" s="35">
        <f>IF(OR(G1686="",G1686="NOT ON LIST"),"",VLOOKUP(G1686,Students!$A:$C,3,FALSE)&amp;"")</f>
        <v/>
      </c>
    </row>
    <row r="1687">
      <c r="A1687" s="31" t="n"/>
      <c r="B1687" s="32" t="n"/>
      <c r="C1687" s="32" t="n"/>
      <c r="D1687" s="33" t="n"/>
      <c r="E1687" s="32" t="n"/>
      <c r="F1687" s="34">
        <f>IF(A1687="","",IFERROR(INT(A1687),"check date"))</f>
        <v/>
      </c>
      <c r="G1687" s="35">
        <f>IF(B1687="","",IFERROR(INDEX(Students!$A:$A,MATCH(TRIM(B1687),Students!$A:$A,0)),"NOT ON LIST"))</f>
        <v/>
      </c>
      <c r="H1687" s="35">
        <f>IF(OR(G1687="",G1687="NOT ON LIST"),"",VLOOKUP(G1687,Students!$A:$C,2,FALSE))</f>
        <v/>
      </c>
      <c r="I1687" s="35">
        <f>IF(OR(G1687="",G1687="NOT ON LIST"),"",VLOOKUP(G1687,Students!$A:$C,3,FALSE)&amp;"")</f>
        <v/>
      </c>
    </row>
    <row r="1688">
      <c r="A1688" s="31" t="n"/>
      <c r="B1688" s="32" t="n"/>
      <c r="C1688" s="32" t="n"/>
      <c r="D1688" s="33" t="n"/>
      <c r="E1688" s="32" t="n"/>
      <c r="F1688" s="34">
        <f>IF(A1688="","",IFERROR(INT(A1688),"check date"))</f>
        <v/>
      </c>
      <c r="G1688" s="35">
        <f>IF(B1688="","",IFERROR(INDEX(Students!$A:$A,MATCH(TRIM(B1688),Students!$A:$A,0)),"NOT ON LIST"))</f>
        <v/>
      </c>
      <c r="H1688" s="35">
        <f>IF(OR(G1688="",G1688="NOT ON LIST"),"",VLOOKUP(G1688,Students!$A:$C,2,FALSE))</f>
        <v/>
      </c>
      <c r="I1688" s="35">
        <f>IF(OR(G1688="",G1688="NOT ON LIST"),"",VLOOKUP(G1688,Students!$A:$C,3,FALSE)&amp;"")</f>
        <v/>
      </c>
    </row>
    <row r="1689">
      <c r="A1689" s="31" t="n"/>
      <c r="B1689" s="32" t="n"/>
      <c r="C1689" s="32" t="n"/>
      <c r="D1689" s="33" t="n"/>
      <c r="E1689" s="32" t="n"/>
      <c r="F1689" s="34">
        <f>IF(A1689="","",IFERROR(INT(A1689),"check date"))</f>
        <v/>
      </c>
      <c r="G1689" s="35">
        <f>IF(B1689="","",IFERROR(INDEX(Students!$A:$A,MATCH(TRIM(B1689),Students!$A:$A,0)),"NOT ON LIST"))</f>
        <v/>
      </c>
      <c r="H1689" s="35">
        <f>IF(OR(G1689="",G1689="NOT ON LIST"),"",VLOOKUP(G1689,Students!$A:$C,2,FALSE))</f>
        <v/>
      </c>
      <c r="I1689" s="35">
        <f>IF(OR(G1689="",G1689="NOT ON LIST"),"",VLOOKUP(G1689,Students!$A:$C,3,FALSE)&amp;"")</f>
        <v/>
      </c>
    </row>
    <row r="1690">
      <c r="A1690" s="31" t="n"/>
      <c r="B1690" s="32" t="n"/>
      <c r="C1690" s="32" t="n"/>
      <c r="D1690" s="33" t="n"/>
      <c r="E1690" s="32" t="n"/>
      <c r="F1690" s="34">
        <f>IF(A1690="","",IFERROR(INT(A1690),"check date"))</f>
        <v/>
      </c>
      <c r="G1690" s="35">
        <f>IF(B1690="","",IFERROR(INDEX(Students!$A:$A,MATCH(TRIM(B1690),Students!$A:$A,0)),"NOT ON LIST"))</f>
        <v/>
      </c>
      <c r="H1690" s="35">
        <f>IF(OR(G1690="",G1690="NOT ON LIST"),"",VLOOKUP(G1690,Students!$A:$C,2,FALSE))</f>
        <v/>
      </c>
      <c r="I1690" s="35">
        <f>IF(OR(G1690="",G1690="NOT ON LIST"),"",VLOOKUP(G1690,Students!$A:$C,3,FALSE)&amp;"")</f>
        <v/>
      </c>
    </row>
    <row r="1691">
      <c r="A1691" s="31" t="n"/>
      <c r="B1691" s="32" t="n"/>
      <c r="C1691" s="32" t="n"/>
      <c r="D1691" s="33" t="n"/>
      <c r="E1691" s="32" t="n"/>
      <c r="F1691" s="34">
        <f>IF(A1691="","",IFERROR(INT(A1691),"check date"))</f>
        <v/>
      </c>
      <c r="G1691" s="35">
        <f>IF(B1691="","",IFERROR(INDEX(Students!$A:$A,MATCH(TRIM(B1691),Students!$A:$A,0)),"NOT ON LIST"))</f>
        <v/>
      </c>
      <c r="H1691" s="35">
        <f>IF(OR(G1691="",G1691="NOT ON LIST"),"",VLOOKUP(G1691,Students!$A:$C,2,FALSE))</f>
        <v/>
      </c>
      <c r="I1691" s="35">
        <f>IF(OR(G1691="",G1691="NOT ON LIST"),"",VLOOKUP(G1691,Students!$A:$C,3,FALSE)&amp;"")</f>
        <v/>
      </c>
    </row>
    <row r="1692">
      <c r="A1692" s="31" t="n"/>
      <c r="B1692" s="32" t="n"/>
      <c r="C1692" s="32" t="n"/>
      <c r="D1692" s="33" t="n"/>
      <c r="E1692" s="32" t="n"/>
      <c r="F1692" s="34">
        <f>IF(A1692="","",IFERROR(INT(A1692),"check date"))</f>
        <v/>
      </c>
      <c r="G1692" s="35">
        <f>IF(B1692="","",IFERROR(INDEX(Students!$A:$A,MATCH(TRIM(B1692),Students!$A:$A,0)),"NOT ON LIST"))</f>
        <v/>
      </c>
      <c r="H1692" s="35">
        <f>IF(OR(G1692="",G1692="NOT ON LIST"),"",VLOOKUP(G1692,Students!$A:$C,2,FALSE))</f>
        <v/>
      </c>
      <c r="I1692" s="35">
        <f>IF(OR(G1692="",G1692="NOT ON LIST"),"",VLOOKUP(G1692,Students!$A:$C,3,FALSE)&amp;"")</f>
        <v/>
      </c>
    </row>
    <row r="1693">
      <c r="A1693" s="31" t="n"/>
      <c r="B1693" s="32" t="n"/>
      <c r="C1693" s="32" t="n"/>
      <c r="D1693" s="33" t="n"/>
      <c r="E1693" s="32" t="n"/>
      <c r="F1693" s="34">
        <f>IF(A1693="","",IFERROR(INT(A1693),"check date"))</f>
        <v/>
      </c>
      <c r="G1693" s="35">
        <f>IF(B1693="","",IFERROR(INDEX(Students!$A:$A,MATCH(TRIM(B1693),Students!$A:$A,0)),"NOT ON LIST"))</f>
        <v/>
      </c>
      <c r="H1693" s="35">
        <f>IF(OR(G1693="",G1693="NOT ON LIST"),"",VLOOKUP(G1693,Students!$A:$C,2,FALSE))</f>
        <v/>
      </c>
      <c r="I1693" s="35">
        <f>IF(OR(G1693="",G1693="NOT ON LIST"),"",VLOOKUP(G1693,Students!$A:$C,3,FALSE)&amp;"")</f>
        <v/>
      </c>
    </row>
    <row r="1694">
      <c r="A1694" s="31" t="n"/>
      <c r="B1694" s="32" t="n"/>
      <c r="C1694" s="32" t="n"/>
      <c r="D1694" s="33" t="n"/>
      <c r="E1694" s="32" t="n"/>
      <c r="F1694" s="34">
        <f>IF(A1694="","",IFERROR(INT(A1694),"check date"))</f>
        <v/>
      </c>
      <c r="G1694" s="35">
        <f>IF(B1694="","",IFERROR(INDEX(Students!$A:$A,MATCH(TRIM(B1694),Students!$A:$A,0)),"NOT ON LIST"))</f>
        <v/>
      </c>
      <c r="H1694" s="35">
        <f>IF(OR(G1694="",G1694="NOT ON LIST"),"",VLOOKUP(G1694,Students!$A:$C,2,FALSE))</f>
        <v/>
      </c>
      <c r="I1694" s="35">
        <f>IF(OR(G1694="",G1694="NOT ON LIST"),"",VLOOKUP(G1694,Students!$A:$C,3,FALSE)&amp;"")</f>
        <v/>
      </c>
    </row>
    <row r="1695">
      <c r="A1695" s="31" t="n"/>
      <c r="B1695" s="32" t="n"/>
      <c r="C1695" s="32" t="n"/>
      <c r="D1695" s="33" t="n"/>
      <c r="E1695" s="32" t="n"/>
      <c r="F1695" s="34">
        <f>IF(A1695="","",IFERROR(INT(A1695),"check date"))</f>
        <v/>
      </c>
      <c r="G1695" s="35">
        <f>IF(B1695="","",IFERROR(INDEX(Students!$A:$A,MATCH(TRIM(B1695),Students!$A:$A,0)),"NOT ON LIST"))</f>
        <v/>
      </c>
      <c r="H1695" s="35">
        <f>IF(OR(G1695="",G1695="NOT ON LIST"),"",VLOOKUP(G1695,Students!$A:$C,2,FALSE))</f>
        <v/>
      </c>
      <c r="I1695" s="35">
        <f>IF(OR(G1695="",G1695="NOT ON LIST"),"",VLOOKUP(G1695,Students!$A:$C,3,FALSE)&amp;"")</f>
        <v/>
      </c>
    </row>
    <row r="1696">
      <c r="A1696" s="31" t="n"/>
      <c r="B1696" s="32" t="n"/>
      <c r="C1696" s="32" t="n"/>
      <c r="D1696" s="33" t="n"/>
      <c r="E1696" s="32" t="n"/>
      <c r="F1696" s="34">
        <f>IF(A1696="","",IFERROR(INT(A1696),"check date"))</f>
        <v/>
      </c>
      <c r="G1696" s="35">
        <f>IF(B1696="","",IFERROR(INDEX(Students!$A:$A,MATCH(TRIM(B1696),Students!$A:$A,0)),"NOT ON LIST"))</f>
        <v/>
      </c>
      <c r="H1696" s="35">
        <f>IF(OR(G1696="",G1696="NOT ON LIST"),"",VLOOKUP(G1696,Students!$A:$C,2,FALSE))</f>
        <v/>
      </c>
      <c r="I1696" s="35">
        <f>IF(OR(G1696="",G1696="NOT ON LIST"),"",VLOOKUP(G1696,Students!$A:$C,3,FALSE)&amp;"")</f>
        <v/>
      </c>
    </row>
    <row r="1697">
      <c r="A1697" s="31" t="n"/>
      <c r="B1697" s="32" t="n"/>
      <c r="C1697" s="32" t="n"/>
      <c r="D1697" s="33" t="n"/>
      <c r="E1697" s="32" t="n"/>
      <c r="F1697" s="34">
        <f>IF(A1697="","",IFERROR(INT(A1697),"check date"))</f>
        <v/>
      </c>
      <c r="G1697" s="35">
        <f>IF(B1697="","",IFERROR(INDEX(Students!$A:$A,MATCH(TRIM(B1697),Students!$A:$A,0)),"NOT ON LIST"))</f>
        <v/>
      </c>
      <c r="H1697" s="35">
        <f>IF(OR(G1697="",G1697="NOT ON LIST"),"",VLOOKUP(G1697,Students!$A:$C,2,FALSE))</f>
        <v/>
      </c>
      <c r="I1697" s="35">
        <f>IF(OR(G1697="",G1697="NOT ON LIST"),"",VLOOKUP(G1697,Students!$A:$C,3,FALSE)&amp;"")</f>
        <v/>
      </c>
    </row>
    <row r="1698">
      <c r="A1698" s="31" t="n"/>
      <c r="B1698" s="32" t="n"/>
      <c r="C1698" s="32" t="n"/>
      <c r="D1698" s="33" t="n"/>
      <c r="E1698" s="32" t="n"/>
      <c r="F1698" s="34">
        <f>IF(A1698="","",IFERROR(INT(A1698),"check date"))</f>
        <v/>
      </c>
      <c r="G1698" s="35">
        <f>IF(B1698="","",IFERROR(INDEX(Students!$A:$A,MATCH(TRIM(B1698),Students!$A:$A,0)),"NOT ON LIST"))</f>
        <v/>
      </c>
      <c r="H1698" s="35">
        <f>IF(OR(G1698="",G1698="NOT ON LIST"),"",VLOOKUP(G1698,Students!$A:$C,2,FALSE))</f>
        <v/>
      </c>
      <c r="I1698" s="35">
        <f>IF(OR(G1698="",G1698="NOT ON LIST"),"",VLOOKUP(G1698,Students!$A:$C,3,FALSE)&amp;"")</f>
        <v/>
      </c>
    </row>
    <row r="1699">
      <c r="A1699" s="31" t="n"/>
      <c r="B1699" s="32" t="n"/>
      <c r="C1699" s="32" t="n"/>
      <c r="D1699" s="33" t="n"/>
      <c r="E1699" s="32" t="n"/>
      <c r="F1699" s="34">
        <f>IF(A1699="","",IFERROR(INT(A1699),"check date"))</f>
        <v/>
      </c>
      <c r="G1699" s="35">
        <f>IF(B1699="","",IFERROR(INDEX(Students!$A:$A,MATCH(TRIM(B1699),Students!$A:$A,0)),"NOT ON LIST"))</f>
        <v/>
      </c>
      <c r="H1699" s="35">
        <f>IF(OR(G1699="",G1699="NOT ON LIST"),"",VLOOKUP(G1699,Students!$A:$C,2,FALSE))</f>
        <v/>
      </c>
      <c r="I1699" s="35">
        <f>IF(OR(G1699="",G1699="NOT ON LIST"),"",VLOOKUP(G1699,Students!$A:$C,3,FALSE)&amp;"")</f>
        <v/>
      </c>
    </row>
    <row r="1700">
      <c r="A1700" s="31" t="n"/>
      <c r="B1700" s="32" t="n"/>
      <c r="C1700" s="32" t="n"/>
      <c r="D1700" s="33" t="n"/>
      <c r="E1700" s="32" t="n"/>
      <c r="F1700" s="34">
        <f>IF(A1700="","",IFERROR(INT(A1700),"check date"))</f>
        <v/>
      </c>
      <c r="G1700" s="35">
        <f>IF(B1700="","",IFERROR(INDEX(Students!$A:$A,MATCH(TRIM(B1700),Students!$A:$A,0)),"NOT ON LIST"))</f>
        <v/>
      </c>
      <c r="H1700" s="35">
        <f>IF(OR(G1700="",G1700="NOT ON LIST"),"",VLOOKUP(G1700,Students!$A:$C,2,FALSE))</f>
        <v/>
      </c>
      <c r="I1700" s="35">
        <f>IF(OR(G1700="",G1700="NOT ON LIST"),"",VLOOKUP(G1700,Students!$A:$C,3,FALSE)&amp;"")</f>
        <v/>
      </c>
    </row>
    <row r="1701">
      <c r="A1701" s="31" t="n"/>
      <c r="B1701" s="32" t="n"/>
      <c r="C1701" s="32" t="n"/>
      <c r="D1701" s="33" t="n"/>
      <c r="E1701" s="32" t="n"/>
      <c r="F1701" s="34">
        <f>IF(A1701="","",IFERROR(INT(A1701),"check date"))</f>
        <v/>
      </c>
      <c r="G1701" s="35">
        <f>IF(B1701="","",IFERROR(INDEX(Students!$A:$A,MATCH(TRIM(B1701),Students!$A:$A,0)),"NOT ON LIST"))</f>
        <v/>
      </c>
      <c r="H1701" s="35">
        <f>IF(OR(G1701="",G1701="NOT ON LIST"),"",VLOOKUP(G1701,Students!$A:$C,2,FALSE))</f>
        <v/>
      </c>
      <c r="I1701" s="35">
        <f>IF(OR(G1701="",G1701="NOT ON LIST"),"",VLOOKUP(G1701,Students!$A:$C,3,FALSE)&amp;"")</f>
        <v/>
      </c>
    </row>
    <row r="1702">
      <c r="A1702" s="31" t="n"/>
      <c r="B1702" s="32" t="n"/>
      <c r="C1702" s="32" t="n"/>
      <c r="D1702" s="33" t="n"/>
      <c r="E1702" s="32" t="n"/>
      <c r="F1702" s="34">
        <f>IF(A1702="","",IFERROR(INT(A1702),"check date"))</f>
        <v/>
      </c>
      <c r="G1702" s="35">
        <f>IF(B1702="","",IFERROR(INDEX(Students!$A:$A,MATCH(TRIM(B1702),Students!$A:$A,0)),"NOT ON LIST"))</f>
        <v/>
      </c>
      <c r="H1702" s="35">
        <f>IF(OR(G1702="",G1702="NOT ON LIST"),"",VLOOKUP(G1702,Students!$A:$C,2,FALSE))</f>
        <v/>
      </c>
      <c r="I1702" s="35">
        <f>IF(OR(G1702="",G1702="NOT ON LIST"),"",VLOOKUP(G1702,Students!$A:$C,3,FALSE)&amp;"")</f>
        <v/>
      </c>
    </row>
    <row r="1703">
      <c r="A1703" s="31" t="n"/>
      <c r="B1703" s="32" t="n"/>
      <c r="C1703" s="32" t="n"/>
      <c r="D1703" s="33" t="n"/>
      <c r="E1703" s="32" t="n"/>
      <c r="F1703" s="34">
        <f>IF(A1703="","",IFERROR(INT(A1703),"check date"))</f>
        <v/>
      </c>
      <c r="G1703" s="35">
        <f>IF(B1703="","",IFERROR(INDEX(Students!$A:$A,MATCH(TRIM(B1703),Students!$A:$A,0)),"NOT ON LIST"))</f>
        <v/>
      </c>
      <c r="H1703" s="35">
        <f>IF(OR(G1703="",G1703="NOT ON LIST"),"",VLOOKUP(G1703,Students!$A:$C,2,FALSE))</f>
        <v/>
      </c>
      <c r="I1703" s="35">
        <f>IF(OR(G1703="",G1703="NOT ON LIST"),"",VLOOKUP(G1703,Students!$A:$C,3,FALSE)&amp;"")</f>
        <v/>
      </c>
    </row>
    <row r="1704">
      <c r="A1704" s="31" t="n"/>
      <c r="B1704" s="32" t="n"/>
      <c r="C1704" s="32" t="n"/>
      <c r="D1704" s="33" t="n"/>
      <c r="E1704" s="32" t="n"/>
      <c r="F1704" s="34">
        <f>IF(A1704="","",IFERROR(INT(A1704),"check date"))</f>
        <v/>
      </c>
      <c r="G1704" s="35">
        <f>IF(B1704="","",IFERROR(INDEX(Students!$A:$A,MATCH(TRIM(B1704),Students!$A:$A,0)),"NOT ON LIST"))</f>
        <v/>
      </c>
      <c r="H1704" s="35">
        <f>IF(OR(G1704="",G1704="NOT ON LIST"),"",VLOOKUP(G1704,Students!$A:$C,2,FALSE))</f>
        <v/>
      </c>
      <c r="I1704" s="35">
        <f>IF(OR(G1704="",G1704="NOT ON LIST"),"",VLOOKUP(G1704,Students!$A:$C,3,FALSE)&amp;"")</f>
        <v/>
      </c>
    </row>
    <row r="1705">
      <c r="A1705" s="31" t="n"/>
      <c r="B1705" s="32" t="n"/>
      <c r="C1705" s="32" t="n"/>
      <c r="D1705" s="33" t="n"/>
      <c r="E1705" s="32" t="n"/>
      <c r="F1705" s="34">
        <f>IF(A1705="","",IFERROR(INT(A1705),"check date"))</f>
        <v/>
      </c>
      <c r="G1705" s="35">
        <f>IF(B1705="","",IFERROR(INDEX(Students!$A:$A,MATCH(TRIM(B1705),Students!$A:$A,0)),"NOT ON LIST"))</f>
        <v/>
      </c>
      <c r="H1705" s="35">
        <f>IF(OR(G1705="",G1705="NOT ON LIST"),"",VLOOKUP(G1705,Students!$A:$C,2,FALSE))</f>
        <v/>
      </c>
      <c r="I1705" s="35">
        <f>IF(OR(G1705="",G1705="NOT ON LIST"),"",VLOOKUP(G1705,Students!$A:$C,3,FALSE)&amp;"")</f>
        <v/>
      </c>
    </row>
    <row r="1706">
      <c r="A1706" s="31" t="n"/>
      <c r="B1706" s="32" t="n"/>
      <c r="C1706" s="32" t="n"/>
      <c r="D1706" s="33" t="n"/>
      <c r="E1706" s="32" t="n"/>
      <c r="F1706" s="34">
        <f>IF(A1706="","",IFERROR(INT(A1706),"check date"))</f>
        <v/>
      </c>
      <c r="G1706" s="35">
        <f>IF(B1706="","",IFERROR(INDEX(Students!$A:$A,MATCH(TRIM(B1706),Students!$A:$A,0)),"NOT ON LIST"))</f>
        <v/>
      </c>
      <c r="H1706" s="35">
        <f>IF(OR(G1706="",G1706="NOT ON LIST"),"",VLOOKUP(G1706,Students!$A:$C,2,FALSE))</f>
        <v/>
      </c>
      <c r="I1706" s="35">
        <f>IF(OR(G1706="",G1706="NOT ON LIST"),"",VLOOKUP(G1706,Students!$A:$C,3,FALSE)&amp;"")</f>
        <v/>
      </c>
    </row>
    <row r="1707">
      <c r="A1707" s="31" t="n"/>
      <c r="B1707" s="32" t="n"/>
      <c r="C1707" s="32" t="n"/>
      <c r="D1707" s="33" t="n"/>
      <c r="E1707" s="32" t="n"/>
      <c r="F1707" s="34">
        <f>IF(A1707="","",IFERROR(INT(A1707),"check date"))</f>
        <v/>
      </c>
      <c r="G1707" s="35">
        <f>IF(B1707="","",IFERROR(INDEX(Students!$A:$A,MATCH(TRIM(B1707),Students!$A:$A,0)),"NOT ON LIST"))</f>
        <v/>
      </c>
      <c r="H1707" s="35">
        <f>IF(OR(G1707="",G1707="NOT ON LIST"),"",VLOOKUP(G1707,Students!$A:$C,2,FALSE))</f>
        <v/>
      </c>
      <c r="I1707" s="35">
        <f>IF(OR(G1707="",G1707="NOT ON LIST"),"",VLOOKUP(G1707,Students!$A:$C,3,FALSE)&amp;"")</f>
        <v/>
      </c>
    </row>
    <row r="1708">
      <c r="A1708" s="31" t="n"/>
      <c r="B1708" s="32" t="n"/>
      <c r="C1708" s="32" t="n"/>
      <c r="D1708" s="33" t="n"/>
      <c r="E1708" s="32" t="n"/>
      <c r="F1708" s="34">
        <f>IF(A1708="","",IFERROR(INT(A1708),"check date"))</f>
        <v/>
      </c>
      <c r="G1708" s="35">
        <f>IF(B1708="","",IFERROR(INDEX(Students!$A:$A,MATCH(TRIM(B1708),Students!$A:$A,0)),"NOT ON LIST"))</f>
        <v/>
      </c>
      <c r="H1708" s="35">
        <f>IF(OR(G1708="",G1708="NOT ON LIST"),"",VLOOKUP(G1708,Students!$A:$C,2,FALSE))</f>
        <v/>
      </c>
      <c r="I1708" s="35">
        <f>IF(OR(G1708="",G1708="NOT ON LIST"),"",VLOOKUP(G1708,Students!$A:$C,3,FALSE)&amp;"")</f>
        <v/>
      </c>
    </row>
    <row r="1709">
      <c r="A1709" s="31" t="n"/>
      <c r="B1709" s="32" t="n"/>
      <c r="C1709" s="32" t="n"/>
      <c r="D1709" s="33" t="n"/>
      <c r="E1709" s="32" t="n"/>
      <c r="F1709" s="34">
        <f>IF(A1709="","",IFERROR(INT(A1709),"check date"))</f>
        <v/>
      </c>
      <c r="G1709" s="35">
        <f>IF(B1709="","",IFERROR(INDEX(Students!$A:$A,MATCH(TRIM(B1709),Students!$A:$A,0)),"NOT ON LIST"))</f>
        <v/>
      </c>
      <c r="H1709" s="35">
        <f>IF(OR(G1709="",G1709="NOT ON LIST"),"",VLOOKUP(G1709,Students!$A:$C,2,FALSE))</f>
        <v/>
      </c>
      <c r="I1709" s="35">
        <f>IF(OR(G1709="",G1709="NOT ON LIST"),"",VLOOKUP(G1709,Students!$A:$C,3,FALSE)&amp;"")</f>
        <v/>
      </c>
    </row>
    <row r="1710">
      <c r="A1710" s="31" t="n"/>
      <c r="B1710" s="32" t="n"/>
      <c r="C1710" s="32" t="n"/>
      <c r="D1710" s="33" t="n"/>
      <c r="E1710" s="32" t="n"/>
      <c r="F1710" s="34">
        <f>IF(A1710="","",IFERROR(INT(A1710),"check date"))</f>
        <v/>
      </c>
      <c r="G1710" s="35">
        <f>IF(B1710="","",IFERROR(INDEX(Students!$A:$A,MATCH(TRIM(B1710),Students!$A:$A,0)),"NOT ON LIST"))</f>
        <v/>
      </c>
      <c r="H1710" s="35">
        <f>IF(OR(G1710="",G1710="NOT ON LIST"),"",VLOOKUP(G1710,Students!$A:$C,2,FALSE))</f>
        <v/>
      </c>
      <c r="I1710" s="35">
        <f>IF(OR(G1710="",G1710="NOT ON LIST"),"",VLOOKUP(G1710,Students!$A:$C,3,FALSE)&amp;"")</f>
        <v/>
      </c>
    </row>
    <row r="1711">
      <c r="A1711" s="31" t="n"/>
      <c r="B1711" s="32" t="n"/>
      <c r="C1711" s="32" t="n"/>
      <c r="D1711" s="33" t="n"/>
      <c r="E1711" s="32" t="n"/>
      <c r="F1711" s="34">
        <f>IF(A1711="","",IFERROR(INT(A1711),"check date"))</f>
        <v/>
      </c>
      <c r="G1711" s="35">
        <f>IF(B1711="","",IFERROR(INDEX(Students!$A:$A,MATCH(TRIM(B1711),Students!$A:$A,0)),"NOT ON LIST"))</f>
        <v/>
      </c>
      <c r="H1711" s="35">
        <f>IF(OR(G1711="",G1711="NOT ON LIST"),"",VLOOKUP(G1711,Students!$A:$C,2,FALSE))</f>
        <v/>
      </c>
      <c r="I1711" s="35">
        <f>IF(OR(G1711="",G1711="NOT ON LIST"),"",VLOOKUP(G1711,Students!$A:$C,3,FALSE)&amp;"")</f>
        <v/>
      </c>
    </row>
    <row r="1712">
      <c r="A1712" s="31" t="n"/>
      <c r="B1712" s="32" t="n"/>
      <c r="C1712" s="32" t="n"/>
      <c r="D1712" s="33" t="n"/>
      <c r="E1712" s="32" t="n"/>
      <c r="F1712" s="34">
        <f>IF(A1712="","",IFERROR(INT(A1712),"check date"))</f>
        <v/>
      </c>
      <c r="G1712" s="35">
        <f>IF(B1712="","",IFERROR(INDEX(Students!$A:$A,MATCH(TRIM(B1712),Students!$A:$A,0)),"NOT ON LIST"))</f>
        <v/>
      </c>
      <c r="H1712" s="35">
        <f>IF(OR(G1712="",G1712="NOT ON LIST"),"",VLOOKUP(G1712,Students!$A:$C,2,FALSE))</f>
        <v/>
      </c>
      <c r="I1712" s="35">
        <f>IF(OR(G1712="",G1712="NOT ON LIST"),"",VLOOKUP(G1712,Students!$A:$C,3,FALSE)&amp;"")</f>
        <v/>
      </c>
    </row>
    <row r="1713">
      <c r="A1713" s="31" t="n"/>
      <c r="B1713" s="32" t="n"/>
      <c r="C1713" s="32" t="n"/>
      <c r="D1713" s="33" t="n"/>
      <c r="E1713" s="32" t="n"/>
      <c r="F1713" s="34">
        <f>IF(A1713="","",IFERROR(INT(A1713),"check date"))</f>
        <v/>
      </c>
      <c r="G1713" s="35">
        <f>IF(B1713="","",IFERROR(INDEX(Students!$A:$A,MATCH(TRIM(B1713),Students!$A:$A,0)),"NOT ON LIST"))</f>
        <v/>
      </c>
      <c r="H1713" s="35">
        <f>IF(OR(G1713="",G1713="NOT ON LIST"),"",VLOOKUP(G1713,Students!$A:$C,2,FALSE))</f>
        <v/>
      </c>
      <c r="I1713" s="35">
        <f>IF(OR(G1713="",G1713="NOT ON LIST"),"",VLOOKUP(G1713,Students!$A:$C,3,FALSE)&amp;"")</f>
        <v/>
      </c>
    </row>
    <row r="1714">
      <c r="A1714" s="31" t="n"/>
      <c r="B1714" s="32" t="n"/>
      <c r="C1714" s="32" t="n"/>
      <c r="D1714" s="33" t="n"/>
      <c r="E1714" s="32" t="n"/>
      <c r="F1714" s="34">
        <f>IF(A1714="","",IFERROR(INT(A1714),"check date"))</f>
        <v/>
      </c>
      <c r="G1714" s="35">
        <f>IF(B1714="","",IFERROR(INDEX(Students!$A:$A,MATCH(TRIM(B1714),Students!$A:$A,0)),"NOT ON LIST"))</f>
        <v/>
      </c>
      <c r="H1714" s="35">
        <f>IF(OR(G1714="",G1714="NOT ON LIST"),"",VLOOKUP(G1714,Students!$A:$C,2,FALSE))</f>
        <v/>
      </c>
      <c r="I1714" s="35">
        <f>IF(OR(G1714="",G1714="NOT ON LIST"),"",VLOOKUP(G1714,Students!$A:$C,3,FALSE)&amp;"")</f>
        <v/>
      </c>
    </row>
    <row r="1715">
      <c r="A1715" s="31" t="n"/>
      <c r="B1715" s="32" t="n"/>
      <c r="C1715" s="32" t="n"/>
      <c r="D1715" s="33" t="n"/>
      <c r="E1715" s="32" t="n"/>
      <c r="F1715" s="34">
        <f>IF(A1715="","",IFERROR(INT(A1715),"check date"))</f>
        <v/>
      </c>
      <c r="G1715" s="35">
        <f>IF(B1715="","",IFERROR(INDEX(Students!$A:$A,MATCH(TRIM(B1715),Students!$A:$A,0)),"NOT ON LIST"))</f>
        <v/>
      </c>
      <c r="H1715" s="35">
        <f>IF(OR(G1715="",G1715="NOT ON LIST"),"",VLOOKUP(G1715,Students!$A:$C,2,FALSE))</f>
        <v/>
      </c>
      <c r="I1715" s="35">
        <f>IF(OR(G1715="",G1715="NOT ON LIST"),"",VLOOKUP(G1715,Students!$A:$C,3,FALSE)&amp;"")</f>
        <v/>
      </c>
    </row>
    <row r="1716">
      <c r="A1716" s="31" t="n"/>
      <c r="B1716" s="32" t="n"/>
      <c r="C1716" s="32" t="n"/>
      <c r="D1716" s="33" t="n"/>
      <c r="E1716" s="32" t="n"/>
      <c r="F1716" s="34">
        <f>IF(A1716="","",IFERROR(INT(A1716),"check date"))</f>
        <v/>
      </c>
      <c r="G1716" s="35">
        <f>IF(B1716="","",IFERROR(INDEX(Students!$A:$A,MATCH(TRIM(B1716),Students!$A:$A,0)),"NOT ON LIST"))</f>
        <v/>
      </c>
      <c r="H1716" s="35">
        <f>IF(OR(G1716="",G1716="NOT ON LIST"),"",VLOOKUP(G1716,Students!$A:$C,2,FALSE))</f>
        <v/>
      </c>
      <c r="I1716" s="35">
        <f>IF(OR(G1716="",G1716="NOT ON LIST"),"",VLOOKUP(G1716,Students!$A:$C,3,FALSE)&amp;"")</f>
        <v/>
      </c>
    </row>
    <row r="1717">
      <c r="A1717" s="31" t="n"/>
      <c r="B1717" s="32" t="n"/>
      <c r="C1717" s="32" t="n"/>
      <c r="D1717" s="33" t="n"/>
      <c r="E1717" s="32" t="n"/>
      <c r="F1717" s="34">
        <f>IF(A1717="","",IFERROR(INT(A1717),"check date"))</f>
        <v/>
      </c>
      <c r="G1717" s="35">
        <f>IF(B1717="","",IFERROR(INDEX(Students!$A:$A,MATCH(TRIM(B1717),Students!$A:$A,0)),"NOT ON LIST"))</f>
        <v/>
      </c>
      <c r="H1717" s="35">
        <f>IF(OR(G1717="",G1717="NOT ON LIST"),"",VLOOKUP(G1717,Students!$A:$C,2,FALSE))</f>
        <v/>
      </c>
      <c r="I1717" s="35">
        <f>IF(OR(G1717="",G1717="NOT ON LIST"),"",VLOOKUP(G1717,Students!$A:$C,3,FALSE)&amp;"")</f>
        <v/>
      </c>
    </row>
    <row r="1718">
      <c r="A1718" s="31" t="n"/>
      <c r="B1718" s="32" t="n"/>
      <c r="C1718" s="32" t="n"/>
      <c r="D1718" s="33" t="n"/>
      <c r="E1718" s="32" t="n"/>
      <c r="F1718" s="34">
        <f>IF(A1718="","",IFERROR(INT(A1718),"check date"))</f>
        <v/>
      </c>
      <c r="G1718" s="35">
        <f>IF(B1718="","",IFERROR(INDEX(Students!$A:$A,MATCH(TRIM(B1718),Students!$A:$A,0)),"NOT ON LIST"))</f>
        <v/>
      </c>
      <c r="H1718" s="35">
        <f>IF(OR(G1718="",G1718="NOT ON LIST"),"",VLOOKUP(G1718,Students!$A:$C,2,FALSE))</f>
        <v/>
      </c>
      <c r="I1718" s="35">
        <f>IF(OR(G1718="",G1718="NOT ON LIST"),"",VLOOKUP(G1718,Students!$A:$C,3,FALSE)&amp;"")</f>
        <v/>
      </c>
    </row>
    <row r="1719">
      <c r="A1719" s="31" t="n"/>
      <c r="B1719" s="32" t="n"/>
      <c r="C1719" s="32" t="n"/>
      <c r="D1719" s="33" t="n"/>
      <c r="E1719" s="32" t="n"/>
      <c r="F1719" s="34">
        <f>IF(A1719="","",IFERROR(INT(A1719),"check date"))</f>
        <v/>
      </c>
      <c r="G1719" s="35">
        <f>IF(B1719="","",IFERROR(INDEX(Students!$A:$A,MATCH(TRIM(B1719),Students!$A:$A,0)),"NOT ON LIST"))</f>
        <v/>
      </c>
      <c r="H1719" s="35">
        <f>IF(OR(G1719="",G1719="NOT ON LIST"),"",VLOOKUP(G1719,Students!$A:$C,2,FALSE))</f>
        <v/>
      </c>
      <c r="I1719" s="35">
        <f>IF(OR(G1719="",G1719="NOT ON LIST"),"",VLOOKUP(G1719,Students!$A:$C,3,FALSE)&amp;"")</f>
        <v/>
      </c>
    </row>
    <row r="1720">
      <c r="A1720" s="31" t="n"/>
      <c r="B1720" s="32" t="n"/>
      <c r="C1720" s="32" t="n"/>
      <c r="D1720" s="33" t="n"/>
      <c r="E1720" s="32" t="n"/>
      <c r="F1720" s="34">
        <f>IF(A1720="","",IFERROR(INT(A1720),"check date"))</f>
        <v/>
      </c>
      <c r="G1720" s="35">
        <f>IF(B1720="","",IFERROR(INDEX(Students!$A:$A,MATCH(TRIM(B1720),Students!$A:$A,0)),"NOT ON LIST"))</f>
        <v/>
      </c>
      <c r="H1720" s="35">
        <f>IF(OR(G1720="",G1720="NOT ON LIST"),"",VLOOKUP(G1720,Students!$A:$C,2,FALSE))</f>
        <v/>
      </c>
      <c r="I1720" s="35">
        <f>IF(OR(G1720="",G1720="NOT ON LIST"),"",VLOOKUP(G1720,Students!$A:$C,3,FALSE)&amp;"")</f>
        <v/>
      </c>
    </row>
    <row r="1721">
      <c r="A1721" s="31" t="n"/>
      <c r="B1721" s="32" t="n"/>
      <c r="C1721" s="32" t="n"/>
      <c r="D1721" s="33" t="n"/>
      <c r="E1721" s="32" t="n"/>
      <c r="F1721" s="34">
        <f>IF(A1721="","",IFERROR(INT(A1721),"check date"))</f>
        <v/>
      </c>
      <c r="G1721" s="35">
        <f>IF(B1721="","",IFERROR(INDEX(Students!$A:$A,MATCH(TRIM(B1721),Students!$A:$A,0)),"NOT ON LIST"))</f>
        <v/>
      </c>
      <c r="H1721" s="35">
        <f>IF(OR(G1721="",G1721="NOT ON LIST"),"",VLOOKUP(G1721,Students!$A:$C,2,FALSE))</f>
        <v/>
      </c>
      <c r="I1721" s="35">
        <f>IF(OR(G1721="",G1721="NOT ON LIST"),"",VLOOKUP(G1721,Students!$A:$C,3,FALSE)&amp;"")</f>
        <v/>
      </c>
    </row>
    <row r="1722">
      <c r="A1722" s="31" t="n"/>
      <c r="B1722" s="32" t="n"/>
      <c r="C1722" s="32" t="n"/>
      <c r="D1722" s="33" t="n"/>
      <c r="E1722" s="32" t="n"/>
      <c r="F1722" s="34">
        <f>IF(A1722="","",IFERROR(INT(A1722),"check date"))</f>
        <v/>
      </c>
      <c r="G1722" s="35">
        <f>IF(B1722="","",IFERROR(INDEX(Students!$A:$A,MATCH(TRIM(B1722),Students!$A:$A,0)),"NOT ON LIST"))</f>
        <v/>
      </c>
      <c r="H1722" s="35">
        <f>IF(OR(G1722="",G1722="NOT ON LIST"),"",VLOOKUP(G1722,Students!$A:$C,2,FALSE))</f>
        <v/>
      </c>
      <c r="I1722" s="35">
        <f>IF(OR(G1722="",G1722="NOT ON LIST"),"",VLOOKUP(G1722,Students!$A:$C,3,FALSE)&amp;"")</f>
        <v/>
      </c>
    </row>
    <row r="1723">
      <c r="A1723" s="31" t="n"/>
      <c r="B1723" s="32" t="n"/>
      <c r="C1723" s="32" t="n"/>
      <c r="D1723" s="33" t="n"/>
      <c r="E1723" s="32" t="n"/>
      <c r="F1723" s="34">
        <f>IF(A1723="","",IFERROR(INT(A1723),"check date"))</f>
        <v/>
      </c>
      <c r="G1723" s="35">
        <f>IF(B1723="","",IFERROR(INDEX(Students!$A:$A,MATCH(TRIM(B1723),Students!$A:$A,0)),"NOT ON LIST"))</f>
        <v/>
      </c>
      <c r="H1723" s="35">
        <f>IF(OR(G1723="",G1723="NOT ON LIST"),"",VLOOKUP(G1723,Students!$A:$C,2,FALSE))</f>
        <v/>
      </c>
      <c r="I1723" s="35">
        <f>IF(OR(G1723="",G1723="NOT ON LIST"),"",VLOOKUP(G1723,Students!$A:$C,3,FALSE)&amp;"")</f>
        <v/>
      </c>
    </row>
    <row r="1724">
      <c r="A1724" s="31" t="n"/>
      <c r="B1724" s="32" t="n"/>
      <c r="C1724" s="32" t="n"/>
      <c r="D1724" s="33" t="n"/>
      <c r="E1724" s="32" t="n"/>
      <c r="F1724" s="34">
        <f>IF(A1724="","",IFERROR(INT(A1724),"check date"))</f>
        <v/>
      </c>
      <c r="G1724" s="35">
        <f>IF(B1724="","",IFERROR(INDEX(Students!$A:$A,MATCH(TRIM(B1724),Students!$A:$A,0)),"NOT ON LIST"))</f>
        <v/>
      </c>
      <c r="H1724" s="35">
        <f>IF(OR(G1724="",G1724="NOT ON LIST"),"",VLOOKUP(G1724,Students!$A:$C,2,FALSE))</f>
        <v/>
      </c>
      <c r="I1724" s="35">
        <f>IF(OR(G1724="",G1724="NOT ON LIST"),"",VLOOKUP(G1724,Students!$A:$C,3,FALSE)&amp;"")</f>
        <v/>
      </c>
    </row>
    <row r="1725">
      <c r="A1725" s="31" t="n"/>
      <c r="B1725" s="32" t="n"/>
      <c r="C1725" s="32" t="n"/>
      <c r="D1725" s="33" t="n"/>
      <c r="E1725" s="32" t="n"/>
      <c r="F1725" s="34">
        <f>IF(A1725="","",IFERROR(INT(A1725),"check date"))</f>
        <v/>
      </c>
      <c r="G1725" s="35">
        <f>IF(B1725="","",IFERROR(INDEX(Students!$A:$A,MATCH(TRIM(B1725),Students!$A:$A,0)),"NOT ON LIST"))</f>
        <v/>
      </c>
      <c r="H1725" s="35">
        <f>IF(OR(G1725="",G1725="NOT ON LIST"),"",VLOOKUP(G1725,Students!$A:$C,2,FALSE))</f>
        <v/>
      </c>
      <c r="I1725" s="35">
        <f>IF(OR(G1725="",G1725="NOT ON LIST"),"",VLOOKUP(G1725,Students!$A:$C,3,FALSE)&amp;"")</f>
        <v/>
      </c>
    </row>
    <row r="1726">
      <c r="A1726" s="31" t="n"/>
      <c r="B1726" s="32" t="n"/>
      <c r="C1726" s="32" t="n"/>
      <c r="D1726" s="33" t="n"/>
      <c r="E1726" s="32" t="n"/>
      <c r="F1726" s="34">
        <f>IF(A1726="","",IFERROR(INT(A1726),"check date"))</f>
        <v/>
      </c>
      <c r="G1726" s="35">
        <f>IF(B1726="","",IFERROR(INDEX(Students!$A:$A,MATCH(TRIM(B1726),Students!$A:$A,0)),"NOT ON LIST"))</f>
        <v/>
      </c>
      <c r="H1726" s="35">
        <f>IF(OR(G1726="",G1726="NOT ON LIST"),"",VLOOKUP(G1726,Students!$A:$C,2,FALSE))</f>
        <v/>
      </c>
      <c r="I1726" s="35">
        <f>IF(OR(G1726="",G1726="NOT ON LIST"),"",VLOOKUP(G1726,Students!$A:$C,3,FALSE)&amp;"")</f>
        <v/>
      </c>
    </row>
    <row r="1727">
      <c r="A1727" s="31" t="n"/>
      <c r="B1727" s="32" t="n"/>
      <c r="C1727" s="32" t="n"/>
      <c r="D1727" s="33" t="n"/>
      <c r="E1727" s="32" t="n"/>
      <c r="F1727" s="34">
        <f>IF(A1727="","",IFERROR(INT(A1727),"check date"))</f>
        <v/>
      </c>
      <c r="G1727" s="35">
        <f>IF(B1727="","",IFERROR(INDEX(Students!$A:$A,MATCH(TRIM(B1727),Students!$A:$A,0)),"NOT ON LIST"))</f>
        <v/>
      </c>
      <c r="H1727" s="35">
        <f>IF(OR(G1727="",G1727="NOT ON LIST"),"",VLOOKUP(G1727,Students!$A:$C,2,FALSE))</f>
        <v/>
      </c>
      <c r="I1727" s="35">
        <f>IF(OR(G1727="",G1727="NOT ON LIST"),"",VLOOKUP(G1727,Students!$A:$C,3,FALSE)&amp;"")</f>
        <v/>
      </c>
    </row>
    <row r="1728">
      <c r="A1728" s="31" t="n"/>
      <c r="B1728" s="32" t="n"/>
      <c r="C1728" s="32" t="n"/>
      <c r="D1728" s="33" t="n"/>
      <c r="E1728" s="32" t="n"/>
      <c r="F1728" s="34">
        <f>IF(A1728="","",IFERROR(INT(A1728),"check date"))</f>
        <v/>
      </c>
      <c r="G1728" s="35">
        <f>IF(B1728="","",IFERROR(INDEX(Students!$A:$A,MATCH(TRIM(B1728),Students!$A:$A,0)),"NOT ON LIST"))</f>
        <v/>
      </c>
      <c r="H1728" s="35">
        <f>IF(OR(G1728="",G1728="NOT ON LIST"),"",VLOOKUP(G1728,Students!$A:$C,2,FALSE))</f>
        <v/>
      </c>
      <c r="I1728" s="35">
        <f>IF(OR(G1728="",G1728="NOT ON LIST"),"",VLOOKUP(G1728,Students!$A:$C,3,FALSE)&amp;"")</f>
        <v/>
      </c>
    </row>
    <row r="1729">
      <c r="A1729" s="31" t="n"/>
      <c r="B1729" s="32" t="n"/>
      <c r="C1729" s="32" t="n"/>
      <c r="D1729" s="33" t="n"/>
      <c r="E1729" s="32" t="n"/>
      <c r="F1729" s="34">
        <f>IF(A1729="","",IFERROR(INT(A1729),"check date"))</f>
        <v/>
      </c>
      <c r="G1729" s="35">
        <f>IF(B1729="","",IFERROR(INDEX(Students!$A:$A,MATCH(TRIM(B1729),Students!$A:$A,0)),"NOT ON LIST"))</f>
        <v/>
      </c>
      <c r="H1729" s="35">
        <f>IF(OR(G1729="",G1729="NOT ON LIST"),"",VLOOKUP(G1729,Students!$A:$C,2,FALSE))</f>
        <v/>
      </c>
      <c r="I1729" s="35">
        <f>IF(OR(G1729="",G1729="NOT ON LIST"),"",VLOOKUP(G1729,Students!$A:$C,3,FALSE)&amp;"")</f>
        <v/>
      </c>
    </row>
    <row r="1730">
      <c r="A1730" s="31" t="n"/>
      <c r="B1730" s="32" t="n"/>
      <c r="C1730" s="32" t="n"/>
      <c r="D1730" s="33" t="n"/>
      <c r="E1730" s="32" t="n"/>
      <c r="F1730" s="34">
        <f>IF(A1730="","",IFERROR(INT(A1730),"check date"))</f>
        <v/>
      </c>
      <c r="G1730" s="35">
        <f>IF(B1730="","",IFERROR(INDEX(Students!$A:$A,MATCH(TRIM(B1730),Students!$A:$A,0)),"NOT ON LIST"))</f>
        <v/>
      </c>
      <c r="H1730" s="35">
        <f>IF(OR(G1730="",G1730="NOT ON LIST"),"",VLOOKUP(G1730,Students!$A:$C,2,FALSE))</f>
        <v/>
      </c>
      <c r="I1730" s="35">
        <f>IF(OR(G1730="",G1730="NOT ON LIST"),"",VLOOKUP(G1730,Students!$A:$C,3,FALSE)&amp;"")</f>
        <v/>
      </c>
    </row>
    <row r="1731">
      <c r="A1731" s="31" t="n"/>
      <c r="B1731" s="32" t="n"/>
      <c r="C1731" s="32" t="n"/>
      <c r="D1731" s="33" t="n"/>
      <c r="E1731" s="32" t="n"/>
      <c r="F1731" s="34">
        <f>IF(A1731="","",IFERROR(INT(A1731),"check date"))</f>
        <v/>
      </c>
      <c r="G1731" s="35">
        <f>IF(B1731="","",IFERROR(INDEX(Students!$A:$A,MATCH(TRIM(B1731),Students!$A:$A,0)),"NOT ON LIST"))</f>
        <v/>
      </c>
      <c r="H1731" s="35">
        <f>IF(OR(G1731="",G1731="NOT ON LIST"),"",VLOOKUP(G1731,Students!$A:$C,2,FALSE))</f>
        <v/>
      </c>
      <c r="I1731" s="35">
        <f>IF(OR(G1731="",G1731="NOT ON LIST"),"",VLOOKUP(G1731,Students!$A:$C,3,FALSE)&amp;"")</f>
        <v/>
      </c>
    </row>
    <row r="1732">
      <c r="A1732" s="31" t="n"/>
      <c r="B1732" s="32" t="n"/>
      <c r="C1732" s="32" t="n"/>
      <c r="D1732" s="33" t="n"/>
      <c r="E1732" s="32" t="n"/>
      <c r="F1732" s="34">
        <f>IF(A1732="","",IFERROR(INT(A1732),"check date"))</f>
        <v/>
      </c>
      <c r="G1732" s="35">
        <f>IF(B1732="","",IFERROR(INDEX(Students!$A:$A,MATCH(TRIM(B1732),Students!$A:$A,0)),"NOT ON LIST"))</f>
        <v/>
      </c>
      <c r="H1732" s="35">
        <f>IF(OR(G1732="",G1732="NOT ON LIST"),"",VLOOKUP(G1732,Students!$A:$C,2,FALSE))</f>
        <v/>
      </c>
      <c r="I1732" s="35">
        <f>IF(OR(G1732="",G1732="NOT ON LIST"),"",VLOOKUP(G1732,Students!$A:$C,3,FALSE)&amp;"")</f>
        <v/>
      </c>
    </row>
    <row r="1733">
      <c r="A1733" s="31" t="n"/>
      <c r="B1733" s="32" t="n"/>
      <c r="C1733" s="32" t="n"/>
      <c r="D1733" s="33" t="n"/>
      <c r="E1733" s="32" t="n"/>
      <c r="F1733" s="34">
        <f>IF(A1733="","",IFERROR(INT(A1733),"check date"))</f>
        <v/>
      </c>
      <c r="G1733" s="35">
        <f>IF(B1733="","",IFERROR(INDEX(Students!$A:$A,MATCH(TRIM(B1733),Students!$A:$A,0)),"NOT ON LIST"))</f>
        <v/>
      </c>
      <c r="H1733" s="35">
        <f>IF(OR(G1733="",G1733="NOT ON LIST"),"",VLOOKUP(G1733,Students!$A:$C,2,FALSE))</f>
        <v/>
      </c>
      <c r="I1733" s="35">
        <f>IF(OR(G1733="",G1733="NOT ON LIST"),"",VLOOKUP(G1733,Students!$A:$C,3,FALSE)&amp;"")</f>
        <v/>
      </c>
    </row>
    <row r="1734">
      <c r="A1734" s="31" t="n"/>
      <c r="B1734" s="32" t="n"/>
      <c r="C1734" s="32" t="n"/>
      <c r="D1734" s="33" t="n"/>
      <c r="E1734" s="32" t="n"/>
      <c r="F1734" s="34">
        <f>IF(A1734="","",IFERROR(INT(A1734),"check date"))</f>
        <v/>
      </c>
      <c r="G1734" s="35">
        <f>IF(B1734="","",IFERROR(INDEX(Students!$A:$A,MATCH(TRIM(B1734),Students!$A:$A,0)),"NOT ON LIST"))</f>
        <v/>
      </c>
      <c r="H1734" s="35">
        <f>IF(OR(G1734="",G1734="NOT ON LIST"),"",VLOOKUP(G1734,Students!$A:$C,2,FALSE))</f>
        <v/>
      </c>
      <c r="I1734" s="35">
        <f>IF(OR(G1734="",G1734="NOT ON LIST"),"",VLOOKUP(G1734,Students!$A:$C,3,FALSE)&amp;"")</f>
        <v/>
      </c>
    </row>
    <row r="1735">
      <c r="A1735" s="31" t="n"/>
      <c r="B1735" s="32" t="n"/>
      <c r="C1735" s="32" t="n"/>
      <c r="D1735" s="33" t="n"/>
      <c r="E1735" s="32" t="n"/>
      <c r="F1735" s="34">
        <f>IF(A1735="","",IFERROR(INT(A1735),"check date"))</f>
        <v/>
      </c>
      <c r="G1735" s="35">
        <f>IF(B1735="","",IFERROR(INDEX(Students!$A:$A,MATCH(TRIM(B1735),Students!$A:$A,0)),"NOT ON LIST"))</f>
        <v/>
      </c>
      <c r="H1735" s="35">
        <f>IF(OR(G1735="",G1735="NOT ON LIST"),"",VLOOKUP(G1735,Students!$A:$C,2,FALSE))</f>
        <v/>
      </c>
      <c r="I1735" s="35">
        <f>IF(OR(G1735="",G1735="NOT ON LIST"),"",VLOOKUP(G1735,Students!$A:$C,3,FALSE)&amp;"")</f>
        <v/>
      </c>
    </row>
    <row r="1736">
      <c r="A1736" s="31" t="n"/>
      <c r="B1736" s="32" t="n"/>
      <c r="C1736" s="32" t="n"/>
      <c r="D1736" s="33" t="n"/>
      <c r="E1736" s="32" t="n"/>
      <c r="F1736" s="34">
        <f>IF(A1736="","",IFERROR(INT(A1736),"check date"))</f>
        <v/>
      </c>
      <c r="G1736" s="35">
        <f>IF(B1736="","",IFERROR(INDEX(Students!$A:$A,MATCH(TRIM(B1736),Students!$A:$A,0)),"NOT ON LIST"))</f>
        <v/>
      </c>
      <c r="H1736" s="35">
        <f>IF(OR(G1736="",G1736="NOT ON LIST"),"",VLOOKUP(G1736,Students!$A:$C,2,FALSE))</f>
        <v/>
      </c>
      <c r="I1736" s="35">
        <f>IF(OR(G1736="",G1736="NOT ON LIST"),"",VLOOKUP(G1736,Students!$A:$C,3,FALSE)&amp;"")</f>
        <v/>
      </c>
    </row>
    <row r="1737">
      <c r="A1737" s="31" t="n"/>
      <c r="B1737" s="32" t="n"/>
      <c r="C1737" s="32" t="n"/>
      <c r="D1737" s="33" t="n"/>
      <c r="E1737" s="32" t="n"/>
      <c r="F1737" s="34">
        <f>IF(A1737="","",IFERROR(INT(A1737),"check date"))</f>
        <v/>
      </c>
      <c r="G1737" s="35">
        <f>IF(B1737="","",IFERROR(INDEX(Students!$A:$A,MATCH(TRIM(B1737),Students!$A:$A,0)),"NOT ON LIST"))</f>
        <v/>
      </c>
      <c r="H1737" s="35">
        <f>IF(OR(G1737="",G1737="NOT ON LIST"),"",VLOOKUP(G1737,Students!$A:$C,2,FALSE))</f>
        <v/>
      </c>
      <c r="I1737" s="35">
        <f>IF(OR(G1737="",G1737="NOT ON LIST"),"",VLOOKUP(G1737,Students!$A:$C,3,FALSE)&amp;"")</f>
        <v/>
      </c>
    </row>
    <row r="1738">
      <c r="A1738" s="31" t="n"/>
      <c r="B1738" s="32" t="n"/>
      <c r="C1738" s="32" t="n"/>
      <c r="D1738" s="33" t="n"/>
      <c r="E1738" s="32" t="n"/>
      <c r="F1738" s="34">
        <f>IF(A1738="","",IFERROR(INT(A1738),"check date"))</f>
        <v/>
      </c>
      <c r="G1738" s="35">
        <f>IF(B1738="","",IFERROR(INDEX(Students!$A:$A,MATCH(TRIM(B1738),Students!$A:$A,0)),"NOT ON LIST"))</f>
        <v/>
      </c>
      <c r="H1738" s="35">
        <f>IF(OR(G1738="",G1738="NOT ON LIST"),"",VLOOKUP(G1738,Students!$A:$C,2,FALSE))</f>
        <v/>
      </c>
      <c r="I1738" s="35">
        <f>IF(OR(G1738="",G1738="NOT ON LIST"),"",VLOOKUP(G1738,Students!$A:$C,3,FALSE)&amp;"")</f>
        <v/>
      </c>
    </row>
    <row r="1739">
      <c r="A1739" s="31" t="n"/>
      <c r="B1739" s="32" t="n"/>
      <c r="C1739" s="32" t="n"/>
      <c r="D1739" s="33" t="n"/>
      <c r="E1739" s="32" t="n"/>
      <c r="F1739" s="34">
        <f>IF(A1739="","",IFERROR(INT(A1739),"check date"))</f>
        <v/>
      </c>
      <c r="G1739" s="35">
        <f>IF(B1739="","",IFERROR(INDEX(Students!$A:$A,MATCH(TRIM(B1739),Students!$A:$A,0)),"NOT ON LIST"))</f>
        <v/>
      </c>
      <c r="H1739" s="35">
        <f>IF(OR(G1739="",G1739="NOT ON LIST"),"",VLOOKUP(G1739,Students!$A:$C,2,FALSE))</f>
        <v/>
      </c>
      <c r="I1739" s="35">
        <f>IF(OR(G1739="",G1739="NOT ON LIST"),"",VLOOKUP(G1739,Students!$A:$C,3,FALSE)&amp;"")</f>
        <v/>
      </c>
    </row>
    <row r="1740">
      <c r="A1740" s="31" t="n"/>
      <c r="B1740" s="32" t="n"/>
      <c r="C1740" s="32" t="n"/>
      <c r="D1740" s="33" t="n"/>
      <c r="E1740" s="32" t="n"/>
      <c r="F1740" s="34">
        <f>IF(A1740="","",IFERROR(INT(A1740),"check date"))</f>
        <v/>
      </c>
      <c r="G1740" s="35">
        <f>IF(B1740="","",IFERROR(INDEX(Students!$A:$A,MATCH(TRIM(B1740),Students!$A:$A,0)),"NOT ON LIST"))</f>
        <v/>
      </c>
      <c r="H1740" s="35">
        <f>IF(OR(G1740="",G1740="NOT ON LIST"),"",VLOOKUP(G1740,Students!$A:$C,2,FALSE))</f>
        <v/>
      </c>
      <c r="I1740" s="35">
        <f>IF(OR(G1740="",G1740="NOT ON LIST"),"",VLOOKUP(G1740,Students!$A:$C,3,FALSE)&amp;"")</f>
        <v/>
      </c>
    </row>
    <row r="1741">
      <c r="A1741" s="31" t="n"/>
      <c r="B1741" s="32" t="n"/>
      <c r="C1741" s="32" t="n"/>
      <c r="D1741" s="33" t="n"/>
      <c r="E1741" s="32" t="n"/>
      <c r="F1741" s="34">
        <f>IF(A1741="","",IFERROR(INT(A1741),"check date"))</f>
        <v/>
      </c>
      <c r="G1741" s="35">
        <f>IF(B1741="","",IFERROR(INDEX(Students!$A:$A,MATCH(TRIM(B1741),Students!$A:$A,0)),"NOT ON LIST"))</f>
        <v/>
      </c>
      <c r="H1741" s="35">
        <f>IF(OR(G1741="",G1741="NOT ON LIST"),"",VLOOKUP(G1741,Students!$A:$C,2,FALSE))</f>
        <v/>
      </c>
      <c r="I1741" s="35">
        <f>IF(OR(G1741="",G1741="NOT ON LIST"),"",VLOOKUP(G1741,Students!$A:$C,3,FALSE)&amp;"")</f>
        <v/>
      </c>
    </row>
    <row r="1742">
      <c r="A1742" s="31" t="n"/>
      <c r="B1742" s="32" t="n"/>
      <c r="C1742" s="32" t="n"/>
      <c r="D1742" s="33" t="n"/>
      <c r="E1742" s="32" t="n"/>
      <c r="F1742" s="34">
        <f>IF(A1742="","",IFERROR(INT(A1742),"check date"))</f>
        <v/>
      </c>
      <c r="G1742" s="35">
        <f>IF(B1742="","",IFERROR(INDEX(Students!$A:$A,MATCH(TRIM(B1742),Students!$A:$A,0)),"NOT ON LIST"))</f>
        <v/>
      </c>
      <c r="H1742" s="35">
        <f>IF(OR(G1742="",G1742="NOT ON LIST"),"",VLOOKUP(G1742,Students!$A:$C,2,FALSE))</f>
        <v/>
      </c>
      <c r="I1742" s="35">
        <f>IF(OR(G1742="",G1742="NOT ON LIST"),"",VLOOKUP(G1742,Students!$A:$C,3,FALSE)&amp;"")</f>
        <v/>
      </c>
    </row>
    <row r="1743">
      <c r="A1743" s="31" t="n"/>
      <c r="B1743" s="32" t="n"/>
      <c r="C1743" s="32" t="n"/>
      <c r="D1743" s="33" t="n"/>
      <c r="E1743" s="32" t="n"/>
      <c r="F1743" s="34">
        <f>IF(A1743="","",IFERROR(INT(A1743),"check date"))</f>
        <v/>
      </c>
      <c r="G1743" s="35">
        <f>IF(B1743="","",IFERROR(INDEX(Students!$A:$A,MATCH(TRIM(B1743),Students!$A:$A,0)),"NOT ON LIST"))</f>
        <v/>
      </c>
      <c r="H1743" s="35">
        <f>IF(OR(G1743="",G1743="NOT ON LIST"),"",VLOOKUP(G1743,Students!$A:$C,2,FALSE))</f>
        <v/>
      </c>
      <c r="I1743" s="35">
        <f>IF(OR(G1743="",G1743="NOT ON LIST"),"",VLOOKUP(G1743,Students!$A:$C,3,FALSE)&amp;"")</f>
        <v/>
      </c>
    </row>
    <row r="1744">
      <c r="A1744" s="31" t="n"/>
      <c r="B1744" s="32" t="n"/>
      <c r="C1744" s="32" t="n"/>
      <c r="D1744" s="33" t="n"/>
      <c r="E1744" s="32" t="n"/>
      <c r="F1744" s="34">
        <f>IF(A1744="","",IFERROR(INT(A1744),"check date"))</f>
        <v/>
      </c>
      <c r="G1744" s="35">
        <f>IF(B1744="","",IFERROR(INDEX(Students!$A:$A,MATCH(TRIM(B1744),Students!$A:$A,0)),"NOT ON LIST"))</f>
        <v/>
      </c>
      <c r="H1744" s="35">
        <f>IF(OR(G1744="",G1744="NOT ON LIST"),"",VLOOKUP(G1744,Students!$A:$C,2,FALSE))</f>
        <v/>
      </c>
      <c r="I1744" s="35">
        <f>IF(OR(G1744="",G1744="NOT ON LIST"),"",VLOOKUP(G1744,Students!$A:$C,3,FALSE)&amp;"")</f>
        <v/>
      </c>
    </row>
    <row r="1745">
      <c r="A1745" s="31" t="n"/>
      <c r="B1745" s="32" t="n"/>
      <c r="C1745" s="32" t="n"/>
      <c r="D1745" s="33" t="n"/>
      <c r="E1745" s="32" t="n"/>
      <c r="F1745" s="34">
        <f>IF(A1745="","",IFERROR(INT(A1745),"check date"))</f>
        <v/>
      </c>
      <c r="G1745" s="35">
        <f>IF(B1745="","",IFERROR(INDEX(Students!$A:$A,MATCH(TRIM(B1745),Students!$A:$A,0)),"NOT ON LIST"))</f>
        <v/>
      </c>
      <c r="H1745" s="35">
        <f>IF(OR(G1745="",G1745="NOT ON LIST"),"",VLOOKUP(G1745,Students!$A:$C,2,FALSE))</f>
        <v/>
      </c>
      <c r="I1745" s="35">
        <f>IF(OR(G1745="",G1745="NOT ON LIST"),"",VLOOKUP(G1745,Students!$A:$C,3,FALSE)&amp;"")</f>
        <v/>
      </c>
    </row>
    <row r="1746">
      <c r="A1746" s="31" t="n"/>
      <c r="B1746" s="32" t="n"/>
      <c r="C1746" s="32" t="n"/>
      <c r="D1746" s="33" t="n"/>
      <c r="E1746" s="32" t="n"/>
      <c r="F1746" s="34">
        <f>IF(A1746="","",IFERROR(INT(A1746),"check date"))</f>
        <v/>
      </c>
      <c r="G1746" s="35">
        <f>IF(B1746="","",IFERROR(INDEX(Students!$A:$A,MATCH(TRIM(B1746),Students!$A:$A,0)),"NOT ON LIST"))</f>
        <v/>
      </c>
      <c r="H1746" s="35">
        <f>IF(OR(G1746="",G1746="NOT ON LIST"),"",VLOOKUP(G1746,Students!$A:$C,2,FALSE))</f>
        <v/>
      </c>
      <c r="I1746" s="35">
        <f>IF(OR(G1746="",G1746="NOT ON LIST"),"",VLOOKUP(G1746,Students!$A:$C,3,FALSE)&amp;"")</f>
        <v/>
      </c>
    </row>
    <row r="1747">
      <c r="A1747" s="31" t="n"/>
      <c r="B1747" s="32" t="n"/>
      <c r="C1747" s="32" t="n"/>
      <c r="D1747" s="33" t="n"/>
      <c r="E1747" s="32" t="n"/>
      <c r="F1747" s="34">
        <f>IF(A1747="","",IFERROR(INT(A1747),"check date"))</f>
        <v/>
      </c>
      <c r="G1747" s="35">
        <f>IF(B1747="","",IFERROR(INDEX(Students!$A:$A,MATCH(TRIM(B1747),Students!$A:$A,0)),"NOT ON LIST"))</f>
        <v/>
      </c>
      <c r="H1747" s="35">
        <f>IF(OR(G1747="",G1747="NOT ON LIST"),"",VLOOKUP(G1747,Students!$A:$C,2,FALSE))</f>
        <v/>
      </c>
      <c r="I1747" s="35">
        <f>IF(OR(G1747="",G1747="NOT ON LIST"),"",VLOOKUP(G1747,Students!$A:$C,3,FALSE)&amp;"")</f>
        <v/>
      </c>
    </row>
    <row r="1748">
      <c r="A1748" s="31" t="n"/>
      <c r="B1748" s="32" t="n"/>
      <c r="C1748" s="32" t="n"/>
      <c r="D1748" s="33" t="n"/>
      <c r="E1748" s="32" t="n"/>
      <c r="F1748" s="34">
        <f>IF(A1748="","",IFERROR(INT(A1748),"check date"))</f>
        <v/>
      </c>
      <c r="G1748" s="35">
        <f>IF(B1748="","",IFERROR(INDEX(Students!$A:$A,MATCH(TRIM(B1748),Students!$A:$A,0)),"NOT ON LIST"))</f>
        <v/>
      </c>
      <c r="H1748" s="35">
        <f>IF(OR(G1748="",G1748="NOT ON LIST"),"",VLOOKUP(G1748,Students!$A:$C,2,FALSE))</f>
        <v/>
      </c>
      <c r="I1748" s="35">
        <f>IF(OR(G1748="",G1748="NOT ON LIST"),"",VLOOKUP(G1748,Students!$A:$C,3,FALSE)&amp;"")</f>
        <v/>
      </c>
    </row>
    <row r="1749">
      <c r="A1749" s="31" t="n"/>
      <c r="B1749" s="32" t="n"/>
      <c r="C1749" s="32" t="n"/>
      <c r="D1749" s="33" t="n"/>
      <c r="E1749" s="32" t="n"/>
      <c r="F1749" s="34">
        <f>IF(A1749="","",IFERROR(INT(A1749),"check date"))</f>
        <v/>
      </c>
      <c r="G1749" s="35">
        <f>IF(B1749="","",IFERROR(INDEX(Students!$A:$A,MATCH(TRIM(B1749),Students!$A:$A,0)),"NOT ON LIST"))</f>
        <v/>
      </c>
      <c r="H1749" s="35">
        <f>IF(OR(G1749="",G1749="NOT ON LIST"),"",VLOOKUP(G1749,Students!$A:$C,2,FALSE))</f>
        <v/>
      </c>
      <c r="I1749" s="35">
        <f>IF(OR(G1749="",G1749="NOT ON LIST"),"",VLOOKUP(G1749,Students!$A:$C,3,FALSE)&amp;"")</f>
        <v/>
      </c>
    </row>
    <row r="1750">
      <c r="A1750" s="31" t="n"/>
      <c r="B1750" s="32" t="n"/>
      <c r="C1750" s="32" t="n"/>
      <c r="D1750" s="33" t="n"/>
      <c r="E1750" s="32" t="n"/>
      <c r="F1750" s="34">
        <f>IF(A1750="","",IFERROR(INT(A1750),"check date"))</f>
        <v/>
      </c>
      <c r="G1750" s="35">
        <f>IF(B1750="","",IFERROR(INDEX(Students!$A:$A,MATCH(TRIM(B1750),Students!$A:$A,0)),"NOT ON LIST"))</f>
        <v/>
      </c>
      <c r="H1750" s="35">
        <f>IF(OR(G1750="",G1750="NOT ON LIST"),"",VLOOKUP(G1750,Students!$A:$C,2,FALSE))</f>
        <v/>
      </c>
      <c r="I1750" s="35">
        <f>IF(OR(G1750="",G1750="NOT ON LIST"),"",VLOOKUP(G1750,Students!$A:$C,3,FALSE)&amp;"")</f>
        <v/>
      </c>
    </row>
    <row r="1751">
      <c r="A1751" s="31" t="n"/>
      <c r="B1751" s="32" t="n"/>
      <c r="C1751" s="32" t="n"/>
      <c r="D1751" s="33" t="n"/>
      <c r="E1751" s="32" t="n"/>
      <c r="F1751" s="34">
        <f>IF(A1751="","",IFERROR(INT(A1751),"check date"))</f>
        <v/>
      </c>
      <c r="G1751" s="35">
        <f>IF(B1751="","",IFERROR(INDEX(Students!$A:$A,MATCH(TRIM(B1751),Students!$A:$A,0)),"NOT ON LIST"))</f>
        <v/>
      </c>
      <c r="H1751" s="35">
        <f>IF(OR(G1751="",G1751="NOT ON LIST"),"",VLOOKUP(G1751,Students!$A:$C,2,FALSE))</f>
        <v/>
      </c>
      <c r="I1751" s="35">
        <f>IF(OR(G1751="",G1751="NOT ON LIST"),"",VLOOKUP(G1751,Students!$A:$C,3,FALSE)&amp;"")</f>
        <v/>
      </c>
    </row>
    <row r="1752">
      <c r="A1752" s="31" t="n"/>
      <c r="B1752" s="32" t="n"/>
      <c r="C1752" s="32" t="n"/>
      <c r="D1752" s="33" t="n"/>
      <c r="E1752" s="32" t="n"/>
      <c r="F1752" s="34">
        <f>IF(A1752="","",IFERROR(INT(A1752),"check date"))</f>
        <v/>
      </c>
      <c r="G1752" s="35">
        <f>IF(B1752="","",IFERROR(INDEX(Students!$A:$A,MATCH(TRIM(B1752),Students!$A:$A,0)),"NOT ON LIST"))</f>
        <v/>
      </c>
      <c r="H1752" s="35">
        <f>IF(OR(G1752="",G1752="NOT ON LIST"),"",VLOOKUP(G1752,Students!$A:$C,2,FALSE))</f>
        <v/>
      </c>
      <c r="I1752" s="35">
        <f>IF(OR(G1752="",G1752="NOT ON LIST"),"",VLOOKUP(G1752,Students!$A:$C,3,FALSE)&amp;"")</f>
        <v/>
      </c>
    </row>
    <row r="1753">
      <c r="A1753" s="31" t="n"/>
      <c r="B1753" s="32" t="n"/>
      <c r="C1753" s="32" t="n"/>
      <c r="D1753" s="33" t="n"/>
      <c r="E1753" s="32" t="n"/>
      <c r="F1753" s="34">
        <f>IF(A1753="","",IFERROR(INT(A1753),"check date"))</f>
        <v/>
      </c>
      <c r="G1753" s="35">
        <f>IF(B1753="","",IFERROR(INDEX(Students!$A:$A,MATCH(TRIM(B1753),Students!$A:$A,0)),"NOT ON LIST"))</f>
        <v/>
      </c>
      <c r="H1753" s="35">
        <f>IF(OR(G1753="",G1753="NOT ON LIST"),"",VLOOKUP(G1753,Students!$A:$C,2,FALSE))</f>
        <v/>
      </c>
      <c r="I1753" s="35">
        <f>IF(OR(G1753="",G1753="NOT ON LIST"),"",VLOOKUP(G1753,Students!$A:$C,3,FALSE)&amp;"")</f>
        <v/>
      </c>
    </row>
    <row r="1754">
      <c r="A1754" s="31" t="n"/>
      <c r="B1754" s="32" t="n"/>
      <c r="C1754" s="32" t="n"/>
      <c r="D1754" s="33" t="n"/>
      <c r="E1754" s="32" t="n"/>
      <c r="F1754" s="34">
        <f>IF(A1754="","",IFERROR(INT(A1754),"check date"))</f>
        <v/>
      </c>
      <c r="G1754" s="35">
        <f>IF(B1754="","",IFERROR(INDEX(Students!$A:$A,MATCH(TRIM(B1754),Students!$A:$A,0)),"NOT ON LIST"))</f>
        <v/>
      </c>
      <c r="H1754" s="35">
        <f>IF(OR(G1754="",G1754="NOT ON LIST"),"",VLOOKUP(G1754,Students!$A:$C,2,FALSE))</f>
        <v/>
      </c>
      <c r="I1754" s="35">
        <f>IF(OR(G1754="",G1754="NOT ON LIST"),"",VLOOKUP(G1754,Students!$A:$C,3,FALSE)&amp;"")</f>
        <v/>
      </c>
    </row>
    <row r="1755">
      <c r="A1755" s="31" t="n"/>
      <c r="B1755" s="32" t="n"/>
      <c r="C1755" s="32" t="n"/>
      <c r="D1755" s="33" t="n"/>
      <c r="E1755" s="32" t="n"/>
      <c r="F1755" s="34">
        <f>IF(A1755="","",IFERROR(INT(A1755),"check date"))</f>
        <v/>
      </c>
      <c r="G1755" s="35">
        <f>IF(B1755="","",IFERROR(INDEX(Students!$A:$A,MATCH(TRIM(B1755),Students!$A:$A,0)),"NOT ON LIST"))</f>
        <v/>
      </c>
      <c r="H1755" s="35">
        <f>IF(OR(G1755="",G1755="NOT ON LIST"),"",VLOOKUP(G1755,Students!$A:$C,2,FALSE))</f>
        <v/>
      </c>
      <c r="I1755" s="35">
        <f>IF(OR(G1755="",G1755="NOT ON LIST"),"",VLOOKUP(G1755,Students!$A:$C,3,FALSE)&amp;"")</f>
        <v/>
      </c>
    </row>
    <row r="1756">
      <c r="A1756" s="31" t="n"/>
      <c r="B1756" s="32" t="n"/>
      <c r="C1756" s="32" t="n"/>
      <c r="D1756" s="33" t="n"/>
      <c r="E1756" s="32" t="n"/>
      <c r="F1756" s="34">
        <f>IF(A1756="","",IFERROR(INT(A1756),"check date"))</f>
        <v/>
      </c>
      <c r="G1756" s="35">
        <f>IF(B1756="","",IFERROR(INDEX(Students!$A:$A,MATCH(TRIM(B1756),Students!$A:$A,0)),"NOT ON LIST"))</f>
        <v/>
      </c>
      <c r="H1756" s="35">
        <f>IF(OR(G1756="",G1756="NOT ON LIST"),"",VLOOKUP(G1756,Students!$A:$C,2,FALSE))</f>
        <v/>
      </c>
      <c r="I1756" s="35">
        <f>IF(OR(G1756="",G1756="NOT ON LIST"),"",VLOOKUP(G1756,Students!$A:$C,3,FALSE)&amp;"")</f>
        <v/>
      </c>
    </row>
    <row r="1757">
      <c r="A1757" s="31" t="n"/>
      <c r="B1757" s="32" t="n"/>
      <c r="C1757" s="32" t="n"/>
      <c r="D1757" s="33" t="n"/>
      <c r="E1757" s="32" t="n"/>
      <c r="F1757" s="34">
        <f>IF(A1757="","",IFERROR(INT(A1757),"check date"))</f>
        <v/>
      </c>
      <c r="G1757" s="35">
        <f>IF(B1757="","",IFERROR(INDEX(Students!$A:$A,MATCH(TRIM(B1757),Students!$A:$A,0)),"NOT ON LIST"))</f>
        <v/>
      </c>
      <c r="H1757" s="35">
        <f>IF(OR(G1757="",G1757="NOT ON LIST"),"",VLOOKUP(G1757,Students!$A:$C,2,FALSE))</f>
        <v/>
      </c>
      <c r="I1757" s="35">
        <f>IF(OR(G1757="",G1757="NOT ON LIST"),"",VLOOKUP(G1757,Students!$A:$C,3,FALSE)&amp;"")</f>
        <v/>
      </c>
    </row>
    <row r="1758">
      <c r="A1758" s="31" t="n"/>
      <c r="B1758" s="32" t="n"/>
      <c r="C1758" s="32" t="n"/>
      <c r="D1758" s="33" t="n"/>
      <c r="E1758" s="32" t="n"/>
      <c r="F1758" s="34">
        <f>IF(A1758="","",IFERROR(INT(A1758),"check date"))</f>
        <v/>
      </c>
      <c r="G1758" s="35">
        <f>IF(B1758="","",IFERROR(INDEX(Students!$A:$A,MATCH(TRIM(B1758),Students!$A:$A,0)),"NOT ON LIST"))</f>
        <v/>
      </c>
      <c r="H1758" s="35">
        <f>IF(OR(G1758="",G1758="NOT ON LIST"),"",VLOOKUP(G1758,Students!$A:$C,2,FALSE))</f>
        <v/>
      </c>
      <c r="I1758" s="35">
        <f>IF(OR(G1758="",G1758="NOT ON LIST"),"",VLOOKUP(G1758,Students!$A:$C,3,FALSE)&amp;"")</f>
        <v/>
      </c>
    </row>
    <row r="1759">
      <c r="A1759" s="31" t="n"/>
      <c r="B1759" s="32" t="n"/>
      <c r="C1759" s="32" t="n"/>
      <c r="D1759" s="33" t="n"/>
      <c r="E1759" s="32" t="n"/>
      <c r="F1759" s="34">
        <f>IF(A1759="","",IFERROR(INT(A1759),"check date"))</f>
        <v/>
      </c>
      <c r="G1759" s="35">
        <f>IF(B1759="","",IFERROR(INDEX(Students!$A:$A,MATCH(TRIM(B1759),Students!$A:$A,0)),"NOT ON LIST"))</f>
        <v/>
      </c>
      <c r="H1759" s="35">
        <f>IF(OR(G1759="",G1759="NOT ON LIST"),"",VLOOKUP(G1759,Students!$A:$C,2,FALSE))</f>
        <v/>
      </c>
      <c r="I1759" s="35">
        <f>IF(OR(G1759="",G1759="NOT ON LIST"),"",VLOOKUP(G1759,Students!$A:$C,3,FALSE)&amp;"")</f>
        <v/>
      </c>
    </row>
    <row r="1760">
      <c r="A1760" s="31" t="n"/>
      <c r="B1760" s="32" t="n"/>
      <c r="C1760" s="32" t="n"/>
      <c r="D1760" s="33" t="n"/>
      <c r="E1760" s="32" t="n"/>
      <c r="F1760" s="34">
        <f>IF(A1760="","",IFERROR(INT(A1760),"check date"))</f>
        <v/>
      </c>
      <c r="G1760" s="35">
        <f>IF(B1760="","",IFERROR(INDEX(Students!$A:$A,MATCH(TRIM(B1760),Students!$A:$A,0)),"NOT ON LIST"))</f>
        <v/>
      </c>
      <c r="H1760" s="35">
        <f>IF(OR(G1760="",G1760="NOT ON LIST"),"",VLOOKUP(G1760,Students!$A:$C,2,FALSE))</f>
        <v/>
      </c>
      <c r="I1760" s="35">
        <f>IF(OR(G1760="",G1760="NOT ON LIST"),"",VLOOKUP(G1760,Students!$A:$C,3,FALSE)&amp;"")</f>
        <v/>
      </c>
    </row>
    <row r="1761">
      <c r="A1761" s="31" t="n"/>
      <c r="B1761" s="32" t="n"/>
      <c r="C1761" s="32" t="n"/>
      <c r="D1761" s="33" t="n"/>
      <c r="E1761" s="32" t="n"/>
      <c r="F1761" s="34">
        <f>IF(A1761="","",IFERROR(INT(A1761),"check date"))</f>
        <v/>
      </c>
      <c r="G1761" s="35">
        <f>IF(B1761="","",IFERROR(INDEX(Students!$A:$A,MATCH(TRIM(B1761),Students!$A:$A,0)),"NOT ON LIST"))</f>
        <v/>
      </c>
      <c r="H1761" s="35">
        <f>IF(OR(G1761="",G1761="NOT ON LIST"),"",VLOOKUP(G1761,Students!$A:$C,2,FALSE))</f>
        <v/>
      </c>
      <c r="I1761" s="35">
        <f>IF(OR(G1761="",G1761="NOT ON LIST"),"",VLOOKUP(G1761,Students!$A:$C,3,FALSE)&amp;"")</f>
        <v/>
      </c>
    </row>
    <row r="1762">
      <c r="A1762" s="31" t="n"/>
      <c r="B1762" s="32" t="n"/>
      <c r="C1762" s="32" t="n"/>
      <c r="D1762" s="33" t="n"/>
      <c r="E1762" s="32" t="n"/>
      <c r="F1762" s="34">
        <f>IF(A1762="","",IFERROR(INT(A1762),"check date"))</f>
        <v/>
      </c>
      <c r="G1762" s="35">
        <f>IF(B1762="","",IFERROR(INDEX(Students!$A:$A,MATCH(TRIM(B1762),Students!$A:$A,0)),"NOT ON LIST"))</f>
        <v/>
      </c>
      <c r="H1762" s="35">
        <f>IF(OR(G1762="",G1762="NOT ON LIST"),"",VLOOKUP(G1762,Students!$A:$C,2,FALSE))</f>
        <v/>
      </c>
      <c r="I1762" s="35">
        <f>IF(OR(G1762="",G1762="NOT ON LIST"),"",VLOOKUP(G1762,Students!$A:$C,3,FALSE)&amp;"")</f>
        <v/>
      </c>
    </row>
    <row r="1763">
      <c r="A1763" s="31" t="n"/>
      <c r="B1763" s="32" t="n"/>
      <c r="C1763" s="32" t="n"/>
      <c r="D1763" s="33" t="n"/>
      <c r="E1763" s="32" t="n"/>
      <c r="F1763" s="34">
        <f>IF(A1763="","",IFERROR(INT(A1763),"check date"))</f>
        <v/>
      </c>
      <c r="G1763" s="35">
        <f>IF(B1763="","",IFERROR(INDEX(Students!$A:$A,MATCH(TRIM(B1763),Students!$A:$A,0)),"NOT ON LIST"))</f>
        <v/>
      </c>
      <c r="H1763" s="35">
        <f>IF(OR(G1763="",G1763="NOT ON LIST"),"",VLOOKUP(G1763,Students!$A:$C,2,FALSE))</f>
        <v/>
      </c>
      <c r="I1763" s="35">
        <f>IF(OR(G1763="",G1763="NOT ON LIST"),"",VLOOKUP(G1763,Students!$A:$C,3,FALSE)&amp;"")</f>
        <v/>
      </c>
    </row>
    <row r="1764">
      <c r="A1764" s="31" t="n"/>
      <c r="B1764" s="32" t="n"/>
      <c r="C1764" s="32" t="n"/>
      <c r="D1764" s="33" t="n"/>
      <c r="E1764" s="32" t="n"/>
      <c r="F1764" s="34">
        <f>IF(A1764="","",IFERROR(INT(A1764),"check date"))</f>
        <v/>
      </c>
      <c r="G1764" s="35">
        <f>IF(B1764="","",IFERROR(INDEX(Students!$A:$A,MATCH(TRIM(B1764),Students!$A:$A,0)),"NOT ON LIST"))</f>
        <v/>
      </c>
      <c r="H1764" s="35">
        <f>IF(OR(G1764="",G1764="NOT ON LIST"),"",VLOOKUP(G1764,Students!$A:$C,2,FALSE))</f>
        <v/>
      </c>
      <c r="I1764" s="35">
        <f>IF(OR(G1764="",G1764="NOT ON LIST"),"",VLOOKUP(G1764,Students!$A:$C,3,FALSE)&amp;"")</f>
        <v/>
      </c>
    </row>
    <row r="1765">
      <c r="A1765" s="31" t="n"/>
      <c r="B1765" s="32" t="n"/>
      <c r="C1765" s="32" t="n"/>
      <c r="D1765" s="33" t="n"/>
      <c r="E1765" s="32" t="n"/>
      <c r="F1765" s="34">
        <f>IF(A1765="","",IFERROR(INT(A1765),"check date"))</f>
        <v/>
      </c>
      <c r="G1765" s="35">
        <f>IF(B1765="","",IFERROR(INDEX(Students!$A:$A,MATCH(TRIM(B1765),Students!$A:$A,0)),"NOT ON LIST"))</f>
        <v/>
      </c>
      <c r="H1765" s="35">
        <f>IF(OR(G1765="",G1765="NOT ON LIST"),"",VLOOKUP(G1765,Students!$A:$C,2,FALSE))</f>
        <v/>
      </c>
      <c r="I1765" s="35">
        <f>IF(OR(G1765="",G1765="NOT ON LIST"),"",VLOOKUP(G1765,Students!$A:$C,3,FALSE)&amp;"")</f>
        <v/>
      </c>
    </row>
    <row r="1766">
      <c r="A1766" s="31" t="n"/>
      <c r="B1766" s="32" t="n"/>
      <c r="C1766" s="32" t="n"/>
      <c r="D1766" s="33" t="n"/>
      <c r="E1766" s="32" t="n"/>
      <c r="F1766" s="34">
        <f>IF(A1766="","",IFERROR(INT(A1766),"check date"))</f>
        <v/>
      </c>
      <c r="G1766" s="35">
        <f>IF(B1766="","",IFERROR(INDEX(Students!$A:$A,MATCH(TRIM(B1766),Students!$A:$A,0)),"NOT ON LIST"))</f>
        <v/>
      </c>
      <c r="H1766" s="35">
        <f>IF(OR(G1766="",G1766="NOT ON LIST"),"",VLOOKUP(G1766,Students!$A:$C,2,FALSE))</f>
        <v/>
      </c>
      <c r="I1766" s="35">
        <f>IF(OR(G1766="",G1766="NOT ON LIST"),"",VLOOKUP(G1766,Students!$A:$C,3,FALSE)&amp;"")</f>
        <v/>
      </c>
    </row>
    <row r="1767">
      <c r="A1767" s="31" t="n"/>
      <c r="B1767" s="32" t="n"/>
      <c r="C1767" s="32" t="n"/>
      <c r="D1767" s="33" t="n"/>
      <c r="E1767" s="32" t="n"/>
      <c r="F1767" s="34">
        <f>IF(A1767="","",IFERROR(INT(A1767),"check date"))</f>
        <v/>
      </c>
      <c r="G1767" s="35">
        <f>IF(B1767="","",IFERROR(INDEX(Students!$A:$A,MATCH(TRIM(B1767),Students!$A:$A,0)),"NOT ON LIST"))</f>
        <v/>
      </c>
      <c r="H1767" s="35">
        <f>IF(OR(G1767="",G1767="NOT ON LIST"),"",VLOOKUP(G1767,Students!$A:$C,2,FALSE))</f>
        <v/>
      </c>
      <c r="I1767" s="35">
        <f>IF(OR(G1767="",G1767="NOT ON LIST"),"",VLOOKUP(G1767,Students!$A:$C,3,FALSE)&amp;"")</f>
        <v/>
      </c>
    </row>
    <row r="1768">
      <c r="A1768" s="31" t="n"/>
      <c r="B1768" s="32" t="n"/>
      <c r="C1768" s="32" t="n"/>
      <c r="D1768" s="33" t="n"/>
      <c r="E1768" s="32" t="n"/>
      <c r="F1768" s="34">
        <f>IF(A1768="","",IFERROR(INT(A1768),"check date"))</f>
        <v/>
      </c>
      <c r="G1768" s="35">
        <f>IF(B1768="","",IFERROR(INDEX(Students!$A:$A,MATCH(TRIM(B1768),Students!$A:$A,0)),"NOT ON LIST"))</f>
        <v/>
      </c>
      <c r="H1768" s="35">
        <f>IF(OR(G1768="",G1768="NOT ON LIST"),"",VLOOKUP(G1768,Students!$A:$C,2,FALSE))</f>
        <v/>
      </c>
      <c r="I1768" s="35">
        <f>IF(OR(G1768="",G1768="NOT ON LIST"),"",VLOOKUP(G1768,Students!$A:$C,3,FALSE)&amp;"")</f>
        <v/>
      </c>
    </row>
    <row r="1769">
      <c r="A1769" s="31" t="n"/>
      <c r="B1769" s="32" t="n"/>
      <c r="C1769" s="32" t="n"/>
      <c r="D1769" s="33" t="n"/>
      <c r="E1769" s="32" t="n"/>
      <c r="F1769" s="34">
        <f>IF(A1769="","",IFERROR(INT(A1769),"check date"))</f>
        <v/>
      </c>
      <c r="G1769" s="35">
        <f>IF(B1769="","",IFERROR(INDEX(Students!$A:$A,MATCH(TRIM(B1769),Students!$A:$A,0)),"NOT ON LIST"))</f>
        <v/>
      </c>
      <c r="H1769" s="35">
        <f>IF(OR(G1769="",G1769="NOT ON LIST"),"",VLOOKUP(G1769,Students!$A:$C,2,FALSE))</f>
        <v/>
      </c>
      <c r="I1769" s="35">
        <f>IF(OR(G1769="",G1769="NOT ON LIST"),"",VLOOKUP(G1769,Students!$A:$C,3,FALSE)&amp;"")</f>
        <v/>
      </c>
    </row>
    <row r="1770">
      <c r="A1770" s="31" t="n"/>
      <c r="B1770" s="32" t="n"/>
      <c r="C1770" s="32" t="n"/>
      <c r="D1770" s="33" t="n"/>
      <c r="E1770" s="32" t="n"/>
      <c r="F1770" s="34">
        <f>IF(A1770="","",IFERROR(INT(A1770),"check date"))</f>
        <v/>
      </c>
      <c r="G1770" s="35">
        <f>IF(B1770="","",IFERROR(INDEX(Students!$A:$A,MATCH(TRIM(B1770),Students!$A:$A,0)),"NOT ON LIST"))</f>
        <v/>
      </c>
      <c r="H1770" s="35">
        <f>IF(OR(G1770="",G1770="NOT ON LIST"),"",VLOOKUP(G1770,Students!$A:$C,2,FALSE))</f>
        <v/>
      </c>
      <c r="I1770" s="35">
        <f>IF(OR(G1770="",G1770="NOT ON LIST"),"",VLOOKUP(G1770,Students!$A:$C,3,FALSE)&amp;"")</f>
        <v/>
      </c>
    </row>
    <row r="1771">
      <c r="A1771" s="31" t="n"/>
      <c r="B1771" s="32" t="n"/>
      <c r="C1771" s="32" t="n"/>
      <c r="D1771" s="33" t="n"/>
      <c r="E1771" s="32" t="n"/>
      <c r="F1771" s="34">
        <f>IF(A1771="","",IFERROR(INT(A1771),"check date"))</f>
        <v/>
      </c>
      <c r="G1771" s="35">
        <f>IF(B1771="","",IFERROR(INDEX(Students!$A:$A,MATCH(TRIM(B1771),Students!$A:$A,0)),"NOT ON LIST"))</f>
        <v/>
      </c>
      <c r="H1771" s="35">
        <f>IF(OR(G1771="",G1771="NOT ON LIST"),"",VLOOKUP(G1771,Students!$A:$C,2,FALSE))</f>
        <v/>
      </c>
      <c r="I1771" s="35">
        <f>IF(OR(G1771="",G1771="NOT ON LIST"),"",VLOOKUP(G1771,Students!$A:$C,3,FALSE)&amp;"")</f>
        <v/>
      </c>
    </row>
    <row r="1772">
      <c r="A1772" s="31" t="n"/>
      <c r="B1772" s="32" t="n"/>
      <c r="C1772" s="32" t="n"/>
      <c r="D1772" s="33" t="n"/>
      <c r="E1772" s="32" t="n"/>
      <c r="F1772" s="34">
        <f>IF(A1772="","",IFERROR(INT(A1772),"check date"))</f>
        <v/>
      </c>
      <c r="G1772" s="35">
        <f>IF(B1772="","",IFERROR(INDEX(Students!$A:$A,MATCH(TRIM(B1772),Students!$A:$A,0)),"NOT ON LIST"))</f>
        <v/>
      </c>
      <c r="H1772" s="35">
        <f>IF(OR(G1772="",G1772="NOT ON LIST"),"",VLOOKUP(G1772,Students!$A:$C,2,FALSE))</f>
        <v/>
      </c>
      <c r="I1772" s="35">
        <f>IF(OR(G1772="",G1772="NOT ON LIST"),"",VLOOKUP(G1772,Students!$A:$C,3,FALSE)&amp;"")</f>
        <v/>
      </c>
    </row>
    <row r="1773">
      <c r="A1773" s="31" t="n"/>
      <c r="B1773" s="32" t="n"/>
      <c r="C1773" s="32" t="n"/>
      <c r="D1773" s="33" t="n"/>
      <c r="E1773" s="32" t="n"/>
      <c r="F1773" s="34">
        <f>IF(A1773="","",IFERROR(INT(A1773),"check date"))</f>
        <v/>
      </c>
      <c r="G1773" s="35">
        <f>IF(B1773="","",IFERROR(INDEX(Students!$A:$A,MATCH(TRIM(B1773),Students!$A:$A,0)),"NOT ON LIST"))</f>
        <v/>
      </c>
      <c r="H1773" s="35">
        <f>IF(OR(G1773="",G1773="NOT ON LIST"),"",VLOOKUP(G1773,Students!$A:$C,2,FALSE))</f>
        <v/>
      </c>
      <c r="I1773" s="35">
        <f>IF(OR(G1773="",G1773="NOT ON LIST"),"",VLOOKUP(G1773,Students!$A:$C,3,FALSE)&amp;"")</f>
        <v/>
      </c>
    </row>
    <row r="1774">
      <c r="A1774" s="31" t="n"/>
      <c r="B1774" s="32" t="n"/>
      <c r="C1774" s="32" t="n"/>
      <c r="D1774" s="33" t="n"/>
      <c r="E1774" s="32" t="n"/>
      <c r="F1774" s="34">
        <f>IF(A1774="","",IFERROR(INT(A1774),"check date"))</f>
        <v/>
      </c>
      <c r="G1774" s="35">
        <f>IF(B1774="","",IFERROR(INDEX(Students!$A:$A,MATCH(TRIM(B1774),Students!$A:$A,0)),"NOT ON LIST"))</f>
        <v/>
      </c>
      <c r="H1774" s="35">
        <f>IF(OR(G1774="",G1774="NOT ON LIST"),"",VLOOKUP(G1774,Students!$A:$C,2,FALSE))</f>
        <v/>
      </c>
      <c r="I1774" s="35">
        <f>IF(OR(G1774="",G1774="NOT ON LIST"),"",VLOOKUP(G1774,Students!$A:$C,3,FALSE)&amp;"")</f>
        <v/>
      </c>
    </row>
    <row r="1775">
      <c r="A1775" s="31" t="n"/>
      <c r="B1775" s="32" t="n"/>
      <c r="C1775" s="32" t="n"/>
      <c r="D1775" s="33" t="n"/>
      <c r="E1775" s="32" t="n"/>
      <c r="F1775" s="34">
        <f>IF(A1775="","",IFERROR(INT(A1775),"check date"))</f>
        <v/>
      </c>
      <c r="G1775" s="35">
        <f>IF(B1775="","",IFERROR(INDEX(Students!$A:$A,MATCH(TRIM(B1775),Students!$A:$A,0)),"NOT ON LIST"))</f>
        <v/>
      </c>
      <c r="H1775" s="35">
        <f>IF(OR(G1775="",G1775="NOT ON LIST"),"",VLOOKUP(G1775,Students!$A:$C,2,FALSE))</f>
        <v/>
      </c>
      <c r="I1775" s="35">
        <f>IF(OR(G1775="",G1775="NOT ON LIST"),"",VLOOKUP(G1775,Students!$A:$C,3,FALSE)&amp;"")</f>
        <v/>
      </c>
    </row>
    <row r="1776">
      <c r="A1776" s="31" t="n"/>
      <c r="B1776" s="32" t="n"/>
      <c r="C1776" s="32" t="n"/>
      <c r="D1776" s="33" t="n"/>
      <c r="E1776" s="32" t="n"/>
      <c r="F1776" s="34">
        <f>IF(A1776="","",IFERROR(INT(A1776),"check date"))</f>
        <v/>
      </c>
      <c r="G1776" s="35">
        <f>IF(B1776="","",IFERROR(INDEX(Students!$A:$A,MATCH(TRIM(B1776),Students!$A:$A,0)),"NOT ON LIST"))</f>
        <v/>
      </c>
      <c r="H1776" s="35">
        <f>IF(OR(G1776="",G1776="NOT ON LIST"),"",VLOOKUP(G1776,Students!$A:$C,2,FALSE))</f>
        <v/>
      </c>
      <c r="I1776" s="35">
        <f>IF(OR(G1776="",G1776="NOT ON LIST"),"",VLOOKUP(G1776,Students!$A:$C,3,FALSE)&amp;"")</f>
        <v/>
      </c>
    </row>
    <row r="1777">
      <c r="A1777" s="31" t="n"/>
      <c r="B1777" s="32" t="n"/>
      <c r="C1777" s="32" t="n"/>
      <c r="D1777" s="33" t="n"/>
      <c r="E1777" s="32" t="n"/>
      <c r="F1777" s="34">
        <f>IF(A1777="","",IFERROR(INT(A1777),"check date"))</f>
        <v/>
      </c>
      <c r="G1777" s="35">
        <f>IF(B1777="","",IFERROR(INDEX(Students!$A:$A,MATCH(TRIM(B1777),Students!$A:$A,0)),"NOT ON LIST"))</f>
        <v/>
      </c>
      <c r="H1777" s="35">
        <f>IF(OR(G1777="",G1777="NOT ON LIST"),"",VLOOKUP(G1777,Students!$A:$C,2,FALSE))</f>
        <v/>
      </c>
      <c r="I1777" s="35">
        <f>IF(OR(G1777="",G1777="NOT ON LIST"),"",VLOOKUP(G1777,Students!$A:$C,3,FALSE)&amp;"")</f>
        <v/>
      </c>
    </row>
    <row r="1778">
      <c r="A1778" s="31" t="n"/>
      <c r="B1778" s="32" t="n"/>
      <c r="C1778" s="32" t="n"/>
      <c r="D1778" s="33" t="n"/>
      <c r="E1778" s="32" t="n"/>
      <c r="F1778" s="34">
        <f>IF(A1778="","",IFERROR(INT(A1778),"check date"))</f>
        <v/>
      </c>
      <c r="G1778" s="35">
        <f>IF(B1778="","",IFERROR(INDEX(Students!$A:$A,MATCH(TRIM(B1778),Students!$A:$A,0)),"NOT ON LIST"))</f>
        <v/>
      </c>
      <c r="H1778" s="35">
        <f>IF(OR(G1778="",G1778="NOT ON LIST"),"",VLOOKUP(G1778,Students!$A:$C,2,FALSE))</f>
        <v/>
      </c>
      <c r="I1778" s="35">
        <f>IF(OR(G1778="",G1778="NOT ON LIST"),"",VLOOKUP(G1778,Students!$A:$C,3,FALSE)&amp;"")</f>
        <v/>
      </c>
    </row>
    <row r="1779">
      <c r="A1779" s="31" t="n"/>
      <c r="B1779" s="32" t="n"/>
      <c r="C1779" s="32" t="n"/>
      <c r="D1779" s="33" t="n"/>
      <c r="E1779" s="32" t="n"/>
      <c r="F1779" s="34">
        <f>IF(A1779="","",IFERROR(INT(A1779),"check date"))</f>
        <v/>
      </c>
      <c r="G1779" s="35">
        <f>IF(B1779="","",IFERROR(INDEX(Students!$A:$A,MATCH(TRIM(B1779),Students!$A:$A,0)),"NOT ON LIST"))</f>
        <v/>
      </c>
      <c r="H1779" s="35">
        <f>IF(OR(G1779="",G1779="NOT ON LIST"),"",VLOOKUP(G1779,Students!$A:$C,2,FALSE))</f>
        <v/>
      </c>
      <c r="I1779" s="35">
        <f>IF(OR(G1779="",G1779="NOT ON LIST"),"",VLOOKUP(G1779,Students!$A:$C,3,FALSE)&amp;"")</f>
        <v/>
      </c>
    </row>
    <row r="1780">
      <c r="A1780" s="31" t="n"/>
      <c r="B1780" s="32" t="n"/>
      <c r="C1780" s="32" t="n"/>
      <c r="D1780" s="33" t="n"/>
      <c r="E1780" s="32" t="n"/>
      <c r="F1780" s="34">
        <f>IF(A1780="","",IFERROR(INT(A1780),"check date"))</f>
        <v/>
      </c>
      <c r="G1780" s="35">
        <f>IF(B1780="","",IFERROR(INDEX(Students!$A:$A,MATCH(TRIM(B1780),Students!$A:$A,0)),"NOT ON LIST"))</f>
        <v/>
      </c>
      <c r="H1780" s="35">
        <f>IF(OR(G1780="",G1780="NOT ON LIST"),"",VLOOKUP(G1780,Students!$A:$C,2,FALSE))</f>
        <v/>
      </c>
      <c r="I1780" s="35">
        <f>IF(OR(G1780="",G1780="NOT ON LIST"),"",VLOOKUP(G1780,Students!$A:$C,3,FALSE)&amp;"")</f>
        <v/>
      </c>
    </row>
    <row r="1781">
      <c r="A1781" s="31" t="n"/>
      <c r="B1781" s="32" t="n"/>
      <c r="C1781" s="32" t="n"/>
      <c r="D1781" s="33" t="n"/>
      <c r="E1781" s="32" t="n"/>
      <c r="F1781" s="34">
        <f>IF(A1781="","",IFERROR(INT(A1781),"check date"))</f>
        <v/>
      </c>
      <c r="G1781" s="35">
        <f>IF(B1781="","",IFERROR(INDEX(Students!$A:$A,MATCH(TRIM(B1781),Students!$A:$A,0)),"NOT ON LIST"))</f>
        <v/>
      </c>
      <c r="H1781" s="35">
        <f>IF(OR(G1781="",G1781="NOT ON LIST"),"",VLOOKUP(G1781,Students!$A:$C,2,FALSE))</f>
        <v/>
      </c>
      <c r="I1781" s="35">
        <f>IF(OR(G1781="",G1781="NOT ON LIST"),"",VLOOKUP(G1781,Students!$A:$C,3,FALSE)&amp;"")</f>
        <v/>
      </c>
    </row>
    <row r="1782">
      <c r="A1782" s="31" t="n"/>
      <c r="B1782" s="32" t="n"/>
      <c r="C1782" s="32" t="n"/>
      <c r="D1782" s="33" t="n"/>
      <c r="E1782" s="32" t="n"/>
      <c r="F1782" s="34">
        <f>IF(A1782="","",IFERROR(INT(A1782),"check date"))</f>
        <v/>
      </c>
      <c r="G1782" s="35">
        <f>IF(B1782="","",IFERROR(INDEX(Students!$A:$A,MATCH(TRIM(B1782),Students!$A:$A,0)),"NOT ON LIST"))</f>
        <v/>
      </c>
      <c r="H1782" s="35">
        <f>IF(OR(G1782="",G1782="NOT ON LIST"),"",VLOOKUP(G1782,Students!$A:$C,2,FALSE))</f>
        <v/>
      </c>
      <c r="I1782" s="35">
        <f>IF(OR(G1782="",G1782="NOT ON LIST"),"",VLOOKUP(G1782,Students!$A:$C,3,FALSE)&amp;"")</f>
        <v/>
      </c>
    </row>
    <row r="1783">
      <c r="A1783" s="31" t="n"/>
      <c r="B1783" s="32" t="n"/>
      <c r="C1783" s="32" t="n"/>
      <c r="D1783" s="33" t="n"/>
      <c r="E1783" s="32" t="n"/>
      <c r="F1783" s="34">
        <f>IF(A1783="","",IFERROR(INT(A1783),"check date"))</f>
        <v/>
      </c>
      <c r="G1783" s="35">
        <f>IF(B1783="","",IFERROR(INDEX(Students!$A:$A,MATCH(TRIM(B1783),Students!$A:$A,0)),"NOT ON LIST"))</f>
        <v/>
      </c>
      <c r="H1783" s="35">
        <f>IF(OR(G1783="",G1783="NOT ON LIST"),"",VLOOKUP(G1783,Students!$A:$C,2,FALSE))</f>
        <v/>
      </c>
      <c r="I1783" s="35">
        <f>IF(OR(G1783="",G1783="NOT ON LIST"),"",VLOOKUP(G1783,Students!$A:$C,3,FALSE)&amp;"")</f>
        <v/>
      </c>
    </row>
    <row r="1784">
      <c r="A1784" s="31" t="n"/>
      <c r="B1784" s="32" t="n"/>
      <c r="C1784" s="32" t="n"/>
      <c r="D1784" s="33" t="n"/>
      <c r="E1784" s="32" t="n"/>
      <c r="F1784" s="34">
        <f>IF(A1784="","",IFERROR(INT(A1784),"check date"))</f>
        <v/>
      </c>
      <c r="G1784" s="35">
        <f>IF(B1784="","",IFERROR(INDEX(Students!$A:$A,MATCH(TRIM(B1784),Students!$A:$A,0)),"NOT ON LIST"))</f>
        <v/>
      </c>
      <c r="H1784" s="35">
        <f>IF(OR(G1784="",G1784="NOT ON LIST"),"",VLOOKUP(G1784,Students!$A:$C,2,FALSE))</f>
        <v/>
      </c>
      <c r="I1784" s="35">
        <f>IF(OR(G1784="",G1784="NOT ON LIST"),"",VLOOKUP(G1784,Students!$A:$C,3,FALSE)&amp;"")</f>
        <v/>
      </c>
    </row>
    <row r="1785">
      <c r="A1785" s="31" t="n"/>
      <c r="B1785" s="32" t="n"/>
      <c r="C1785" s="32" t="n"/>
      <c r="D1785" s="33" t="n"/>
      <c r="E1785" s="32" t="n"/>
      <c r="F1785" s="34">
        <f>IF(A1785="","",IFERROR(INT(A1785),"check date"))</f>
        <v/>
      </c>
      <c r="G1785" s="35">
        <f>IF(B1785="","",IFERROR(INDEX(Students!$A:$A,MATCH(TRIM(B1785),Students!$A:$A,0)),"NOT ON LIST"))</f>
        <v/>
      </c>
      <c r="H1785" s="35">
        <f>IF(OR(G1785="",G1785="NOT ON LIST"),"",VLOOKUP(G1785,Students!$A:$C,2,FALSE))</f>
        <v/>
      </c>
      <c r="I1785" s="35">
        <f>IF(OR(G1785="",G1785="NOT ON LIST"),"",VLOOKUP(G1785,Students!$A:$C,3,FALSE)&amp;"")</f>
        <v/>
      </c>
    </row>
    <row r="1786">
      <c r="A1786" s="31" t="n"/>
      <c r="B1786" s="32" t="n"/>
      <c r="C1786" s="32" t="n"/>
      <c r="D1786" s="33" t="n"/>
      <c r="E1786" s="32" t="n"/>
      <c r="F1786" s="34">
        <f>IF(A1786="","",IFERROR(INT(A1786),"check date"))</f>
        <v/>
      </c>
      <c r="G1786" s="35">
        <f>IF(B1786="","",IFERROR(INDEX(Students!$A:$A,MATCH(TRIM(B1786),Students!$A:$A,0)),"NOT ON LIST"))</f>
        <v/>
      </c>
      <c r="H1786" s="35">
        <f>IF(OR(G1786="",G1786="NOT ON LIST"),"",VLOOKUP(G1786,Students!$A:$C,2,FALSE))</f>
        <v/>
      </c>
      <c r="I1786" s="35">
        <f>IF(OR(G1786="",G1786="NOT ON LIST"),"",VLOOKUP(G1786,Students!$A:$C,3,FALSE)&amp;"")</f>
        <v/>
      </c>
    </row>
    <row r="1787">
      <c r="A1787" s="31" t="n"/>
      <c r="B1787" s="32" t="n"/>
      <c r="C1787" s="32" t="n"/>
      <c r="D1787" s="33" t="n"/>
      <c r="E1787" s="32" t="n"/>
      <c r="F1787" s="34">
        <f>IF(A1787="","",IFERROR(INT(A1787),"check date"))</f>
        <v/>
      </c>
      <c r="G1787" s="35">
        <f>IF(B1787="","",IFERROR(INDEX(Students!$A:$A,MATCH(TRIM(B1787),Students!$A:$A,0)),"NOT ON LIST"))</f>
        <v/>
      </c>
      <c r="H1787" s="35">
        <f>IF(OR(G1787="",G1787="NOT ON LIST"),"",VLOOKUP(G1787,Students!$A:$C,2,FALSE))</f>
        <v/>
      </c>
      <c r="I1787" s="35">
        <f>IF(OR(G1787="",G1787="NOT ON LIST"),"",VLOOKUP(G1787,Students!$A:$C,3,FALSE)&amp;"")</f>
        <v/>
      </c>
    </row>
    <row r="1788">
      <c r="A1788" s="31" t="n"/>
      <c r="B1788" s="32" t="n"/>
      <c r="C1788" s="32" t="n"/>
      <c r="D1788" s="33" t="n"/>
      <c r="E1788" s="32" t="n"/>
      <c r="F1788" s="34">
        <f>IF(A1788="","",IFERROR(INT(A1788),"check date"))</f>
        <v/>
      </c>
      <c r="G1788" s="35">
        <f>IF(B1788="","",IFERROR(INDEX(Students!$A:$A,MATCH(TRIM(B1788),Students!$A:$A,0)),"NOT ON LIST"))</f>
        <v/>
      </c>
      <c r="H1788" s="35">
        <f>IF(OR(G1788="",G1788="NOT ON LIST"),"",VLOOKUP(G1788,Students!$A:$C,2,FALSE))</f>
        <v/>
      </c>
      <c r="I1788" s="35">
        <f>IF(OR(G1788="",G1788="NOT ON LIST"),"",VLOOKUP(G1788,Students!$A:$C,3,FALSE)&amp;"")</f>
        <v/>
      </c>
    </row>
    <row r="1789">
      <c r="A1789" s="31" t="n"/>
      <c r="B1789" s="32" t="n"/>
      <c r="C1789" s="32" t="n"/>
      <c r="D1789" s="33" t="n"/>
      <c r="E1789" s="32" t="n"/>
      <c r="F1789" s="34">
        <f>IF(A1789="","",IFERROR(INT(A1789),"check date"))</f>
        <v/>
      </c>
      <c r="G1789" s="35">
        <f>IF(B1789="","",IFERROR(INDEX(Students!$A:$A,MATCH(TRIM(B1789),Students!$A:$A,0)),"NOT ON LIST"))</f>
        <v/>
      </c>
      <c r="H1789" s="35">
        <f>IF(OR(G1789="",G1789="NOT ON LIST"),"",VLOOKUP(G1789,Students!$A:$C,2,FALSE))</f>
        <v/>
      </c>
      <c r="I1789" s="35">
        <f>IF(OR(G1789="",G1789="NOT ON LIST"),"",VLOOKUP(G1789,Students!$A:$C,3,FALSE)&amp;"")</f>
        <v/>
      </c>
    </row>
    <row r="1790">
      <c r="A1790" s="31" t="n"/>
      <c r="B1790" s="32" t="n"/>
      <c r="C1790" s="32" t="n"/>
      <c r="D1790" s="33" t="n"/>
      <c r="E1790" s="32" t="n"/>
      <c r="F1790" s="34">
        <f>IF(A1790="","",IFERROR(INT(A1790),"check date"))</f>
        <v/>
      </c>
      <c r="G1790" s="35">
        <f>IF(B1790="","",IFERROR(INDEX(Students!$A:$A,MATCH(TRIM(B1790),Students!$A:$A,0)),"NOT ON LIST"))</f>
        <v/>
      </c>
      <c r="H1790" s="35">
        <f>IF(OR(G1790="",G1790="NOT ON LIST"),"",VLOOKUP(G1790,Students!$A:$C,2,FALSE))</f>
        <v/>
      </c>
      <c r="I1790" s="35">
        <f>IF(OR(G1790="",G1790="NOT ON LIST"),"",VLOOKUP(G1790,Students!$A:$C,3,FALSE)&amp;"")</f>
        <v/>
      </c>
    </row>
    <row r="1791">
      <c r="A1791" s="31" t="n"/>
      <c r="B1791" s="32" t="n"/>
      <c r="C1791" s="32" t="n"/>
      <c r="D1791" s="33" t="n"/>
      <c r="E1791" s="32" t="n"/>
      <c r="F1791" s="34">
        <f>IF(A1791="","",IFERROR(INT(A1791),"check date"))</f>
        <v/>
      </c>
      <c r="G1791" s="35">
        <f>IF(B1791="","",IFERROR(INDEX(Students!$A:$A,MATCH(TRIM(B1791),Students!$A:$A,0)),"NOT ON LIST"))</f>
        <v/>
      </c>
      <c r="H1791" s="35">
        <f>IF(OR(G1791="",G1791="NOT ON LIST"),"",VLOOKUP(G1791,Students!$A:$C,2,FALSE))</f>
        <v/>
      </c>
      <c r="I1791" s="35">
        <f>IF(OR(G1791="",G1791="NOT ON LIST"),"",VLOOKUP(G1791,Students!$A:$C,3,FALSE)&amp;"")</f>
        <v/>
      </c>
    </row>
    <row r="1792">
      <c r="A1792" s="31" t="n"/>
      <c r="B1792" s="32" t="n"/>
      <c r="C1792" s="32" t="n"/>
      <c r="D1792" s="33" t="n"/>
      <c r="E1792" s="32" t="n"/>
      <c r="F1792" s="34">
        <f>IF(A1792="","",IFERROR(INT(A1792),"check date"))</f>
        <v/>
      </c>
      <c r="G1792" s="35">
        <f>IF(B1792="","",IFERROR(INDEX(Students!$A:$A,MATCH(TRIM(B1792),Students!$A:$A,0)),"NOT ON LIST"))</f>
        <v/>
      </c>
      <c r="H1792" s="35">
        <f>IF(OR(G1792="",G1792="NOT ON LIST"),"",VLOOKUP(G1792,Students!$A:$C,2,FALSE))</f>
        <v/>
      </c>
      <c r="I1792" s="35">
        <f>IF(OR(G1792="",G1792="NOT ON LIST"),"",VLOOKUP(G1792,Students!$A:$C,3,FALSE)&amp;"")</f>
        <v/>
      </c>
    </row>
    <row r="1793">
      <c r="A1793" s="31" t="n"/>
      <c r="B1793" s="32" t="n"/>
      <c r="C1793" s="32" t="n"/>
      <c r="D1793" s="33" t="n"/>
      <c r="E1793" s="32" t="n"/>
      <c r="F1793" s="34">
        <f>IF(A1793="","",IFERROR(INT(A1793),"check date"))</f>
        <v/>
      </c>
      <c r="G1793" s="35">
        <f>IF(B1793="","",IFERROR(INDEX(Students!$A:$A,MATCH(TRIM(B1793),Students!$A:$A,0)),"NOT ON LIST"))</f>
        <v/>
      </c>
      <c r="H1793" s="35">
        <f>IF(OR(G1793="",G1793="NOT ON LIST"),"",VLOOKUP(G1793,Students!$A:$C,2,FALSE))</f>
        <v/>
      </c>
      <c r="I1793" s="35">
        <f>IF(OR(G1793="",G1793="NOT ON LIST"),"",VLOOKUP(G1793,Students!$A:$C,3,FALSE)&amp;"")</f>
        <v/>
      </c>
    </row>
    <row r="1794">
      <c r="A1794" s="31" t="n"/>
      <c r="B1794" s="32" t="n"/>
      <c r="C1794" s="32" t="n"/>
      <c r="D1794" s="33" t="n"/>
      <c r="E1794" s="32" t="n"/>
      <c r="F1794" s="34">
        <f>IF(A1794="","",IFERROR(INT(A1794),"check date"))</f>
        <v/>
      </c>
      <c r="G1794" s="35">
        <f>IF(B1794="","",IFERROR(INDEX(Students!$A:$A,MATCH(TRIM(B1794),Students!$A:$A,0)),"NOT ON LIST"))</f>
        <v/>
      </c>
      <c r="H1794" s="35">
        <f>IF(OR(G1794="",G1794="NOT ON LIST"),"",VLOOKUP(G1794,Students!$A:$C,2,FALSE))</f>
        <v/>
      </c>
      <c r="I1794" s="35">
        <f>IF(OR(G1794="",G1794="NOT ON LIST"),"",VLOOKUP(G1794,Students!$A:$C,3,FALSE)&amp;"")</f>
        <v/>
      </c>
    </row>
    <row r="1795">
      <c r="A1795" s="31" t="n"/>
      <c r="B1795" s="32" t="n"/>
      <c r="C1795" s="32" t="n"/>
      <c r="D1795" s="33" t="n"/>
      <c r="E1795" s="32" t="n"/>
      <c r="F1795" s="34">
        <f>IF(A1795="","",IFERROR(INT(A1795),"check date"))</f>
        <v/>
      </c>
      <c r="G1795" s="35">
        <f>IF(B1795="","",IFERROR(INDEX(Students!$A:$A,MATCH(TRIM(B1795),Students!$A:$A,0)),"NOT ON LIST"))</f>
        <v/>
      </c>
      <c r="H1795" s="35">
        <f>IF(OR(G1795="",G1795="NOT ON LIST"),"",VLOOKUP(G1795,Students!$A:$C,2,FALSE))</f>
        <v/>
      </c>
      <c r="I1795" s="35">
        <f>IF(OR(G1795="",G1795="NOT ON LIST"),"",VLOOKUP(G1795,Students!$A:$C,3,FALSE)&amp;"")</f>
        <v/>
      </c>
    </row>
    <row r="1796">
      <c r="A1796" s="31" t="n"/>
      <c r="B1796" s="32" t="n"/>
      <c r="C1796" s="32" t="n"/>
      <c r="D1796" s="33" t="n"/>
      <c r="E1796" s="32" t="n"/>
      <c r="F1796" s="34">
        <f>IF(A1796="","",IFERROR(INT(A1796),"check date"))</f>
        <v/>
      </c>
      <c r="G1796" s="35">
        <f>IF(B1796="","",IFERROR(INDEX(Students!$A:$A,MATCH(TRIM(B1796),Students!$A:$A,0)),"NOT ON LIST"))</f>
        <v/>
      </c>
      <c r="H1796" s="35">
        <f>IF(OR(G1796="",G1796="NOT ON LIST"),"",VLOOKUP(G1796,Students!$A:$C,2,FALSE))</f>
        <v/>
      </c>
      <c r="I1796" s="35">
        <f>IF(OR(G1796="",G1796="NOT ON LIST"),"",VLOOKUP(G1796,Students!$A:$C,3,FALSE)&amp;"")</f>
        <v/>
      </c>
    </row>
    <row r="1797">
      <c r="A1797" s="31" t="n"/>
      <c r="B1797" s="32" t="n"/>
      <c r="C1797" s="32" t="n"/>
      <c r="D1797" s="33" t="n"/>
      <c r="E1797" s="32" t="n"/>
      <c r="F1797" s="34">
        <f>IF(A1797="","",IFERROR(INT(A1797),"check date"))</f>
        <v/>
      </c>
      <c r="G1797" s="35">
        <f>IF(B1797="","",IFERROR(INDEX(Students!$A:$A,MATCH(TRIM(B1797),Students!$A:$A,0)),"NOT ON LIST"))</f>
        <v/>
      </c>
      <c r="H1797" s="35">
        <f>IF(OR(G1797="",G1797="NOT ON LIST"),"",VLOOKUP(G1797,Students!$A:$C,2,FALSE))</f>
        <v/>
      </c>
      <c r="I1797" s="35">
        <f>IF(OR(G1797="",G1797="NOT ON LIST"),"",VLOOKUP(G1797,Students!$A:$C,3,FALSE)&amp;"")</f>
        <v/>
      </c>
    </row>
    <row r="1798">
      <c r="A1798" s="31" t="n"/>
      <c r="B1798" s="32" t="n"/>
      <c r="C1798" s="32" t="n"/>
      <c r="D1798" s="33" t="n"/>
      <c r="E1798" s="32" t="n"/>
      <c r="F1798" s="34">
        <f>IF(A1798="","",IFERROR(INT(A1798),"check date"))</f>
        <v/>
      </c>
      <c r="G1798" s="35">
        <f>IF(B1798="","",IFERROR(INDEX(Students!$A:$A,MATCH(TRIM(B1798),Students!$A:$A,0)),"NOT ON LIST"))</f>
        <v/>
      </c>
      <c r="H1798" s="35">
        <f>IF(OR(G1798="",G1798="NOT ON LIST"),"",VLOOKUP(G1798,Students!$A:$C,2,FALSE))</f>
        <v/>
      </c>
      <c r="I1798" s="35">
        <f>IF(OR(G1798="",G1798="NOT ON LIST"),"",VLOOKUP(G1798,Students!$A:$C,3,FALSE)&amp;"")</f>
        <v/>
      </c>
    </row>
    <row r="1799">
      <c r="A1799" s="31" t="n"/>
      <c r="B1799" s="32" t="n"/>
      <c r="C1799" s="32" t="n"/>
      <c r="D1799" s="33" t="n"/>
      <c r="E1799" s="32" t="n"/>
      <c r="F1799" s="34">
        <f>IF(A1799="","",IFERROR(INT(A1799),"check date"))</f>
        <v/>
      </c>
      <c r="G1799" s="35">
        <f>IF(B1799="","",IFERROR(INDEX(Students!$A:$A,MATCH(TRIM(B1799),Students!$A:$A,0)),"NOT ON LIST"))</f>
        <v/>
      </c>
      <c r="H1799" s="35">
        <f>IF(OR(G1799="",G1799="NOT ON LIST"),"",VLOOKUP(G1799,Students!$A:$C,2,FALSE))</f>
        <v/>
      </c>
      <c r="I1799" s="35">
        <f>IF(OR(G1799="",G1799="NOT ON LIST"),"",VLOOKUP(G1799,Students!$A:$C,3,FALSE)&amp;"")</f>
        <v/>
      </c>
    </row>
    <row r="1800">
      <c r="A1800" s="31" t="n"/>
      <c r="B1800" s="32" t="n"/>
      <c r="C1800" s="32" t="n"/>
      <c r="D1800" s="33" t="n"/>
      <c r="E1800" s="32" t="n"/>
      <c r="F1800" s="34">
        <f>IF(A1800="","",IFERROR(INT(A1800),"check date"))</f>
        <v/>
      </c>
      <c r="G1800" s="35">
        <f>IF(B1800="","",IFERROR(INDEX(Students!$A:$A,MATCH(TRIM(B1800),Students!$A:$A,0)),"NOT ON LIST"))</f>
        <v/>
      </c>
      <c r="H1800" s="35">
        <f>IF(OR(G1800="",G1800="NOT ON LIST"),"",VLOOKUP(G1800,Students!$A:$C,2,FALSE))</f>
        <v/>
      </c>
      <c r="I1800" s="35">
        <f>IF(OR(G1800="",G1800="NOT ON LIST"),"",VLOOKUP(G1800,Students!$A:$C,3,FALSE)&amp;"")</f>
        <v/>
      </c>
    </row>
    <row r="1801">
      <c r="A1801" s="31" t="n"/>
      <c r="B1801" s="32" t="n"/>
      <c r="C1801" s="32" t="n"/>
      <c r="D1801" s="33" t="n"/>
      <c r="E1801" s="32" t="n"/>
      <c r="F1801" s="34">
        <f>IF(A1801="","",IFERROR(INT(A1801),"check date"))</f>
        <v/>
      </c>
      <c r="G1801" s="35">
        <f>IF(B1801="","",IFERROR(INDEX(Students!$A:$A,MATCH(TRIM(B1801),Students!$A:$A,0)),"NOT ON LIST"))</f>
        <v/>
      </c>
      <c r="H1801" s="35">
        <f>IF(OR(G1801="",G1801="NOT ON LIST"),"",VLOOKUP(G1801,Students!$A:$C,2,FALSE))</f>
        <v/>
      </c>
      <c r="I1801" s="35">
        <f>IF(OR(G1801="",G1801="NOT ON LIST"),"",VLOOKUP(G1801,Students!$A:$C,3,FALSE)&amp;"")</f>
        <v/>
      </c>
    </row>
    <row r="1802">
      <c r="A1802" s="31" t="n"/>
      <c r="B1802" s="32" t="n"/>
      <c r="C1802" s="32" t="n"/>
      <c r="D1802" s="33" t="n"/>
      <c r="E1802" s="32" t="n"/>
      <c r="F1802" s="34">
        <f>IF(A1802="","",IFERROR(INT(A1802),"check date"))</f>
        <v/>
      </c>
      <c r="G1802" s="35">
        <f>IF(B1802="","",IFERROR(INDEX(Students!$A:$A,MATCH(TRIM(B1802),Students!$A:$A,0)),"NOT ON LIST"))</f>
        <v/>
      </c>
      <c r="H1802" s="35">
        <f>IF(OR(G1802="",G1802="NOT ON LIST"),"",VLOOKUP(G1802,Students!$A:$C,2,FALSE))</f>
        <v/>
      </c>
      <c r="I1802" s="35">
        <f>IF(OR(G1802="",G1802="NOT ON LIST"),"",VLOOKUP(G1802,Students!$A:$C,3,FALSE)&amp;"")</f>
        <v/>
      </c>
    </row>
    <row r="1803">
      <c r="A1803" s="31" t="n"/>
      <c r="B1803" s="32" t="n"/>
      <c r="C1803" s="32" t="n"/>
      <c r="D1803" s="33" t="n"/>
      <c r="E1803" s="32" t="n"/>
      <c r="F1803" s="34">
        <f>IF(A1803="","",IFERROR(INT(A1803),"check date"))</f>
        <v/>
      </c>
      <c r="G1803" s="35">
        <f>IF(B1803="","",IFERROR(INDEX(Students!$A:$A,MATCH(TRIM(B1803),Students!$A:$A,0)),"NOT ON LIST"))</f>
        <v/>
      </c>
      <c r="H1803" s="35">
        <f>IF(OR(G1803="",G1803="NOT ON LIST"),"",VLOOKUP(G1803,Students!$A:$C,2,FALSE))</f>
        <v/>
      </c>
      <c r="I1803" s="35">
        <f>IF(OR(G1803="",G1803="NOT ON LIST"),"",VLOOKUP(G1803,Students!$A:$C,3,FALSE)&amp;"")</f>
        <v/>
      </c>
    </row>
    <row r="1804">
      <c r="A1804" s="31" t="n"/>
      <c r="B1804" s="32" t="n"/>
      <c r="C1804" s="32" t="n"/>
      <c r="D1804" s="33" t="n"/>
      <c r="E1804" s="32" t="n"/>
      <c r="F1804" s="34">
        <f>IF(A1804="","",IFERROR(INT(A1804),"check date"))</f>
        <v/>
      </c>
      <c r="G1804" s="35">
        <f>IF(B1804="","",IFERROR(INDEX(Students!$A:$A,MATCH(TRIM(B1804),Students!$A:$A,0)),"NOT ON LIST"))</f>
        <v/>
      </c>
      <c r="H1804" s="35">
        <f>IF(OR(G1804="",G1804="NOT ON LIST"),"",VLOOKUP(G1804,Students!$A:$C,2,FALSE))</f>
        <v/>
      </c>
      <c r="I1804" s="35">
        <f>IF(OR(G1804="",G1804="NOT ON LIST"),"",VLOOKUP(G1804,Students!$A:$C,3,FALSE)&amp;"")</f>
        <v/>
      </c>
    </row>
    <row r="1805">
      <c r="A1805" s="31" t="n"/>
      <c r="B1805" s="32" t="n"/>
      <c r="C1805" s="32" t="n"/>
      <c r="D1805" s="33" t="n"/>
      <c r="E1805" s="32" t="n"/>
      <c r="F1805" s="34">
        <f>IF(A1805="","",IFERROR(INT(A1805),"check date"))</f>
        <v/>
      </c>
      <c r="G1805" s="35">
        <f>IF(B1805="","",IFERROR(INDEX(Students!$A:$A,MATCH(TRIM(B1805),Students!$A:$A,0)),"NOT ON LIST"))</f>
        <v/>
      </c>
      <c r="H1805" s="35">
        <f>IF(OR(G1805="",G1805="NOT ON LIST"),"",VLOOKUP(G1805,Students!$A:$C,2,FALSE))</f>
        <v/>
      </c>
      <c r="I1805" s="35">
        <f>IF(OR(G1805="",G1805="NOT ON LIST"),"",VLOOKUP(G1805,Students!$A:$C,3,FALSE)&amp;"")</f>
        <v/>
      </c>
    </row>
    <row r="1806">
      <c r="A1806" s="31" t="n"/>
      <c r="B1806" s="32" t="n"/>
      <c r="C1806" s="32" t="n"/>
      <c r="D1806" s="33" t="n"/>
      <c r="E1806" s="32" t="n"/>
      <c r="F1806" s="34">
        <f>IF(A1806="","",IFERROR(INT(A1806),"check date"))</f>
        <v/>
      </c>
      <c r="G1806" s="35">
        <f>IF(B1806="","",IFERROR(INDEX(Students!$A:$A,MATCH(TRIM(B1806),Students!$A:$A,0)),"NOT ON LIST"))</f>
        <v/>
      </c>
      <c r="H1806" s="35">
        <f>IF(OR(G1806="",G1806="NOT ON LIST"),"",VLOOKUP(G1806,Students!$A:$C,2,FALSE))</f>
        <v/>
      </c>
      <c r="I1806" s="35">
        <f>IF(OR(G1806="",G1806="NOT ON LIST"),"",VLOOKUP(G1806,Students!$A:$C,3,FALSE)&amp;"")</f>
        <v/>
      </c>
    </row>
    <row r="1807">
      <c r="A1807" s="31" t="n"/>
      <c r="B1807" s="32" t="n"/>
      <c r="C1807" s="32" t="n"/>
      <c r="D1807" s="33" t="n"/>
      <c r="E1807" s="32" t="n"/>
      <c r="F1807" s="34">
        <f>IF(A1807="","",IFERROR(INT(A1807),"check date"))</f>
        <v/>
      </c>
      <c r="G1807" s="35">
        <f>IF(B1807="","",IFERROR(INDEX(Students!$A:$A,MATCH(TRIM(B1807),Students!$A:$A,0)),"NOT ON LIST"))</f>
        <v/>
      </c>
      <c r="H1807" s="35">
        <f>IF(OR(G1807="",G1807="NOT ON LIST"),"",VLOOKUP(G1807,Students!$A:$C,2,FALSE))</f>
        <v/>
      </c>
      <c r="I1807" s="35">
        <f>IF(OR(G1807="",G1807="NOT ON LIST"),"",VLOOKUP(G1807,Students!$A:$C,3,FALSE)&amp;"")</f>
        <v/>
      </c>
    </row>
    <row r="1808">
      <c r="A1808" s="31" t="n"/>
      <c r="B1808" s="32" t="n"/>
      <c r="C1808" s="32" t="n"/>
      <c r="D1808" s="33" t="n"/>
      <c r="E1808" s="32" t="n"/>
      <c r="F1808" s="34">
        <f>IF(A1808="","",IFERROR(INT(A1808),"check date"))</f>
        <v/>
      </c>
      <c r="G1808" s="35">
        <f>IF(B1808="","",IFERROR(INDEX(Students!$A:$A,MATCH(TRIM(B1808),Students!$A:$A,0)),"NOT ON LIST"))</f>
        <v/>
      </c>
      <c r="H1808" s="35">
        <f>IF(OR(G1808="",G1808="NOT ON LIST"),"",VLOOKUP(G1808,Students!$A:$C,2,FALSE))</f>
        <v/>
      </c>
      <c r="I1808" s="35">
        <f>IF(OR(G1808="",G1808="NOT ON LIST"),"",VLOOKUP(G1808,Students!$A:$C,3,FALSE)&amp;"")</f>
        <v/>
      </c>
    </row>
    <row r="1809">
      <c r="A1809" s="31" t="n"/>
      <c r="B1809" s="32" t="n"/>
      <c r="C1809" s="32" t="n"/>
      <c r="D1809" s="33" t="n"/>
      <c r="E1809" s="32" t="n"/>
      <c r="F1809" s="34">
        <f>IF(A1809="","",IFERROR(INT(A1809),"check date"))</f>
        <v/>
      </c>
      <c r="G1809" s="35">
        <f>IF(B1809="","",IFERROR(INDEX(Students!$A:$A,MATCH(TRIM(B1809),Students!$A:$A,0)),"NOT ON LIST"))</f>
        <v/>
      </c>
      <c r="H1809" s="35">
        <f>IF(OR(G1809="",G1809="NOT ON LIST"),"",VLOOKUP(G1809,Students!$A:$C,2,FALSE))</f>
        <v/>
      </c>
      <c r="I1809" s="35">
        <f>IF(OR(G1809="",G1809="NOT ON LIST"),"",VLOOKUP(G1809,Students!$A:$C,3,FALSE)&amp;"")</f>
        <v/>
      </c>
    </row>
    <row r="1810">
      <c r="A1810" s="31" t="n"/>
      <c r="B1810" s="32" t="n"/>
      <c r="C1810" s="32" t="n"/>
      <c r="D1810" s="33" t="n"/>
      <c r="E1810" s="32" t="n"/>
      <c r="F1810" s="34">
        <f>IF(A1810="","",IFERROR(INT(A1810),"check date"))</f>
        <v/>
      </c>
      <c r="G1810" s="35">
        <f>IF(B1810="","",IFERROR(INDEX(Students!$A:$A,MATCH(TRIM(B1810),Students!$A:$A,0)),"NOT ON LIST"))</f>
        <v/>
      </c>
      <c r="H1810" s="35">
        <f>IF(OR(G1810="",G1810="NOT ON LIST"),"",VLOOKUP(G1810,Students!$A:$C,2,FALSE))</f>
        <v/>
      </c>
      <c r="I1810" s="35">
        <f>IF(OR(G1810="",G1810="NOT ON LIST"),"",VLOOKUP(G1810,Students!$A:$C,3,FALSE)&amp;"")</f>
        <v/>
      </c>
    </row>
    <row r="1811">
      <c r="A1811" s="31" t="n"/>
      <c r="B1811" s="32" t="n"/>
      <c r="C1811" s="32" t="n"/>
      <c r="D1811" s="33" t="n"/>
      <c r="E1811" s="32" t="n"/>
      <c r="F1811" s="34">
        <f>IF(A1811="","",IFERROR(INT(A1811),"check date"))</f>
        <v/>
      </c>
      <c r="G1811" s="35">
        <f>IF(B1811="","",IFERROR(INDEX(Students!$A:$A,MATCH(TRIM(B1811),Students!$A:$A,0)),"NOT ON LIST"))</f>
        <v/>
      </c>
      <c r="H1811" s="35">
        <f>IF(OR(G1811="",G1811="NOT ON LIST"),"",VLOOKUP(G1811,Students!$A:$C,2,FALSE))</f>
        <v/>
      </c>
      <c r="I1811" s="35">
        <f>IF(OR(G1811="",G1811="NOT ON LIST"),"",VLOOKUP(G1811,Students!$A:$C,3,FALSE)&amp;"")</f>
        <v/>
      </c>
    </row>
    <row r="1812">
      <c r="A1812" s="31" t="n"/>
      <c r="B1812" s="32" t="n"/>
      <c r="C1812" s="32" t="n"/>
      <c r="D1812" s="33" t="n"/>
      <c r="E1812" s="32" t="n"/>
      <c r="F1812" s="34">
        <f>IF(A1812="","",IFERROR(INT(A1812),"check date"))</f>
        <v/>
      </c>
      <c r="G1812" s="35">
        <f>IF(B1812="","",IFERROR(INDEX(Students!$A:$A,MATCH(TRIM(B1812),Students!$A:$A,0)),"NOT ON LIST"))</f>
        <v/>
      </c>
      <c r="H1812" s="35">
        <f>IF(OR(G1812="",G1812="NOT ON LIST"),"",VLOOKUP(G1812,Students!$A:$C,2,FALSE))</f>
        <v/>
      </c>
      <c r="I1812" s="35">
        <f>IF(OR(G1812="",G1812="NOT ON LIST"),"",VLOOKUP(G1812,Students!$A:$C,3,FALSE)&amp;"")</f>
        <v/>
      </c>
    </row>
    <row r="1813">
      <c r="A1813" s="31" t="n"/>
      <c r="B1813" s="32" t="n"/>
      <c r="C1813" s="32" t="n"/>
      <c r="D1813" s="33" t="n"/>
      <c r="E1813" s="32" t="n"/>
      <c r="F1813" s="34">
        <f>IF(A1813="","",IFERROR(INT(A1813),"check date"))</f>
        <v/>
      </c>
      <c r="G1813" s="35">
        <f>IF(B1813="","",IFERROR(INDEX(Students!$A:$A,MATCH(TRIM(B1813),Students!$A:$A,0)),"NOT ON LIST"))</f>
        <v/>
      </c>
      <c r="H1813" s="35">
        <f>IF(OR(G1813="",G1813="NOT ON LIST"),"",VLOOKUP(G1813,Students!$A:$C,2,FALSE))</f>
        <v/>
      </c>
      <c r="I1813" s="35">
        <f>IF(OR(G1813="",G1813="NOT ON LIST"),"",VLOOKUP(G1813,Students!$A:$C,3,FALSE)&amp;"")</f>
        <v/>
      </c>
    </row>
    <row r="1814">
      <c r="A1814" s="31" t="n"/>
      <c r="B1814" s="32" t="n"/>
      <c r="C1814" s="32" t="n"/>
      <c r="D1814" s="33" t="n"/>
      <c r="E1814" s="32" t="n"/>
      <c r="F1814" s="34">
        <f>IF(A1814="","",IFERROR(INT(A1814),"check date"))</f>
        <v/>
      </c>
      <c r="G1814" s="35">
        <f>IF(B1814="","",IFERROR(INDEX(Students!$A:$A,MATCH(TRIM(B1814),Students!$A:$A,0)),"NOT ON LIST"))</f>
        <v/>
      </c>
      <c r="H1814" s="35">
        <f>IF(OR(G1814="",G1814="NOT ON LIST"),"",VLOOKUP(G1814,Students!$A:$C,2,FALSE))</f>
        <v/>
      </c>
      <c r="I1814" s="35">
        <f>IF(OR(G1814="",G1814="NOT ON LIST"),"",VLOOKUP(G1814,Students!$A:$C,3,FALSE)&amp;"")</f>
        <v/>
      </c>
    </row>
    <row r="1815">
      <c r="A1815" s="31" t="n"/>
      <c r="B1815" s="32" t="n"/>
      <c r="C1815" s="32" t="n"/>
      <c r="D1815" s="33" t="n"/>
      <c r="E1815" s="32" t="n"/>
      <c r="F1815" s="34">
        <f>IF(A1815="","",IFERROR(INT(A1815),"check date"))</f>
        <v/>
      </c>
      <c r="G1815" s="35">
        <f>IF(B1815="","",IFERROR(INDEX(Students!$A:$A,MATCH(TRIM(B1815),Students!$A:$A,0)),"NOT ON LIST"))</f>
        <v/>
      </c>
      <c r="H1815" s="35">
        <f>IF(OR(G1815="",G1815="NOT ON LIST"),"",VLOOKUP(G1815,Students!$A:$C,2,FALSE))</f>
        <v/>
      </c>
      <c r="I1815" s="35">
        <f>IF(OR(G1815="",G1815="NOT ON LIST"),"",VLOOKUP(G1815,Students!$A:$C,3,FALSE)&amp;"")</f>
        <v/>
      </c>
    </row>
    <row r="1816">
      <c r="A1816" s="31" t="n"/>
      <c r="B1816" s="32" t="n"/>
      <c r="C1816" s="32" t="n"/>
      <c r="D1816" s="33" t="n"/>
      <c r="E1816" s="32" t="n"/>
      <c r="F1816" s="34">
        <f>IF(A1816="","",IFERROR(INT(A1816),"check date"))</f>
        <v/>
      </c>
      <c r="G1816" s="35">
        <f>IF(B1816="","",IFERROR(INDEX(Students!$A:$A,MATCH(TRIM(B1816),Students!$A:$A,0)),"NOT ON LIST"))</f>
        <v/>
      </c>
      <c r="H1816" s="35">
        <f>IF(OR(G1816="",G1816="NOT ON LIST"),"",VLOOKUP(G1816,Students!$A:$C,2,FALSE))</f>
        <v/>
      </c>
      <c r="I1816" s="35">
        <f>IF(OR(G1816="",G1816="NOT ON LIST"),"",VLOOKUP(G1816,Students!$A:$C,3,FALSE)&amp;"")</f>
        <v/>
      </c>
    </row>
    <row r="1817">
      <c r="A1817" s="31" t="n"/>
      <c r="B1817" s="32" t="n"/>
      <c r="C1817" s="32" t="n"/>
      <c r="D1817" s="33" t="n"/>
      <c r="E1817" s="32" t="n"/>
      <c r="F1817" s="34">
        <f>IF(A1817="","",IFERROR(INT(A1817),"check date"))</f>
        <v/>
      </c>
      <c r="G1817" s="35">
        <f>IF(B1817="","",IFERROR(INDEX(Students!$A:$A,MATCH(TRIM(B1817),Students!$A:$A,0)),"NOT ON LIST"))</f>
        <v/>
      </c>
      <c r="H1817" s="35">
        <f>IF(OR(G1817="",G1817="NOT ON LIST"),"",VLOOKUP(G1817,Students!$A:$C,2,FALSE))</f>
        <v/>
      </c>
      <c r="I1817" s="35">
        <f>IF(OR(G1817="",G1817="NOT ON LIST"),"",VLOOKUP(G1817,Students!$A:$C,3,FALSE)&amp;"")</f>
        <v/>
      </c>
    </row>
    <row r="1818">
      <c r="A1818" s="31" t="n"/>
      <c r="B1818" s="32" t="n"/>
      <c r="C1818" s="32" t="n"/>
      <c r="D1818" s="33" t="n"/>
      <c r="E1818" s="32" t="n"/>
      <c r="F1818" s="34">
        <f>IF(A1818="","",IFERROR(INT(A1818),"check date"))</f>
        <v/>
      </c>
      <c r="G1818" s="35">
        <f>IF(B1818="","",IFERROR(INDEX(Students!$A:$A,MATCH(TRIM(B1818),Students!$A:$A,0)),"NOT ON LIST"))</f>
        <v/>
      </c>
      <c r="H1818" s="35">
        <f>IF(OR(G1818="",G1818="NOT ON LIST"),"",VLOOKUP(G1818,Students!$A:$C,2,FALSE))</f>
        <v/>
      </c>
      <c r="I1818" s="35">
        <f>IF(OR(G1818="",G1818="NOT ON LIST"),"",VLOOKUP(G1818,Students!$A:$C,3,FALSE)&amp;"")</f>
        <v/>
      </c>
    </row>
    <row r="1819">
      <c r="A1819" s="31" t="n"/>
      <c r="B1819" s="32" t="n"/>
      <c r="C1819" s="32" t="n"/>
      <c r="D1819" s="33" t="n"/>
      <c r="E1819" s="32" t="n"/>
      <c r="F1819" s="34">
        <f>IF(A1819="","",IFERROR(INT(A1819),"check date"))</f>
        <v/>
      </c>
      <c r="G1819" s="35">
        <f>IF(B1819="","",IFERROR(INDEX(Students!$A:$A,MATCH(TRIM(B1819),Students!$A:$A,0)),"NOT ON LIST"))</f>
        <v/>
      </c>
      <c r="H1819" s="35">
        <f>IF(OR(G1819="",G1819="NOT ON LIST"),"",VLOOKUP(G1819,Students!$A:$C,2,FALSE))</f>
        <v/>
      </c>
      <c r="I1819" s="35">
        <f>IF(OR(G1819="",G1819="NOT ON LIST"),"",VLOOKUP(G1819,Students!$A:$C,3,FALSE)&amp;"")</f>
        <v/>
      </c>
    </row>
    <row r="1820">
      <c r="A1820" s="31" t="n"/>
      <c r="B1820" s="32" t="n"/>
      <c r="C1820" s="32" t="n"/>
      <c r="D1820" s="33" t="n"/>
      <c r="E1820" s="32" t="n"/>
      <c r="F1820" s="34">
        <f>IF(A1820="","",IFERROR(INT(A1820),"check date"))</f>
        <v/>
      </c>
      <c r="G1820" s="35">
        <f>IF(B1820="","",IFERROR(INDEX(Students!$A:$A,MATCH(TRIM(B1820),Students!$A:$A,0)),"NOT ON LIST"))</f>
        <v/>
      </c>
      <c r="H1820" s="35">
        <f>IF(OR(G1820="",G1820="NOT ON LIST"),"",VLOOKUP(G1820,Students!$A:$C,2,FALSE))</f>
        <v/>
      </c>
      <c r="I1820" s="35">
        <f>IF(OR(G1820="",G1820="NOT ON LIST"),"",VLOOKUP(G1820,Students!$A:$C,3,FALSE)&amp;"")</f>
        <v/>
      </c>
    </row>
    <row r="1821">
      <c r="A1821" s="31" t="n"/>
      <c r="B1821" s="32" t="n"/>
      <c r="C1821" s="32" t="n"/>
      <c r="D1821" s="33" t="n"/>
      <c r="E1821" s="32" t="n"/>
      <c r="F1821" s="34">
        <f>IF(A1821="","",IFERROR(INT(A1821),"check date"))</f>
        <v/>
      </c>
      <c r="G1821" s="35">
        <f>IF(B1821="","",IFERROR(INDEX(Students!$A:$A,MATCH(TRIM(B1821),Students!$A:$A,0)),"NOT ON LIST"))</f>
        <v/>
      </c>
      <c r="H1821" s="35">
        <f>IF(OR(G1821="",G1821="NOT ON LIST"),"",VLOOKUP(G1821,Students!$A:$C,2,FALSE))</f>
        <v/>
      </c>
      <c r="I1821" s="35">
        <f>IF(OR(G1821="",G1821="NOT ON LIST"),"",VLOOKUP(G1821,Students!$A:$C,3,FALSE)&amp;"")</f>
        <v/>
      </c>
    </row>
    <row r="1822">
      <c r="A1822" s="31" t="n"/>
      <c r="B1822" s="32" t="n"/>
      <c r="C1822" s="32" t="n"/>
      <c r="D1822" s="33" t="n"/>
      <c r="E1822" s="32" t="n"/>
      <c r="F1822" s="34">
        <f>IF(A1822="","",IFERROR(INT(A1822),"check date"))</f>
        <v/>
      </c>
      <c r="G1822" s="35">
        <f>IF(B1822="","",IFERROR(INDEX(Students!$A:$A,MATCH(TRIM(B1822),Students!$A:$A,0)),"NOT ON LIST"))</f>
        <v/>
      </c>
      <c r="H1822" s="35">
        <f>IF(OR(G1822="",G1822="NOT ON LIST"),"",VLOOKUP(G1822,Students!$A:$C,2,FALSE))</f>
        <v/>
      </c>
      <c r="I1822" s="35">
        <f>IF(OR(G1822="",G1822="NOT ON LIST"),"",VLOOKUP(G1822,Students!$A:$C,3,FALSE)&amp;"")</f>
        <v/>
      </c>
    </row>
    <row r="1823">
      <c r="A1823" s="31" t="n"/>
      <c r="B1823" s="32" t="n"/>
      <c r="C1823" s="32" t="n"/>
      <c r="D1823" s="33" t="n"/>
      <c r="E1823" s="32" t="n"/>
      <c r="F1823" s="34">
        <f>IF(A1823="","",IFERROR(INT(A1823),"check date"))</f>
        <v/>
      </c>
      <c r="G1823" s="35">
        <f>IF(B1823="","",IFERROR(INDEX(Students!$A:$A,MATCH(TRIM(B1823),Students!$A:$A,0)),"NOT ON LIST"))</f>
        <v/>
      </c>
      <c r="H1823" s="35">
        <f>IF(OR(G1823="",G1823="NOT ON LIST"),"",VLOOKUP(G1823,Students!$A:$C,2,FALSE))</f>
        <v/>
      </c>
      <c r="I1823" s="35">
        <f>IF(OR(G1823="",G1823="NOT ON LIST"),"",VLOOKUP(G1823,Students!$A:$C,3,FALSE)&amp;"")</f>
        <v/>
      </c>
    </row>
    <row r="1824">
      <c r="A1824" s="31" t="n"/>
      <c r="B1824" s="32" t="n"/>
      <c r="C1824" s="32" t="n"/>
      <c r="D1824" s="33" t="n"/>
      <c r="E1824" s="32" t="n"/>
      <c r="F1824" s="34">
        <f>IF(A1824="","",IFERROR(INT(A1824),"check date"))</f>
        <v/>
      </c>
      <c r="G1824" s="35">
        <f>IF(B1824="","",IFERROR(INDEX(Students!$A:$A,MATCH(TRIM(B1824),Students!$A:$A,0)),"NOT ON LIST"))</f>
        <v/>
      </c>
      <c r="H1824" s="35">
        <f>IF(OR(G1824="",G1824="NOT ON LIST"),"",VLOOKUP(G1824,Students!$A:$C,2,FALSE))</f>
        <v/>
      </c>
      <c r="I1824" s="35">
        <f>IF(OR(G1824="",G1824="NOT ON LIST"),"",VLOOKUP(G1824,Students!$A:$C,3,FALSE)&amp;"")</f>
        <v/>
      </c>
    </row>
    <row r="1825">
      <c r="A1825" s="31" t="n"/>
      <c r="B1825" s="32" t="n"/>
      <c r="C1825" s="32" t="n"/>
      <c r="D1825" s="33" t="n"/>
      <c r="E1825" s="32" t="n"/>
      <c r="F1825" s="34">
        <f>IF(A1825="","",IFERROR(INT(A1825),"check date"))</f>
        <v/>
      </c>
      <c r="G1825" s="35">
        <f>IF(B1825="","",IFERROR(INDEX(Students!$A:$A,MATCH(TRIM(B1825),Students!$A:$A,0)),"NOT ON LIST"))</f>
        <v/>
      </c>
      <c r="H1825" s="35">
        <f>IF(OR(G1825="",G1825="NOT ON LIST"),"",VLOOKUP(G1825,Students!$A:$C,2,FALSE))</f>
        <v/>
      </c>
      <c r="I1825" s="35">
        <f>IF(OR(G1825="",G1825="NOT ON LIST"),"",VLOOKUP(G1825,Students!$A:$C,3,FALSE)&amp;"")</f>
        <v/>
      </c>
    </row>
    <row r="1826">
      <c r="A1826" s="31" t="n"/>
      <c r="B1826" s="32" t="n"/>
      <c r="C1826" s="32" t="n"/>
      <c r="D1826" s="33" t="n"/>
      <c r="E1826" s="32" t="n"/>
      <c r="F1826" s="34">
        <f>IF(A1826="","",IFERROR(INT(A1826),"check date"))</f>
        <v/>
      </c>
      <c r="G1826" s="35">
        <f>IF(B1826="","",IFERROR(INDEX(Students!$A:$A,MATCH(TRIM(B1826),Students!$A:$A,0)),"NOT ON LIST"))</f>
        <v/>
      </c>
      <c r="H1826" s="35">
        <f>IF(OR(G1826="",G1826="NOT ON LIST"),"",VLOOKUP(G1826,Students!$A:$C,2,FALSE))</f>
        <v/>
      </c>
      <c r="I1826" s="35">
        <f>IF(OR(G1826="",G1826="NOT ON LIST"),"",VLOOKUP(G1826,Students!$A:$C,3,FALSE)&amp;"")</f>
        <v/>
      </c>
    </row>
    <row r="1827">
      <c r="A1827" s="31" t="n"/>
      <c r="B1827" s="32" t="n"/>
      <c r="C1827" s="32" t="n"/>
      <c r="D1827" s="33" t="n"/>
      <c r="E1827" s="32" t="n"/>
      <c r="F1827" s="34">
        <f>IF(A1827="","",IFERROR(INT(A1827),"check date"))</f>
        <v/>
      </c>
      <c r="G1827" s="35">
        <f>IF(B1827="","",IFERROR(INDEX(Students!$A:$A,MATCH(TRIM(B1827),Students!$A:$A,0)),"NOT ON LIST"))</f>
        <v/>
      </c>
      <c r="H1827" s="35">
        <f>IF(OR(G1827="",G1827="NOT ON LIST"),"",VLOOKUP(G1827,Students!$A:$C,2,FALSE))</f>
        <v/>
      </c>
      <c r="I1827" s="35">
        <f>IF(OR(G1827="",G1827="NOT ON LIST"),"",VLOOKUP(G1827,Students!$A:$C,3,FALSE)&amp;"")</f>
        <v/>
      </c>
    </row>
    <row r="1828">
      <c r="A1828" s="31" t="n"/>
      <c r="B1828" s="32" t="n"/>
      <c r="C1828" s="32" t="n"/>
      <c r="D1828" s="33" t="n"/>
      <c r="E1828" s="32" t="n"/>
      <c r="F1828" s="34">
        <f>IF(A1828="","",IFERROR(INT(A1828),"check date"))</f>
        <v/>
      </c>
      <c r="G1828" s="35">
        <f>IF(B1828="","",IFERROR(INDEX(Students!$A:$A,MATCH(TRIM(B1828),Students!$A:$A,0)),"NOT ON LIST"))</f>
        <v/>
      </c>
      <c r="H1828" s="35">
        <f>IF(OR(G1828="",G1828="NOT ON LIST"),"",VLOOKUP(G1828,Students!$A:$C,2,FALSE))</f>
        <v/>
      </c>
      <c r="I1828" s="35">
        <f>IF(OR(G1828="",G1828="NOT ON LIST"),"",VLOOKUP(G1828,Students!$A:$C,3,FALSE)&amp;"")</f>
        <v/>
      </c>
    </row>
    <row r="1829">
      <c r="A1829" s="31" t="n"/>
      <c r="B1829" s="32" t="n"/>
      <c r="C1829" s="32" t="n"/>
      <c r="D1829" s="33" t="n"/>
      <c r="E1829" s="32" t="n"/>
      <c r="F1829" s="34">
        <f>IF(A1829="","",IFERROR(INT(A1829),"check date"))</f>
        <v/>
      </c>
      <c r="G1829" s="35">
        <f>IF(B1829="","",IFERROR(INDEX(Students!$A:$A,MATCH(TRIM(B1829),Students!$A:$A,0)),"NOT ON LIST"))</f>
        <v/>
      </c>
      <c r="H1829" s="35">
        <f>IF(OR(G1829="",G1829="NOT ON LIST"),"",VLOOKUP(G1829,Students!$A:$C,2,FALSE))</f>
        <v/>
      </c>
      <c r="I1829" s="35">
        <f>IF(OR(G1829="",G1829="NOT ON LIST"),"",VLOOKUP(G1829,Students!$A:$C,3,FALSE)&amp;"")</f>
        <v/>
      </c>
    </row>
    <row r="1830">
      <c r="A1830" s="31" t="n"/>
      <c r="B1830" s="32" t="n"/>
      <c r="C1830" s="32" t="n"/>
      <c r="D1830" s="33" t="n"/>
      <c r="E1830" s="32" t="n"/>
      <c r="F1830" s="34">
        <f>IF(A1830="","",IFERROR(INT(A1830),"check date"))</f>
        <v/>
      </c>
      <c r="G1830" s="35">
        <f>IF(B1830="","",IFERROR(INDEX(Students!$A:$A,MATCH(TRIM(B1830),Students!$A:$A,0)),"NOT ON LIST"))</f>
        <v/>
      </c>
      <c r="H1830" s="35">
        <f>IF(OR(G1830="",G1830="NOT ON LIST"),"",VLOOKUP(G1830,Students!$A:$C,2,FALSE))</f>
        <v/>
      </c>
      <c r="I1830" s="35">
        <f>IF(OR(G1830="",G1830="NOT ON LIST"),"",VLOOKUP(G1830,Students!$A:$C,3,FALSE)&amp;"")</f>
        <v/>
      </c>
    </row>
    <row r="1831">
      <c r="A1831" s="31" t="n"/>
      <c r="B1831" s="32" t="n"/>
      <c r="C1831" s="32" t="n"/>
      <c r="D1831" s="33" t="n"/>
      <c r="E1831" s="32" t="n"/>
      <c r="F1831" s="34">
        <f>IF(A1831="","",IFERROR(INT(A1831),"check date"))</f>
        <v/>
      </c>
      <c r="G1831" s="35">
        <f>IF(B1831="","",IFERROR(INDEX(Students!$A:$A,MATCH(TRIM(B1831),Students!$A:$A,0)),"NOT ON LIST"))</f>
        <v/>
      </c>
      <c r="H1831" s="35">
        <f>IF(OR(G1831="",G1831="NOT ON LIST"),"",VLOOKUP(G1831,Students!$A:$C,2,FALSE))</f>
        <v/>
      </c>
      <c r="I1831" s="35">
        <f>IF(OR(G1831="",G1831="NOT ON LIST"),"",VLOOKUP(G1831,Students!$A:$C,3,FALSE)&amp;"")</f>
        <v/>
      </c>
    </row>
    <row r="1832">
      <c r="A1832" s="31" t="n"/>
      <c r="B1832" s="32" t="n"/>
      <c r="C1832" s="32" t="n"/>
      <c r="D1832" s="33" t="n"/>
      <c r="E1832" s="32" t="n"/>
      <c r="F1832" s="34">
        <f>IF(A1832="","",IFERROR(INT(A1832),"check date"))</f>
        <v/>
      </c>
      <c r="G1832" s="35">
        <f>IF(B1832="","",IFERROR(INDEX(Students!$A:$A,MATCH(TRIM(B1832),Students!$A:$A,0)),"NOT ON LIST"))</f>
        <v/>
      </c>
      <c r="H1832" s="35">
        <f>IF(OR(G1832="",G1832="NOT ON LIST"),"",VLOOKUP(G1832,Students!$A:$C,2,FALSE))</f>
        <v/>
      </c>
      <c r="I1832" s="35">
        <f>IF(OR(G1832="",G1832="NOT ON LIST"),"",VLOOKUP(G1832,Students!$A:$C,3,FALSE)&amp;"")</f>
        <v/>
      </c>
    </row>
    <row r="1833">
      <c r="A1833" s="31" t="n"/>
      <c r="B1833" s="32" t="n"/>
      <c r="C1833" s="32" t="n"/>
      <c r="D1833" s="33" t="n"/>
      <c r="E1833" s="32" t="n"/>
      <c r="F1833" s="34">
        <f>IF(A1833="","",IFERROR(INT(A1833),"check date"))</f>
        <v/>
      </c>
      <c r="G1833" s="35">
        <f>IF(B1833="","",IFERROR(INDEX(Students!$A:$A,MATCH(TRIM(B1833),Students!$A:$A,0)),"NOT ON LIST"))</f>
        <v/>
      </c>
      <c r="H1833" s="35">
        <f>IF(OR(G1833="",G1833="NOT ON LIST"),"",VLOOKUP(G1833,Students!$A:$C,2,FALSE))</f>
        <v/>
      </c>
      <c r="I1833" s="35">
        <f>IF(OR(G1833="",G1833="NOT ON LIST"),"",VLOOKUP(G1833,Students!$A:$C,3,FALSE)&amp;"")</f>
        <v/>
      </c>
    </row>
    <row r="1834">
      <c r="A1834" s="31" t="n"/>
      <c r="B1834" s="32" t="n"/>
      <c r="C1834" s="32" t="n"/>
      <c r="D1834" s="33" t="n"/>
      <c r="E1834" s="32" t="n"/>
      <c r="F1834" s="34">
        <f>IF(A1834="","",IFERROR(INT(A1834),"check date"))</f>
        <v/>
      </c>
      <c r="G1834" s="35">
        <f>IF(B1834="","",IFERROR(INDEX(Students!$A:$A,MATCH(TRIM(B1834),Students!$A:$A,0)),"NOT ON LIST"))</f>
        <v/>
      </c>
      <c r="H1834" s="35">
        <f>IF(OR(G1834="",G1834="NOT ON LIST"),"",VLOOKUP(G1834,Students!$A:$C,2,FALSE))</f>
        <v/>
      </c>
      <c r="I1834" s="35">
        <f>IF(OR(G1834="",G1834="NOT ON LIST"),"",VLOOKUP(G1834,Students!$A:$C,3,FALSE)&amp;"")</f>
        <v/>
      </c>
    </row>
    <row r="1835">
      <c r="A1835" s="31" t="n"/>
      <c r="B1835" s="32" t="n"/>
      <c r="C1835" s="32" t="n"/>
      <c r="D1835" s="33" t="n"/>
      <c r="E1835" s="32" t="n"/>
      <c r="F1835" s="34">
        <f>IF(A1835="","",IFERROR(INT(A1835),"check date"))</f>
        <v/>
      </c>
      <c r="G1835" s="35">
        <f>IF(B1835="","",IFERROR(INDEX(Students!$A:$A,MATCH(TRIM(B1835),Students!$A:$A,0)),"NOT ON LIST"))</f>
        <v/>
      </c>
      <c r="H1835" s="35">
        <f>IF(OR(G1835="",G1835="NOT ON LIST"),"",VLOOKUP(G1835,Students!$A:$C,2,FALSE))</f>
        <v/>
      </c>
      <c r="I1835" s="35">
        <f>IF(OR(G1835="",G1835="NOT ON LIST"),"",VLOOKUP(G1835,Students!$A:$C,3,FALSE)&amp;"")</f>
        <v/>
      </c>
    </row>
    <row r="1836">
      <c r="A1836" s="31" t="n"/>
      <c r="B1836" s="32" t="n"/>
      <c r="C1836" s="32" t="n"/>
      <c r="D1836" s="33" t="n"/>
      <c r="E1836" s="32" t="n"/>
      <c r="F1836" s="34">
        <f>IF(A1836="","",IFERROR(INT(A1836),"check date"))</f>
        <v/>
      </c>
      <c r="G1836" s="35">
        <f>IF(B1836="","",IFERROR(INDEX(Students!$A:$A,MATCH(TRIM(B1836),Students!$A:$A,0)),"NOT ON LIST"))</f>
        <v/>
      </c>
      <c r="H1836" s="35">
        <f>IF(OR(G1836="",G1836="NOT ON LIST"),"",VLOOKUP(G1836,Students!$A:$C,2,FALSE))</f>
        <v/>
      </c>
      <c r="I1836" s="35">
        <f>IF(OR(G1836="",G1836="NOT ON LIST"),"",VLOOKUP(G1836,Students!$A:$C,3,FALSE)&amp;"")</f>
        <v/>
      </c>
    </row>
    <row r="1837">
      <c r="A1837" s="31" t="n"/>
      <c r="B1837" s="32" t="n"/>
      <c r="C1837" s="32" t="n"/>
      <c r="D1837" s="33" t="n"/>
      <c r="E1837" s="32" t="n"/>
      <c r="F1837" s="34">
        <f>IF(A1837="","",IFERROR(INT(A1837),"check date"))</f>
        <v/>
      </c>
      <c r="G1837" s="35">
        <f>IF(B1837="","",IFERROR(INDEX(Students!$A:$A,MATCH(TRIM(B1837),Students!$A:$A,0)),"NOT ON LIST"))</f>
        <v/>
      </c>
      <c r="H1837" s="35">
        <f>IF(OR(G1837="",G1837="NOT ON LIST"),"",VLOOKUP(G1837,Students!$A:$C,2,FALSE))</f>
        <v/>
      </c>
      <c r="I1837" s="35">
        <f>IF(OR(G1837="",G1837="NOT ON LIST"),"",VLOOKUP(G1837,Students!$A:$C,3,FALSE)&amp;"")</f>
        <v/>
      </c>
    </row>
    <row r="1838">
      <c r="A1838" s="31" t="n"/>
      <c r="B1838" s="32" t="n"/>
      <c r="C1838" s="32" t="n"/>
      <c r="D1838" s="33" t="n"/>
      <c r="E1838" s="32" t="n"/>
      <c r="F1838" s="34">
        <f>IF(A1838="","",IFERROR(INT(A1838),"check date"))</f>
        <v/>
      </c>
      <c r="G1838" s="35">
        <f>IF(B1838="","",IFERROR(INDEX(Students!$A:$A,MATCH(TRIM(B1838),Students!$A:$A,0)),"NOT ON LIST"))</f>
        <v/>
      </c>
      <c r="H1838" s="35">
        <f>IF(OR(G1838="",G1838="NOT ON LIST"),"",VLOOKUP(G1838,Students!$A:$C,2,FALSE))</f>
        <v/>
      </c>
      <c r="I1838" s="35">
        <f>IF(OR(G1838="",G1838="NOT ON LIST"),"",VLOOKUP(G1838,Students!$A:$C,3,FALSE)&amp;"")</f>
        <v/>
      </c>
    </row>
    <row r="1839">
      <c r="A1839" s="31" t="n"/>
      <c r="B1839" s="32" t="n"/>
      <c r="C1839" s="32" t="n"/>
      <c r="D1839" s="33" t="n"/>
      <c r="E1839" s="32" t="n"/>
      <c r="F1839" s="34">
        <f>IF(A1839="","",IFERROR(INT(A1839),"check date"))</f>
        <v/>
      </c>
      <c r="G1839" s="35">
        <f>IF(B1839="","",IFERROR(INDEX(Students!$A:$A,MATCH(TRIM(B1839),Students!$A:$A,0)),"NOT ON LIST"))</f>
        <v/>
      </c>
      <c r="H1839" s="35">
        <f>IF(OR(G1839="",G1839="NOT ON LIST"),"",VLOOKUP(G1839,Students!$A:$C,2,FALSE))</f>
        <v/>
      </c>
      <c r="I1839" s="35">
        <f>IF(OR(G1839="",G1839="NOT ON LIST"),"",VLOOKUP(G1839,Students!$A:$C,3,FALSE)&amp;"")</f>
        <v/>
      </c>
    </row>
    <row r="1840">
      <c r="A1840" s="31" t="n"/>
      <c r="B1840" s="32" t="n"/>
      <c r="C1840" s="32" t="n"/>
      <c r="D1840" s="33" t="n"/>
      <c r="E1840" s="32" t="n"/>
      <c r="F1840" s="34">
        <f>IF(A1840="","",IFERROR(INT(A1840),"check date"))</f>
        <v/>
      </c>
      <c r="G1840" s="35">
        <f>IF(B1840="","",IFERROR(INDEX(Students!$A:$A,MATCH(TRIM(B1840),Students!$A:$A,0)),"NOT ON LIST"))</f>
        <v/>
      </c>
      <c r="H1840" s="35">
        <f>IF(OR(G1840="",G1840="NOT ON LIST"),"",VLOOKUP(G1840,Students!$A:$C,2,FALSE))</f>
        <v/>
      </c>
      <c r="I1840" s="35">
        <f>IF(OR(G1840="",G1840="NOT ON LIST"),"",VLOOKUP(G1840,Students!$A:$C,3,FALSE)&amp;"")</f>
        <v/>
      </c>
    </row>
    <row r="1841">
      <c r="A1841" s="31" t="n"/>
      <c r="B1841" s="32" t="n"/>
      <c r="C1841" s="32" t="n"/>
      <c r="D1841" s="33" t="n"/>
      <c r="E1841" s="32" t="n"/>
      <c r="F1841" s="34">
        <f>IF(A1841="","",IFERROR(INT(A1841),"check date"))</f>
        <v/>
      </c>
      <c r="G1841" s="35">
        <f>IF(B1841="","",IFERROR(INDEX(Students!$A:$A,MATCH(TRIM(B1841),Students!$A:$A,0)),"NOT ON LIST"))</f>
        <v/>
      </c>
      <c r="H1841" s="35">
        <f>IF(OR(G1841="",G1841="NOT ON LIST"),"",VLOOKUP(G1841,Students!$A:$C,2,FALSE))</f>
        <v/>
      </c>
      <c r="I1841" s="35">
        <f>IF(OR(G1841="",G1841="NOT ON LIST"),"",VLOOKUP(G1841,Students!$A:$C,3,FALSE)&amp;"")</f>
        <v/>
      </c>
    </row>
    <row r="1842">
      <c r="A1842" s="31" t="n"/>
      <c r="B1842" s="32" t="n"/>
      <c r="C1842" s="32" t="n"/>
      <c r="D1842" s="33" t="n"/>
      <c r="E1842" s="32" t="n"/>
      <c r="F1842" s="34">
        <f>IF(A1842="","",IFERROR(INT(A1842),"check date"))</f>
        <v/>
      </c>
      <c r="G1842" s="35">
        <f>IF(B1842="","",IFERROR(INDEX(Students!$A:$A,MATCH(TRIM(B1842),Students!$A:$A,0)),"NOT ON LIST"))</f>
        <v/>
      </c>
      <c r="H1842" s="35">
        <f>IF(OR(G1842="",G1842="NOT ON LIST"),"",VLOOKUP(G1842,Students!$A:$C,2,FALSE))</f>
        <v/>
      </c>
      <c r="I1842" s="35">
        <f>IF(OR(G1842="",G1842="NOT ON LIST"),"",VLOOKUP(G1842,Students!$A:$C,3,FALSE)&amp;"")</f>
        <v/>
      </c>
    </row>
    <row r="1843">
      <c r="A1843" s="31" t="n"/>
      <c r="B1843" s="32" t="n"/>
      <c r="C1843" s="32" t="n"/>
      <c r="D1843" s="33" t="n"/>
      <c r="E1843" s="32" t="n"/>
      <c r="F1843" s="34">
        <f>IF(A1843="","",IFERROR(INT(A1843),"check date"))</f>
        <v/>
      </c>
      <c r="G1843" s="35">
        <f>IF(B1843="","",IFERROR(INDEX(Students!$A:$A,MATCH(TRIM(B1843),Students!$A:$A,0)),"NOT ON LIST"))</f>
        <v/>
      </c>
      <c r="H1843" s="35">
        <f>IF(OR(G1843="",G1843="NOT ON LIST"),"",VLOOKUP(G1843,Students!$A:$C,2,FALSE))</f>
        <v/>
      </c>
      <c r="I1843" s="35">
        <f>IF(OR(G1843="",G1843="NOT ON LIST"),"",VLOOKUP(G1843,Students!$A:$C,3,FALSE)&amp;"")</f>
        <v/>
      </c>
    </row>
    <row r="1844">
      <c r="A1844" s="31" t="n"/>
      <c r="B1844" s="32" t="n"/>
      <c r="C1844" s="32" t="n"/>
      <c r="D1844" s="33" t="n"/>
      <c r="E1844" s="32" t="n"/>
      <c r="F1844" s="34">
        <f>IF(A1844="","",IFERROR(INT(A1844),"check date"))</f>
        <v/>
      </c>
      <c r="G1844" s="35">
        <f>IF(B1844="","",IFERROR(INDEX(Students!$A:$A,MATCH(TRIM(B1844),Students!$A:$A,0)),"NOT ON LIST"))</f>
        <v/>
      </c>
      <c r="H1844" s="35">
        <f>IF(OR(G1844="",G1844="NOT ON LIST"),"",VLOOKUP(G1844,Students!$A:$C,2,FALSE))</f>
        <v/>
      </c>
      <c r="I1844" s="35">
        <f>IF(OR(G1844="",G1844="NOT ON LIST"),"",VLOOKUP(G1844,Students!$A:$C,3,FALSE)&amp;"")</f>
        <v/>
      </c>
    </row>
    <row r="1845">
      <c r="A1845" s="31" t="n"/>
      <c r="B1845" s="32" t="n"/>
      <c r="C1845" s="32" t="n"/>
      <c r="D1845" s="33" t="n"/>
      <c r="E1845" s="32" t="n"/>
      <c r="F1845" s="34">
        <f>IF(A1845="","",IFERROR(INT(A1845),"check date"))</f>
        <v/>
      </c>
      <c r="G1845" s="35">
        <f>IF(B1845="","",IFERROR(INDEX(Students!$A:$A,MATCH(TRIM(B1845),Students!$A:$A,0)),"NOT ON LIST"))</f>
        <v/>
      </c>
      <c r="H1845" s="35">
        <f>IF(OR(G1845="",G1845="NOT ON LIST"),"",VLOOKUP(G1845,Students!$A:$C,2,FALSE))</f>
        <v/>
      </c>
      <c r="I1845" s="35">
        <f>IF(OR(G1845="",G1845="NOT ON LIST"),"",VLOOKUP(G1845,Students!$A:$C,3,FALSE)&amp;"")</f>
        <v/>
      </c>
    </row>
    <row r="1846">
      <c r="A1846" s="31" t="n"/>
      <c r="B1846" s="32" t="n"/>
      <c r="C1846" s="32" t="n"/>
      <c r="D1846" s="33" t="n"/>
      <c r="E1846" s="32" t="n"/>
      <c r="F1846" s="34">
        <f>IF(A1846="","",IFERROR(INT(A1846),"check date"))</f>
        <v/>
      </c>
      <c r="G1846" s="35">
        <f>IF(B1846="","",IFERROR(INDEX(Students!$A:$A,MATCH(TRIM(B1846),Students!$A:$A,0)),"NOT ON LIST"))</f>
        <v/>
      </c>
      <c r="H1846" s="35">
        <f>IF(OR(G1846="",G1846="NOT ON LIST"),"",VLOOKUP(G1846,Students!$A:$C,2,FALSE))</f>
        <v/>
      </c>
      <c r="I1846" s="35">
        <f>IF(OR(G1846="",G1846="NOT ON LIST"),"",VLOOKUP(G1846,Students!$A:$C,3,FALSE)&amp;"")</f>
        <v/>
      </c>
    </row>
    <row r="1847">
      <c r="A1847" s="31" t="n"/>
      <c r="B1847" s="32" t="n"/>
      <c r="C1847" s="32" t="n"/>
      <c r="D1847" s="33" t="n"/>
      <c r="E1847" s="32" t="n"/>
      <c r="F1847" s="34">
        <f>IF(A1847="","",IFERROR(INT(A1847),"check date"))</f>
        <v/>
      </c>
      <c r="G1847" s="35">
        <f>IF(B1847="","",IFERROR(INDEX(Students!$A:$A,MATCH(TRIM(B1847),Students!$A:$A,0)),"NOT ON LIST"))</f>
        <v/>
      </c>
      <c r="H1847" s="35">
        <f>IF(OR(G1847="",G1847="NOT ON LIST"),"",VLOOKUP(G1847,Students!$A:$C,2,FALSE))</f>
        <v/>
      </c>
      <c r="I1847" s="35">
        <f>IF(OR(G1847="",G1847="NOT ON LIST"),"",VLOOKUP(G1847,Students!$A:$C,3,FALSE)&amp;"")</f>
        <v/>
      </c>
    </row>
    <row r="1848">
      <c r="A1848" s="31" t="n"/>
      <c r="B1848" s="32" t="n"/>
      <c r="C1848" s="32" t="n"/>
      <c r="D1848" s="33" t="n"/>
      <c r="E1848" s="32" t="n"/>
      <c r="F1848" s="34">
        <f>IF(A1848="","",IFERROR(INT(A1848),"check date"))</f>
        <v/>
      </c>
      <c r="G1848" s="35">
        <f>IF(B1848="","",IFERROR(INDEX(Students!$A:$A,MATCH(TRIM(B1848),Students!$A:$A,0)),"NOT ON LIST"))</f>
        <v/>
      </c>
      <c r="H1848" s="35">
        <f>IF(OR(G1848="",G1848="NOT ON LIST"),"",VLOOKUP(G1848,Students!$A:$C,2,FALSE))</f>
        <v/>
      </c>
      <c r="I1848" s="35">
        <f>IF(OR(G1848="",G1848="NOT ON LIST"),"",VLOOKUP(G1848,Students!$A:$C,3,FALSE)&amp;"")</f>
        <v/>
      </c>
    </row>
    <row r="1849">
      <c r="A1849" s="31" t="n"/>
      <c r="B1849" s="32" t="n"/>
      <c r="C1849" s="32" t="n"/>
      <c r="D1849" s="33" t="n"/>
      <c r="E1849" s="32" t="n"/>
      <c r="F1849" s="34">
        <f>IF(A1849="","",IFERROR(INT(A1849),"check date"))</f>
        <v/>
      </c>
      <c r="G1849" s="35">
        <f>IF(B1849="","",IFERROR(INDEX(Students!$A:$A,MATCH(TRIM(B1849),Students!$A:$A,0)),"NOT ON LIST"))</f>
        <v/>
      </c>
      <c r="H1849" s="35">
        <f>IF(OR(G1849="",G1849="NOT ON LIST"),"",VLOOKUP(G1849,Students!$A:$C,2,FALSE))</f>
        <v/>
      </c>
      <c r="I1849" s="35">
        <f>IF(OR(G1849="",G1849="NOT ON LIST"),"",VLOOKUP(G1849,Students!$A:$C,3,FALSE)&amp;"")</f>
        <v/>
      </c>
    </row>
    <row r="1850">
      <c r="A1850" s="31" t="n"/>
      <c r="B1850" s="32" t="n"/>
      <c r="C1850" s="32" t="n"/>
      <c r="D1850" s="33" t="n"/>
      <c r="E1850" s="32" t="n"/>
      <c r="F1850" s="34">
        <f>IF(A1850="","",IFERROR(INT(A1850),"check date"))</f>
        <v/>
      </c>
      <c r="G1850" s="35">
        <f>IF(B1850="","",IFERROR(INDEX(Students!$A:$A,MATCH(TRIM(B1850),Students!$A:$A,0)),"NOT ON LIST"))</f>
        <v/>
      </c>
      <c r="H1850" s="35">
        <f>IF(OR(G1850="",G1850="NOT ON LIST"),"",VLOOKUP(G1850,Students!$A:$C,2,FALSE))</f>
        <v/>
      </c>
      <c r="I1850" s="35">
        <f>IF(OR(G1850="",G1850="NOT ON LIST"),"",VLOOKUP(G1850,Students!$A:$C,3,FALSE)&amp;"")</f>
        <v/>
      </c>
    </row>
    <row r="1851">
      <c r="A1851" s="31" t="n"/>
      <c r="B1851" s="32" t="n"/>
      <c r="C1851" s="32" t="n"/>
      <c r="D1851" s="33" t="n"/>
      <c r="E1851" s="32" t="n"/>
      <c r="F1851" s="34">
        <f>IF(A1851="","",IFERROR(INT(A1851),"check date"))</f>
        <v/>
      </c>
      <c r="G1851" s="35">
        <f>IF(B1851="","",IFERROR(INDEX(Students!$A:$A,MATCH(TRIM(B1851),Students!$A:$A,0)),"NOT ON LIST"))</f>
        <v/>
      </c>
      <c r="H1851" s="35">
        <f>IF(OR(G1851="",G1851="NOT ON LIST"),"",VLOOKUP(G1851,Students!$A:$C,2,FALSE))</f>
        <v/>
      </c>
      <c r="I1851" s="35">
        <f>IF(OR(G1851="",G1851="NOT ON LIST"),"",VLOOKUP(G1851,Students!$A:$C,3,FALSE)&amp;"")</f>
        <v/>
      </c>
    </row>
    <row r="1852">
      <c r="A1852" s="31" t="n"/>
      <c r="B1852" s="32" t="n"/>
      <c r="C1852" s="32" t="n"/>
      <c r="D1852" s="33" t="n"/>
      <c r="E1852" s="32" t="n"/>
      <c r="F1852" s="34">
        <f>IF(A1852="","",IFERROR(INT(A1852),"check date"))</f>
        <v/>
      </c>
      <c r="G1852" s="35">
        <f>IF(B1852="","",IFERROR(INDEX(Students!$A:$A,MATCH(TRIM(B1852),Students!$A:$A,0)),"NOT ON LIST"))</f>
        <v/>
      </c>
      <c r="H1852" s="35">
        <f>IF(OR(G1852="",G1852="NOT ON LIST"),"",VLOOKUP(G1852,Students!$A:$C,2,FALSE))</f>
        <v/>
      </c>
      <c r="I1852" s="35">
        <f>IF(OR(G1852="",G1852="NOT ON LIST"),"",VLOOKUP(G1852,Students!$A:$C,3,FALSE)&amp;"")</f>
        <v/>
      </c>
    </row>
    <row r="1853">
      <c r="A1853" s="31" t="n"/>
      <c r="B1853" s="32" t="n"/>
      <c r="C1853" s="32" t="n"/>
      <c r="D1853" s="33" t="n"/>
      <c r="E1853" s="32" t="n"/>
      <c r="F1853" s="34">
        <f>IF(A1853="","",IFERROR(INT(A1853),"check date"))</f>
        <v/>
      </c>
      <c r="G1853" s="35">
        <f>IF(B1853="","",IFERROR(INDEX(Students!$A:$A,MATCH(TRIM(B1853),Students!$A:$A,0)),"NOT ON LIST"))</f>
        <v/>
      </c>
      <c r="H1853" s="35">
        <f>IF(OR(G1853="",G1853="NOT ON LIST"),"",VLOOKUP(G1853,Students!$A:$C,2,FALSE))</f>
        <v/>
      </c>
      <c r="I1853" s="35">
        <f>IF(OR(G1853="",G1853="NOT ON LIST"),"",VLOOKUP(G1853,Students!$A:$C,3,FALSE)&amp;"")</f>
        <v/>
      </c>
    </row>
    <row r="1854">
      <c r="A1854" s="31" t="n"/>
      <c r="B1854" s="32" t="n"/>
      <c r="C1854" s="32" t="n"/>
      <c r="D1854" s="33" t="n"/>
      <c r="E1854" s="32" t="n"/>
      <c r="F1854" s="34">
        <f>IF(A1854="","",IFERROR(INT(A1854),"check date"))</f>
        <v/>
      </c>
      <c r="G1854" s="35">
        <f>IF(B1854="","",IFERROR(INDEX(Students!$A:$A,MATCH(TRIM(B1854),Students!$A:$A,0)),"NOT ON LIST"))</f>
        <v/>
      </c>
      <c r="H1854" s="35">
        <f>IF(OR(G1854="",G1854="NOT ON LIST"),"",VLOOKUP(G1854,Students!$A:$C,2,FALSE))</f>
        <v/>
      </c>
      <c r="I1854" s="35">
        <f>IF(OR(G1854="",G1854="NOT ON LIST"),"",VLOOKUP(G1854,Students!$A:$C,3,FALSE)&amp;"")</f>
        <v/>
      </c>
    </row>
    <row r="1855">
      <c r="A1855" s="31" t="n"/>
      <c r="B1855" s="32" t="n"/>
      <c r="C1855" s="32" t="n"/>
      <c r="D1855" s="33" t="n"/>
      <c r="E1855" s="32" t="n"/>
      <c r="F1855" s="34">
        <f>IF(A1855="","",IFERROR(INT(A1855),"check date"))</f>
        <v/>
      </c>
      <c r="G1855" s="35">
        <f>IF(B1855="","",IFERROR(INDEX(Students!$A:$A,MATCH(TRIM(B1855),Students!$A:$A,0)),"NOT ON LIST"))</f>
        <v/>
      </c>
      <c r="H1855" s="35">
        <f>IF(OR(G1855="",G1855="NOT ON LIST"),"",VLOOKUP(G1855,Students!$A:$C,2,FALSE))</f>
        <v/>
      </c>
      <c r="I1855" s="35">
        <f>IF(OR(G1855="",G1855="NOT ON LIST"),"",VLOOKUP(G1855,Students!$A:$C,3,FALSE)&amp;"")</f>
        <v/>
      </c>
    </row>
    <row r="1856">
      <c r="A1856" s="31" t="n"/>
      <c r="B1856" s="32" t="n"/>
      <c r="C1856" s="32" t="n"/>
      <c r="D1856" s="33" t="n"/>
      <c r="E1856" s="32" t="n"/>
      <c r="F1856" s="34">
        <f>IF(A1856="","",IFERROR(INT(A1856),"check date"))</f>
        <v/>
      </c>
      <c r="G1856" s="35">
        <f>IF(B1856="","",IFERROR(INDEX(Students!$A:$A,MATCH(TRIM(B1856),Students!$A:$A,0)),"NOT ON LIST"))</f>
        <v/>
      </c>
      <c r="H1856" s="35">
        <f>IF(OR(G1856="",G1856="NOT ON LIST"),"",VLOOKUP(G1856,Students!$A:$C,2,FALSE))</f>
        <v/>
      </c>
      <c r="I1856" s="35">
        <f>IF(OR(G1856="",G1856="NOT ON LIST"),"",VLOOKUP(G1856,Students!$A:$C,3,FALSE)&amp;"")</f>
        <v/>
      </c>
    </row>
    <row r="1857">
      <c r="A1857" s="31" t="n"/>
      <c r="B1857" s="32" t="n"/>
      <c r="C1857" s="32" t="n"/>
      <c r="D1857" s="33" t="n"/>
      <c r="E1857" s="32" t="n"/>
      <c r="F1857" s="34">
        <f>IF(A1857="","",IFERROR(INT(A1857),"check date"))</f>
        <v/>
      </c>
      <c r="G1857" s="35">
        <f>IF(B1857="","",IFERROR(INDEX(Students!$A:$A,MATCH(TRIM(B1857),Students!$A:$A,0)),"NOT ON LIST"))</f>
        <v/>
      </c>
      <c r="H1857" s="35">
        <f>IF(OR(G1857="",G1857="NOT ON LIST"),"",VLOOKUP(G1857,Students!$A:$C,2,FALSE))</f>
        <v/>
      </c>
      <c r="I1857" s="35">
        <f>IF(OR(G1857="",G1857="NOT ON LIST"),"",VLOOKUP(G1857,Students!$A:$C,3,FALSE)&amp;"")</f>
        <v/>
      </c>
    </row>
    <row r="1858">
      <c r="A1858" s="31" t="n"/>
      <c r="B1858" s="32" t="n"/>
      <c r="C1858" s="32" t="n"/>
      <c r="D1858" s="33" t="n"/>
      <c r="E1858" s="32" t="n"/>
      <c r="F1858" s="34">
        <f>IF(A1858="","",IFERROR(INT(A1858),"check date"))</f>
        <v/>
      </c>
      <c r="G1858" s="35">
        <f>IF(B1858="","",IFERROR(INDEX(Students!$A:$A,MATCH(TRIM(B1858),Students!$A:$A,0)),"NOT ON LIST"))</f>
        <v/>
      </c>
      <c r="H1858" s="35">
        <f>IF(OR(G1858="",G1858="NOT ON LIST"),"",VLOOKUP(G1858,Students!$A:$C,2,FALSE))</f>
        <v/>
      </c>
      <c r="I1858" s="35">
        <f>IF(OR(G1858="",G1858="NOT ON LIST"),"",VLOOKUP(G1858,Students!$A:$C,3,FALSE)&amp;"")</f>
        <v/>
      </c>
    </row>
    <row r="1859">
      <c r="A1859" s="31" t="n"/>
      <c r="B1859" s="32" t="n"/>
      <c r="C1859" s="32" t="n"/>
      <c r="D1859" s="33" t="n"/>
      <c r="E1859" s="32" t="n"/>
      <c r="F1859" s="34">
        <f>IF(A1859="","",IFERROR(INT(A1859),"check date"))</f>
        <v/>
      </c>
      <c r="G1859" s="35">
        <f>IF(B1859="","",IFERROR(INDEX(Students!$A:$A,MATCH(TRIM(B1859),Students!$A:$A,0)),"NOT ON LIST"))</f>
        <v/>
      </c>
      <c r="H1859" s="35">
        <f>IF(OR(G1859="",G1859="NOT ON LIST"),"",VLOOKUP(G1859,Students!$A:$C,2,FALSE))</f>
        <v/>
      </c>
      <c r="I1859" s="35">
        <f>IF(OR(G1859="",G1859="NOT ON LIST"),"",VLOOKUP(G1859,Students!$A:$C,3,FALSE)&amp;"")</f>
        <v/>
      </c>
    </row>
    <row r="1860">
      <c r="A1860" s="31" t="n"/>
      <c r="B1860" s="32" t="n"/>
      <c r="C1860" s="32" t="n"/>
      <c r="D1860" s="33" t="n"/>
      <c r="E1860" s="32" t="n"/>
      <c r="F1860" s="34">
        <f>IF(A1860="","",IFERROR(INT(A1860),"check date"))</f>
        <v/>
      </c>
      <c r="G1860" s="35">
        <f>IF(B1860="","",IFERROR(INDEX(Students!$A:$A,MATCH(TRIM(B1860),Students!$A:$A,0)),"NOT ON LIST"))</f>
        <v/>
      </c>
      <c r="H1860" s="35">
        <f>IF(OR(G1860="",G1860="NOT ON LIST"),"",VLOOKUP(G1860,Students!$A:$C,2,FALSE))</f>
        <v/>
      </c>
      <c r="I1860" s="35">
        <f>IF(OR(G1860="",G1860="NOT ON LIST"),"",VLOOKUP(G1860,Students!$A:$C,3,FALSE)&amp;"")</f>
        <v/>
      </c>
    </row>
    <row r="1861">
      <c r="A1861" s="31" t="n"/>
      <c r="B1861" s="32" t="n"/>
      <c r="C1861" s="32" t="n"/>
      <c r="D1861" s="33" t="n"/>
      <c r="E1861" s="32" t="n"/>
      <c r="F1861" s="34">
        <f>IF(A1861="","",IFERROR(INT(A1861),"check date"))</f>
        <v/>
      </c>
      <c r="G1861" s="35">
        <f>IF(B1861="","",IFERROR(INDEX(Students!$A:$A,MATCH(TRIM(B1861),Students!$A:$A,0)),"NOT ON LIST"))</f>
        <v/>
      </c>
      <c r="H1861" s="35">
        <f>IF(OR(G1861="",G1861="NOT ON LIST"),"",VLOOKUP(G1861,Students!$A:$C,2,FALSE))</f>
        <v/>
      </c>
      <c r="I1861" s="35">
        <f>IF(OR(G1861="",G1861="NOT ON LIST"),"",VLOOKUP(G1861,Students!$A:$C,3,FALSE)&amp;"")</f>
        <v/>
      </c>
    </row>
    <row r="1862">
      <c r="A1862" s="31" t="n"/>
      <c r="B1862" s="32" t="n"/>
      <c r="C1862" s="32" t="n"/>
      <c r="D1862" s="33" t="n"/>
      <c r="E1862" s="32" t="n"/>
      <c r="F1862" s="34">
        <f>IF(A1862="","",IFERROR(INT(A1862),"check date"))</f>
        <v/>
      </c>
      <c r="G1862" s="35">
        <f>IF(B1862="","",IFERROR(INDEX(Students!$A:$A,MATCH(TRIM(B1862),Students!$A:$A,0)),"NOT ON LIST"))</f>
        <v/>
      </c>
      <c r="H1862" s="35">
        <f>IF(OR(G1862="",G1862="NOT ON LIST"),"",VLOOKUP(G1862,Students!$A:$C,2,FALSE))</f>
        <v/>
      </c>
      <c r="I1862" s="35">
        <f>IF(OR(G1862="",G1862="NOT ON LIST"),"",VLOOKUP(G1862,Students!$A:$C,3,FALSE)&amp;"")</f>
        <v/>
      </c>
    </row>
    <row r="1863">
      <c r="A1863" s="31" t="n"/>
      <c r="B1863" s="32" t="n"/>
      <c r="C1863" s="32" t="n"/>
      <c r="D1863" s="33" t="n"/>
      <c r="E1863" s="32" t="n"/>
      <c r="F1863" s="34">
        <f>IF(A1863="","",IFERROR(INT(A1863),"check date"))</f>
        <v/>
      </c>
      <c r="G1863" s="35">
        <f>IF(B1863="","",IFERROR(INDEX(Students!$A:$A,MATCH(TRIM(B1863),Students!$A:$A,0)),"NOT ON LIST"))</f>
        <v/>
      </c>
      <c r="H1863" s="35">
        <f>IF(OR(G1863="",G1863="NOT ON LIST"),"",VLOOKUP(G1863,Students!$A:$C,2,FALSE))</f>
        <v/>
      </c>
      <c r="I1863" s="35">
        <f>IF(OR(G1863="",G1863="NOT ON LIST"),"",VLOOKUP(G1863,Students!$A:$C,3,FALSE)&amp;"")</f>
        <v/>
      </c>
    </row>
    <row r="1864">
      <c r="A1864" s="31" t="n"/>
      <c r="B1864" s="32" t="n"/>
      <c r="C1864" s="32" t="n"/>
      <c r="D1864" s="33" t="n"/>
      <c r="E1864" s="32" t="n"/>
      <c r="F1864" s="34">
        <f>IF(A1864="","",IFERROR(INT(A1864),"check date"))</f>
        <v/>
      </c>
      <c r="G1864" s="35">
        <f>IF(B1864="","",IFERROR(INDEX(Students!$A:$A,MATCH(TRIM(B1864),Students!$A:$A,0)),"NOT ON LIST"))</f>
        <v/>
      </c>
      <c r="H1864" s="35">
        <f>IF(OR(G1864="",G1864="NOT ON LIST"),"",VLOOKUP(G1864,Students!$A:$C,2,FALSE))</f>
        <v/>
      </c>
      <c r="I1864" s="35">
        <f>IF(OR(G1864="",G1864="NOT ON LIST"),"",VLOOKUP(G1864,Students!$A:$C,3,FALSE)&amp;"")</f>
        <v/>
      </c>
    </row>
    <row r="1865">
      <c r="A1865" s="31" t="n"/>
      <c r="B1865" s="32" t="n"/>
      <c r="C1865" s="32" t="n"/>
      <c r="D1865" s="33" t="n"/>
      <c r="E1865" s="32" t="n"/>
      <c r="F1865" s="34">
        <f>IF(A1865="","",IFERROR(INT(A1865),"check date"))</f>
        <v/>
      </c>
      <c r="G1865" s="35">
        <f>IF(B1865="","",IFERROR(INDEX(Students!$A:$A,MATCH(TRIM(B1865),Students!$A:$A,0)),"NOT ON LIST"))</f>
        <v/>
      </c>
      <c r="H1865" s="35">
        <f>IF(OR(G1865="",G1865="NOT ON LIST"),"",VLOOKUP(G1865,Students!$A:$C,2,FALSE))</f>
        <v/>
      </c>
      <c r="I1865" s="35">
        <f>IF(OR(G1865="",G1865="NOT ON LIST"),"",VLOOKUP(G1865,Students!$A:$C,3,FALSE)&amp;"")</f>
        <v/>
      </c>
    </row>
    <row r="1866">
      <c r="A1866" s="31" t="n"/>
      <c r="B1866" s="32" t="n"/>
      <c r="C1866" s="32" t="n"/>
      <c r="D1866" s="33" t="n"/>
      <c r="E1866" s="32" t="n"/>
      <c r="F1866" s="34">
        <f>IF(A1866="","",IFERROR(INT(A1866),"check date"))</f>
        <v/>
      </c>
      <c r="G1866" s="35">
        <f>IF(B1866="","",IFERROR(INDEX(Students!$A:$A,MATCH(TRIM(B1866),Students!$A:$A,0)),"NOT ON LIST"))</f>
        <v/>
      </c>
      <c r="H1866" s="35">
        <f>IF(OR(G1866="",G1866="NOT ON LIST"),"",VLOOKUP(G1866,Students!$A:$C,2,FALSE))</f>
        <v/>
      </c>
      <c r="I1866" s="35">
        <f>IF(OR(G1866="",G1866="NOT ON LIST"),"",VLOOKUP(G1866,Students!$A:$C,3,FALSE)&amp;"")</f>
        <v/>
      </c>
    </row>
    <row r="1867">
      <c r="A1867" s="31" t="n"/>
      <c r="B1867" s="32" t="n"/>
      <c r="C1867" s="32" t="n"/>
      <c r="D1867" s="33" t="n"/>
      <c r="E1867" s="32" t="n"/>
      <c r="F1867" s="34">
        <f>IF(A1867="","",IFERROR(INT(A1867),"check date"))</f>
        <v/>
      </c>
      <c r="G1867" s="35">
        <f>IF(B1867="","",IFERROR(INDEX(Students!$A:$A,MATCH(TRIM(B1867),Students!$A:$A,0)),"NOT ON LIST"))</f>
        <v/>
      </c>
      <c r="H1867" s="35">
        <f>IF(OR(G1867="",G1867="NOT ON LIST"),"",VLOOKUP(G1867,Students!$A:$C,2,FALSE))</f>
        <v/>
      </c>
      <c r="I1867" s="35">
        <f>IF(OR(G1867="",G1867="NOT ON LIST"),"",VLOOKUP(G1867,Students!$A:$C,3,FALSE)&amp;"")</f>
        <v/>
      </c>
    </row>
    <row r="1868">
      <c r="A1868" s="31" t="n"/>
      <c r="B1868" s="32" t="n"/>
      <c r="C1868" s="32" t="n"/>
      <c r="D1868" s="33" t="n"/>
      <c r="E1868" s="32" t="n"/>
      <c r="F1868" s="34">
        <f>IF(A1868="","",IFERROR(INT(A1868),"check date"))</f>
        <v/>
      </c>
      <c r="G1868" s="35">
        <f>IF(B1868="","",IFERROR(INDEX(Students!$A:$A,MATCH(TRIM(B1868),Students!$A:$A,0)),"NOT ON LIST"))</f>
        <v/>
      </c>
      <c r="H1868" s="35">
        <f>IF(OR(G1868="",G1868="NOT ON LIST"),"",VLOOKUP(G1868,Students!$A:$C,2,FALSE))</f>
        <v/>
      </c>
      <c r="I1868" s="35">
        <f>IF(OR(G1868="",G1868="NOT ON LIST"),"",VLOOKUP(G1868,Students!$A:$C,3,FALSE)&amp;"")</f>
        <v/>
      </c>
    </row>
    <row r="1869">
      <c r="A1869" s="31" t="n"/>
      <c r="B1869" s="32" t="n"/>
      <c r="C1869" s="32" t="n"/>
      <c r="D1869" s="33" t="n"/>
      <c r="E1869" s="32" t="n"/>
      <c r="F1869" s="34">
        <f>IF(A1869="","",IFERROR(INT(A1869),"check date"))</f>
        <v/>
      </c>
      <c r="G1869" s="35">
        <f>IF(B1869="","",IFERROR(INDEX(Students!$A:$A,MATCH(TRIM(B1869),Students!$A:$A,0)),"NOT ON LIST"))</f>
        <v/>
      </c>
      <c r="H1869" s="35">
        <f>IF(OR(G1869="",G1869="NOT ON LIST"),"",VLOOKUP(G1869,Students!$A:$C,2,FALSE))</f>
        <v/>
      </c>
      <c r="I1869" s="35">
        <f>IF(OR(G1869="",G1869="NOT ON LIST"),"",VLOOKUP(G1869,Students!$A:$C,3,FALSE)&amp;"")</f>
        <v/>
      </c>
    </row>
    <row r="1870">
      <c r="A1870" s="31" t="n"/>
      <c r="B1870" s="32" t="n"/>
      <c r="C1870" s="32" t="n"/>
      <c r="D1870" s="33" t="n"/>
      <c r="E1870" s="32" t="n"/>
      <c r="F1870" s="34">
        <f>IF(A1870="","",IFERROR(INT(A1870),"check date"))</f>
        <v/>
      </c>
      <c r="G1870" s="35">
        <f>IF(B1870="","",IFERROR(INDEX(Students!$A:$A,MATCH(TRIM(B1870),Students!$A:$A,0)),"NOT ON LIST"))</f>
        <v/>
      </c>
      <c r="H1870" s="35">
        <f>IF(OR(G1870="",G1870="NOT ON LIST"),"",VLOOKUP(G1870,Students!$A:$C,2,FALSE))</f>
        <v/>
      </c>
      <c r="I1870" s="35">
        <f>IF(OR(G1870="",G1870="NOT ON LIST"),"",VLOOKUP(G1870,Students!$A:$C,3,FALSE)&amp;"")</f>
        <v/>
      </c>
    </row>
    <row r="1871">
      <c r="A1871" s="31" t="n"/>
      <c r="B1871" s="32" t="n"/>
      <c r="C1871" s="32" t="n"/>
      <c r="D1871" s="33" t="n"/>
      <c r="E1871" s="32" t="n"/>
      <c r="F1871" s="34">
        <f>IF(A1871="","",IFERROR(INT(A1871),"check date"))</f>
        <v/>
      </c>
      <c r="G1871" s="35">
        <f>IF(B1871="","",IFERROR(INDEX(Students!$A:$A,MATCH(TRIM(B1871),Students!$A:$A,0)),"NOT ON LIST"))</f>
        <v/>
      </c>
      <c r="H1871" s="35">
        <f>IF(OR(G1871="",G1871="NOT ON LIST"),"",VLOOKUP(G1871,Students!$A:$C,2,FALSE))</f>
        <v/>
      </c>
      <c r="I1871" s="35">
        <f>IF(OR(G1871="",G1871="NOT ON LIST"),"",VLOOKUP(G1871,Students!$A:$C,3,FALSE)&amp;"")</f>
        <v/>
      </c>
    </row>
    <row r="1872">
      <c r="A1872" s="31" t="n"/>
      <c r="B1872" s="32" t="n"/>
      <c r="C1872" s="32" t="n"/>
      <c r="D1872" s="33" t="n"/>
      <c r="E1872" s="32" t="n"/>
      <c r="F1872" s="34">
        <f>IF(A1872="","",IFERROR(INT(A1872),"check date"))</f>
        <v/>
      </c>
      <c r="G1872" s="35">
        <f>IF(B1872="","",IFERROR(INDEX(Students!$A:$A,MATCH(TRIM(B1872),Students!$A:$A,0)),"NOT ON LIST"))</f>
        <v/>
      </c>
      <c r="H1872" s="35">
        <f>IF(OR(G1872="",G1872="NOT ON LIST"),"",VLOOKUP(G1872,Students!$A:$C,2,FALSE))</f>
        <v/>
      </c>
      <c r="I1872" s="35">
        <f>IF(OR(G1872="",G1872="NOT ON LIST"),"",VLOOKUP(G1872,Students!$A:$C,3,FALSE)&amp;"")</f>
        <v/>
      </c>
    </row>
    <row r="1873">
      <c r="A1873" s="31" t="n"/>
      <c r="B1873" s="32" t="n"/>
      <c r="C1873" s="32" t="n"/>
      <c r="D1873" s="33" t="n"/>
      <c r="E1873" s="32" t="n"/>
      <c r="F1873" s="34">
        <f>IF(A1873="","",IFERROR(INT(A1873),"check date"))</f>
        <v/>
      </c>
      <c r="G1873" s="35">
        <f>IF(B1873="","",IFERROR(INDEX(Students!$A:$A,MATCH(TRIM(B1873),Students!$A:$A,0)),"NOT ON LIST"))</f>
        <v/>
      </c>
      <c r="H1873" s="35">
        <f>IF(OR(G1873="",G1873="NOT ON LIST"),"",VLOOKUP(G1873,Students!$A:$C,2,FALSE))</f>
        <v/>
      </c>
      <c r="I1873" s="35">
        <f>IF(OR(G1873="",G1873="NOT ON LIST"),"",VLOOKUP(G1873,Students!$A:$C,3,FALSE)&amp;"")</f>
        <v/>
      </c>
    </row>
    <row r="1874">
      <c r="A1874" s="31" t="n"/>
      <c r="B1874" s="32" t="n"/>
      <c r="C1874" s="32" t="n"/>
      <c r="D1874" s="33" t="n"/>
      <c r="E1874" s="32" t="n"/>
      <c r="F1874" s="34">
        <f>IF(A1874="","",IFERROR(INT(A1874),"check date"))</f>
        <v/>
      </c>
      <c r="G1874" s="35">
        <f>IF(B1874="","",IFERROR(INDEX(Students!$A:$A,MATCH(TRIM(B1874),Students!$A:$A,0)),"NOT ON LIST"))</f>
        <v/>
      </c>
      <c r="H1874" s="35">
        <f>IF(OR(G1874="",G1874="NOT ON LIST"),"",VLOOKUP(G1874,Students!$A:$C,2,FALSE))</f>
        <v/>
      </c>
      <c r="I1874" s="35">
        <f>IF(OR(G1874="",G1874="NOT ON LIST"),"",VLOOKUP(G1874,Students!$A:$C,3,FALSE)&amp;"")</f>
        <v/>
      </c>
    </row>
    <row r="1875">
      <c r="A1875" s="31" t="n"/>
      <c r="B1875" s="32" t="n"/>
      <c r="C1875" s="32" t="n"/>
      <c r="D1875" s="33" t="n"/>
      <c r="E1875" s="32" t="n"/>
      <c r="F1875" s="34">
        <f>IF(A1875="","",IFERROR(INT(A1875),"check date"))</f>
        <v/>
      </c>
      <c r="G1875" s="35">
        <f>IF(B1875="","",IFERROR(INDEX(Students!$A:$A,MATCH(TRIM(B1875),Students!$A:$A,0)),"NOT ON LIST"))</f>
        <v/>
      </c>
      <c r="H1875" s="35">
        <f>IF(OR(G1875="",G1875="NOT ON LIST"),"",VLOOKUP(G1875,Students!$A:$C,2,FALSE))</f>
        <v/>
      </c>
      <c r="I1875" s="35">
        <f>IF(OR(G1875="",G1875="NOT ON LIST"),"",VLOOKUP(G1875,Students!$A:$C,3,FALSE)&amp;"")</f>
        <v/>
      </c>
    </row>
    <row r="1876">
      <c r="A1876" s="31" t="n"/>
      <c r="B1876" s="32" t="n"/>
      <c r="C1876" s="32" t="n"/>
      <c r="D1876" s="33" t="n"/>
      <c r="E1876" s="32" t="n"/>
      <c r="F1876" s="34">
        <f>IF(A1876="","",IFERROR(INT(A1876),"check date"))</f>
        <v/>
      </c>
      <c r="G1876" s="35">
        <f>IF(B1876="","",IFERROR(INDEX(Students!$A:$A,MATCH(TRIM(B1876),Students!$A:$A,0)),"NOT ON LIST"))</f>
        <v/>
      </c>
      <c r="H1876" s="35">
        <f>IF(OR(G1876="",G1876="NOT ON LIST"),"",VLOOKUP(G1876,Students!$A:$C,2,FALSE))</f>
        <v/>
      </c>
      <c r="I1876" s="35">
        <f>IF(OR(G1876="",G1876="NOT ON LIST"),"",VLOOKUP(G1876,Students!$A:$C,3,FALSE)&amp;"")</f>
        <v/>
      </c>
    </row>
    <row r="1877">
      <c r="A1877" s="31" t="n"/>
      <c r="B1877" s="32" t="n"/>
      <c r="C1877" s="32" t="n"/>
      <c r="D1877" s="33" t="n"/>
      <c r="E1877" s="32" t="n"/>
      <c r="F1877" s="34">
        <f>IF(A1877="","",IFERROR(INT(A1877),"check date"))</f>
        <v/>
      </c>
      <c r="G1877" s="35">
        <f>IF(B1877="","",IFERROR(INDEX(Students!$A:$A,MATCH(TRIM(B1877),Students!$A:$A,0)),"NOT ON LIST"))</f>
        <v/>
      </c>
      <c r="H1877" s="35">
        <f>IF(OR(G1877="",G1877="NOT ON LIST"),"",VLOOKUP(G1877,Students!$A:$C,2,FALSE))</f>
        <v/>
      </c>
      <c r="I1877" s="35">
        <f>IF(OR(G1877="",G1877="NOT ON LIST"),"",VLOOKUP(G1877,Students!$A:$C,3,FALSE)&amp;"")</f>
        <v/>
      </c>
    </row>
    <row r="1878">
      <c r="A1878" s="31" t="n"/>
      <c r="B1878" s="32" t="n"/>
      <c r="C1878" s="32" t="n"/>
      <c r="D1878" s="33" t="n"/>
      <c r="E1878" s="32" t="n"/>
      <c r="F1878" s="34">
        <f>IF(A1878="","",IFERROR(INT(A1878),"check date"))</f>
        <v/>
      </c>
      <c r="G1878" s="35">
        <f>IF(B1878="","",IFERROR(INDEX(Students!$A:$A,MATCH(TRIM(B1878),Students!$A:$A,0)),"NOT ON LIST"))</f>
        <v/>
      </c>
      <c r="H1878" s="35">
        <f>IF(OR(G1878="",G1878="NOT ON LIST"),"",VLOOKUP(G1878,Students!$A:$C,2,FALSE))</f>
        <v/>
      </c>
      <c r="I1878" s="35">
        <f>IF(OR(G1878="",G1878="NOT ON LIST"),"",VLOOKUP(G1878,Students!$A:$C,3,FALSE)&amp;"")</f>
        <v/>
      </c>
    </row>
    <row r="1879">
      <c r="A1879" s="31" t="n"/>
      <c r="B1879" s="32" t="n"/>
      <c r="C1879" s="32" t="n"/>
      <c r="D1879" s="33" t="n"/>
      <c r="E1879" s="32" t="n"/>
      <c r="F1879" s="34">
        <f>IF(A1879="","",IFERROR(INT(A1879),"check date"))</f>
        <v/>
      </c>
      <c r="G1879" s="35">
        <f>IF(B1879="","",IFERROR(INDEX(Students!$A:$A,MATCH(TRIM(B1879),Students!$A:$A,0)),"NOT ON LIST"))</f>
        <v/>
      </c>
      <c r="H1879" s="35">
        <f>IF(OR(G1879="",G1879="NOT ON LIST"),"",VLOOKUP(G1879,Students!$A:$C,2,FALSE))</f>
        <v/>
      </c>
      <c r="I1879" s="35">
        <f>IF(OR(G1879="",G1879="NOT ON LIST"),"",VLOOKUP(G1879,Students!$A:$C,3,FALSE)&amp;"")</f>
        <v/>
      </c>
    </row>
    <row r="1880">
      <c r="A1880" s="31" t="n"/>
      <c r="B1880" s="32" t="n"/>
      <c r="C1880" s="32" t="n"/>
      <c r="D1880" s="33" t="n"/>
      <c r="E1880" s="32" t="n"/>
      <c r="F1880" s="34">
        <f>IF(A1880="","",IFERROR(INT(A1880),"check date"))</f>
        <v/>
      </c>
      <c r="G1880" s="35">
        <f>IF(B1880="","",IFERROR(INDEX(Students!$A:$A,MATCH(TRIM(B1880),Students!$A:$A,0)),"NOT ON LIST"))</f>
        <v/>
      </c>
      <c r="H1880" s="35">
        <f>IF(OR(G1880="",G1880="NOT ON LIST"),"",VLOOKUP(G1880,Students!$A:$C,2,FALSE))</f>
        <v/>
      </c>
      <c r="I1880" s="35">
        <f>IF(OR(G1880="",G1880="NOT ON LIST"),"",VLOOKUP(G1880,Students!$A:$C,3,FALSE)&amp;"")</f>
        <v/>
      </c>
    </row>
    <row r="1881">
      <c r="A1881" s="31" t="n"/>
      <c r="B1881" s="32" t="n"/>
      <c r="C1881" s="32" t="n"/>
      <c r="D1881" s="33" t="n"/>
      <c r="E1881" s="32" t="n"/>
      <c r="F1881" s="34">
        <f>IF(A1881="","",IFERROR(INT(A1881),"check date"))</f>
        <v/>
      </c>
      <c r="G1881" s="35">
        <f>IF(B1881="","",IFERROR(INDEX(Students!$A:$A,MATCH(TRIM(B1881),Students!$A:$A,0)),"NOT ON LIST"))</f>
        <v/>
      </c>
      <c r="H1881" s="35">
        <f>IF(OR(G1881="",G1881="NOT ON LIST"),"",VLOOKUP(G1881,Students!$A:$C,2,FALSE))</f>
        <v/>
      </c>
      <c r="I1881" s="35">
        <f>IF(OR(G1881="",G1881="NOT ON LIST"),"",VLOOKUP(G1881,Students!$A:$C,3,FALSE)&amp;"")</f>
        <v/>
      </c>
    </row>
    <row r="1882">
      <c r="A1882" s="31" t="n"/>
      <c r="B1882" s="32" t="n"/>
      <c r="C1882" s="32" t="n"/>
      <c r="D1882" s="33" t="n"/>
      <c r="E1882" s="32" t="n"/>
      <c r="F1882" s="34">
        <f>IF(A1882="","",IFERROR(INT(A1882),"check date"))</f>
        <v/>
      </c>
      <c r="G1882" s="35">
        <f>IF(B1882="","",IFERROR(INDEX(Students!$A:$A,MATCH(TRIM(B1882),Students!$A:$A,0)),"NOT ON LIST"))</f>
        <v/>
      </c>
      <c r="H1882" s="35">
        <f>IF(OR(G1882="",G1882="NOT ON LIST"),"",VLOOKUP(G1882,Students!$A:$C,2,FALSE))</f>
        <v/>
      </c>
      <c r="I1882" s="35">
        <f>IF(OR(G1882="",G1882="NOT ON LIST"),"",VLOOKUP(G1882,Students!$A:$C,3,FALSE)&amp;"")</f>
        <v/>
      </c>
    </row>
    <row r="1883">
      <c r="A1883" s="31" t="n"/>
      <c r="B1883" s="32" t="n"/>
      <c r="C1883" s="32" t="n"/>
      <c r="D1883" s="33" t="n"/>
      <c r="E1883" s="32" t="n"/>
      <c r="F1883" s="34">
        <f>IF(A1883="","",IFERROR(INT(A1883),"check date"))</f>
        <v/>
      </c>
      <c r="G1883" s="35">
        <f>IF(B1883="","",IFERROR(INDEX(Students!$A:$A,MATCH(TRIM(B1883),Students!$A:$A,0)),"NOT ON LIST"))</f>
        <v/>
      </c>
      <c r="H1883" s="35">
        <f>IF(OR(G1883="",G1883="NOT ON LIST"),"",VLOOKUP(G1883,Students!$A:$C,2,FALSE))</f>
        <v/>
      </c>
      <c r="I1883" s="35">
        <f>IF(OR(G1883="",G1883="NOT ON LIST"),"",VLOOKUP(G1883,Students!$A:$C,3,FALSE)&amp;"")</f>
        <v/>
      </c>
    </row>
    <row r="1884">
      <c r="A1884" s="31" t="n"/>
      <c r="B1884" s="32" t="n"/>
      <c r="C1884" s="32" t="n"/>
      <c r="D1884" s="33" t="n"/>
      <c r="E1884" s="32" t="n"/>
      <c r="F1884" s="34">
        <f>IF(A1884="","",IFERROR(INT(A1884),"check date"))</f>
        <v/>
      </c>
      <c r="G1884" s="35">
        <f>IF(B1884="","",IFERROR(INDEX(Students!$A:$A,MATCH(TRIM(B1884),Students!$A:$A,0)),"NOT ON LIST"))</f>
        <v/>
      </c>
      <c r="H1884" s="35">
        <f>IF(OR(G1884="",G1884="NOT ON LIST"),"",VLOOKUP(G1884,Students!$A:$C,2,FALSE))</f>
        <v/>
      </c>
      <c r="I1884" s="35">
        <f>IF(OR(G1884="",G1884="NOT ON LIST"),"",VLOOKUP(G1884,Students!$A:$C,3,FALSE)&amp;"")</f>
        <v/>
      </c>
    </row>
    <row r="1885">
      <c r="A1885" s="31" t="n"/>
      <c r="B1885" s="32" t="n"/>
      <c r="C1885" s="32" t="n"/>
      <c r="D1885" s="33" t="n"/>
      <c r="E1885" s="32" t="n"/>
      <c r="F1885" s="34">
        <f>IF(A1885="","",IFERROR(INT(A1885),"check date"))</f>
        <v/>
      </c>
      <c r="G1885" s="35">
        <f>IF(B1885="","",IFERROR(INDEX(Students!$A:$A,MATCH(TRIM(B1885),Students!$A:$A,0)),"NOT ON LIST"))</f>
        <v/>
      </c>
      <c r="H1885" s="35">
        <f>IF(OR(G1885="",G1885="NOT ON LIST"),"",VLOOKUP(G1885,Students!$A:$C,2,FALSE))</f>
        <v/>
      </c>
      <c r="I1885" s="35">
        <f>IF(OR(G1885="",G1885="NOT ON LIST"),"",VLOOKUP(G1885,Students!$A:$C,3,FALSE)&amp;"")</f>
        <v/>
      </c>
    </row>
    <row r="1886">
      <c r="A1886" s="31" t="n"/>
      <c r="B1886" s="32" t="n"/>
      <c r="C1886" s="32" t="n"/>
      <c r="D1886" s="33" t="n"/>
      <c r="E1886" s="32" t="n"/>
      <c r="F1886" s="34">
        <f>IF(A1886="","",IFERROR(INT(A1886),"check date"))</f>
        <v/>
      </c>
      <c r="G1886" s="35">
        <f>IF(B1886="","",IFERROR(INDEX(Students!$A:$A,MATCH(TRIM(B1886),Students!$A:$A,0)),"NOT ON LIST"))</f>
        <v/>
      </c>
      <c r="H1886" s="35">
        <f>IF(OR(G1886="",G1886="NOT ON LIST"),"",VLOOKUP(G1886,Students!$A:$C,2,FALSE))</f>
        <v/>
      </c>
      <c r="I1886" s="35">
        <f>IF(OR(G1886="",G1886="NOT ON LIST"),"",VLOOKUP(G1886,Students!$A:$C,3,FALSE)&amp;"")</f>
        <v/>
      </c>
    </row>
    <row r="1887">
      <c r="A1887" s="31" t="n"/>
      <c r="B1887" s="32" t="n"/>
      <c r="C1887" s="32" t="n"/>
      <c r="D1887" s="33" t="n"/>
      <c r="E1887" s="32" t="n"/>
      <c r="F1887" s="34">
        <f>IF(A1887="","",IFERROR(INT(A1887),"check date"))</f>
        <v/>
      </c>
      <c r="G1887" s="35">
        <f>IF(B1887="","",IFERROR(INDEX(Students!$A:$A,MATCH(TRIM(B1887),Students!$A:$A,0)),"NOT ON LIST"))</f>
        <v/>
      </c>
      <c r="H1887" s="35">
        <f>IF(OR(G1887="",G1887="NOT ON LIST"),"",VLOOKUP(G1887,Students!$A:$C,2,FALSE))</f>
        <v/>
      </c>
      <c r="I1887" s="35">
        <f>IF(OR(G1887="",G1887="NOT ON LIST"),"",VLOOKUP(G1887,Students!$A:$C,3,FALSE)&amp;"")</f>
        <v/>
      </c>
    </row>
    <row r="1888">
      <c r="A1888" s="31" t="n"/>
      <c r="B1888" s="32" t="n"/>
      <c r="C1888" s="32" t="n"/>
      <c r="D1888" s="33" t="n"/>
      <c r="E1888" s="32" t="n"/>
      <c r="F1888" s="34">
        <f>IF(A1888="","",IFERROR(INT(A1888),"check date"))</f>
        <v/>
      </c>
      <c r="G1888" s="35">
        <f>IF(B1888="","",IFERROR(INDEX(Students!$A:$A,MATCH(TRIM(B1888),Students!$A:$A,0)),"NOT ON LIST"))</f>
        <v/>
      </c>
      <c r="H1888" s="35">
        <f>IF(OR(G1888="",G1888="NOT ON LIST"),"",VLOOKUP(G1888,Students!$A:$C,2,FALSE))</f>
        <v/>
      </c>
      <c r="I1888" s="35">
        <f>IF(OR(G1888="",G1888="NOT ON LIST"),"",VLOOKUP(G1888,Students!$A:$C,3,FALSE)&amp;"")</f>
        <v/>
      </c>
    </row>
    <row r="1889">
      <c r="A1889" s="31" t="n"/>
      <c r="B1889" s="32" t="n"/>
      <c r="C1889" s="32" t="n"/>
      <c r="D1889" s="33" t="n"/>
      <c r="E1889" s="32" t="n"/>
      <c r="F1889" s="34">
        <f>IF(A1889="","",IFERROR(INT(A1889),"check date"))</f>
        <v/>
      </c>
      <c r="G1889" s="35">
        <f>IF(B1889="","",IFERROR(INDEX(Students!$A:$A,MATCH(TRIM(B1889),Students!$A:$A,0)),"NOT ON LIST"))</f>
        <v/>
      </c>
      <c r="H1889" s="35">
        <f>IF(OR(G1889="",G1889="NOT ON LIST"),"",VLOOKUP(G1889,Students!$A:$C,2,FALSE))</f>
        <v/>
      </c>
      <c r="I1889" s="35">
        <f>IF(OR(G1889="",G1889="NOT ON LIST"),"",VLOOKUP(G1889,Students!$A:$C,3,FALSE)&amp;"")</f>
        <v/>
      </c>
    </row>
    <row r="1890">
      <c r="A1890" s="31" t="n"/>
      <c r="B1890" s="32" t="n"/>
      <c r="C1890" s="32" t="n"/>
      <c r="D1890" s="33" t="n"/>
      <c r="E1890" s="32" t="n"/>
      <c r="F1890" s="34">
        <f>IF(A1890="","",IFERROR(INT(A1890),"check date"))</f>
        <v/>
      </c>
      <c r="G1890" s="35">
        <f>IF(B1890="","",IFERROR(INDEX(Students!$A:$A,MATCH(TRIM(B1890),Students!$A:$A,0)),"NOT ON LIST"))</f>
        <v/>
      </c>
      <c r="H1890" s="35">
        <f>IF(OR(G1890="",G1890="NOT ON LIST"),"",VLOOKUP(G1890,Students!$A:$C,2,FALSE))</f>
        <v/>
      </c>
      <c r="I1890" s="35">
        <f>IF(OR(G1890="",G1890="NOT ON LIST"),"",VLOOKUP(G1890,Students!$A:$C,3,FALSE)&amp;"")</f>
        <v/>
      </c>
    </row>
    <row r="1891">
      <c r="A1891" s="31" t="n"/>
      <c r="B1891" s="32" t="n"/>
      <c r="C1891" s="32" t="n"/>
      <c r="D1891" s="33" t="n"/>
      <c r="E1891" s="32" t="n"/>
      <c r="F1891" s="34">
        <f>IF(A1891="","",IFERROR(INT(A1891),"check date"))</f>
        <v/>
      </c>
      <c r="G1891" s="35">
        <f>IF(B1891="","",IFERROR(INDEX(Students!$A:$A,MATCH(TRIM(B1891),Students!$A:$A,0)),"NOT ON LIST"))</f>
        <v/>
      </c>
      <c r="H1891" s="35">
        <f>IF(OR(G1891="",G1891="NOT ON LIST"),"",VLOOKUP(G1891,Students!$A:$C,2,FALSE))</f>
        <v/>
      </c>
      <c r="I1891" s="35">
        <f>IF(OR(G1891="",G1891="NOT ON LIST"),"",VLOOKUP(G1891,Students!$A:$C,3,FALSE)&amp;"")</f>
        <v/>
      </c>
    </row>
    <row r="1892">
      <c r="A1892" s="31" t="n"/>
      <c r="B1892" s="32" t="n"/>
      <c r="C1892" s="32" t="n"/>
      <c r="D1892" s="33" t="n"/>
      <c r="E1892" s="32" t="n"/>
      <c r="F1892" s="34">
        <f>IF(A1892="","",IFERROR(INT(A1892),"check date"))</f>
        <v/>
      </c>
      <c r="G1892" s="35">
        <f>IF(B1892="","",IFERROR(INDEX(Students!$A:$A,MATCH(TRIM(B1892),Students!$A:$A,0)),"NOT ON LIST"))</f>
        <v/>
      </c>
      <c r="H1892" s="35">
        <f>IF(OR(G1892="",G1892="NOT ON LIST"),"",VLOOKUP(G1892,Students!$A:$C,2,FALSE))</f>
        <v/>
      </c>
      <c r="I1892" s="35">
        <f>IF(OR(G1892="",G1892="NOT ON LIST"),"",VLOOKUP(G1892,Students!$A:$C,3,FALSE)&amp;"")</f>
        <v/>
      </c>
    </row>
    <row r="1893">
      <c r="A1893" s="31" t="n"/>
      <c r="B1893" s="32" t="n"/>
      <c r="C1893" s="32" t="n"/>
      <c r="D1893" s="33" t="n"/>
      <c r="E1893" s="32" t="n"/>
      <c r="F1893" s="34">
        <f>IF(A1893="","",IFERROR(INT(A1893),"check date"))</f>
        <v/>
      </c>
      <c r="G1893" s="35">
        <f>IF(B1893="","",IFERROR(INDEX(Students!$A:$A,MATCH(TRIM(B1893),Students!$A:$A,0)),"NOT ON LIST"))</f>
        <v/>
      </c>
      <c r="H1893" s="35">
        <f>IF(OR(G1893="",G1893="NOT ON LIST"),"",VLOOKUP(G1893,Students!$A:$C,2,FALSE))</f>
        <v/>
      </c>
      <c r="I1893" s="35">
        <f>IF(OR(G1893="",G1893="NOT ON LIST"),"",VLOOKUP(G1893,Students!$A:$C,3,FALSE)&amp;"")</f>
        <v/>
      </c>
    </row>
    <row r="1894">
      <c r="A1894" s="31" t="n"/>
      <c r="B1894" s="32" t="n"/>
      <c r="C1894" s="32" t="n"/>
      <c r="D1894" s="33" t="n"/>
      <c r="E1894" s="32" t="n"/>
      <c r="F1894" s="34">
        <f>IF(A1894="","",IFERROR(INT(A1894),"check date"))</f>
        <v/>
      </c>
      <c r="G1894" s="35">
        <f>IF(B1894="","",IFERROR(INDEX(Students!$A:$A,MATCH(TRIM(B1894),Students!$A:$A,0)),"NOT ON LIST"))</f>
        <v/>
      </c>
      <c r="H1894" s="35">
        <f>IF(OR(G1894="",G1894="NOT ON LIST"),"",VLOOKUP(G1894,Students!$A:$C,2,FALSE))</f>
        <v/>
      </c>
      <c r="I1894" s="35">
        <f>IF(OR(G1894="",G1894="NOT ON LIST"),"",VLOOKUP(G1894,Students!$A:$C,3,FALSE)&amp;"")</f>
        <v/>
      </c>
    </row>
    <row r="1895">
      <c r="A1895" s="31" t="n"/>
      <c r="B1895" s="32" t="n"/>
      <c r="C1895" s="32" t="n"/>
      <c r="D1895" s="33" t="n"/>
      <c r="E1895" s="32" t="n"/>
      <c r="F1895" s="34">
        <f>IF(A1895="","",IFERROR(INT(A1895),"check date"))</f>
        <v/>
      </c>
      <c r="G1895" s="35">
        <f>IF(B1895="","",IFERROR(INDEX(Students!$A:$A,MATCH(TRIM(B1895),Students!$A:$A,0)),"NOT ON LIST"))</f>
        <v/>
      </c>
      <c r="H1895" s="35">
        <f>IF(OR(G1895="",G1895="NOT ON LIST"),"",VLOOKUP(G1895,Students!$A:$C,2,FALSE))</f>
        <v/>
      </c>
      <c r="I1895" s="35">
        <f>IF(OR(G1895="",G1895="NOT ON LIST"),"",VLOOKUP(G1895,Students!$A:$C,3,FALSE)&amp;"")</f>
        <v/>
      </c>
    </row>
    <row r="1896">
      <c r="A1896" s="31" t="n"/>
      <c r="B1896" s="32" t="n"/>
      <c r="C1896" s="32" t="n"/>
      <c r="D1896" s="33" t="n"/>
      <c r="E1896" s="32" t="n"/>
      <c r="F1896" s="34">
        <f>IF(A1896="","",IFERROR(INT(A1896),"check date"))</f>
        <v/>
      </c>
      <c r="G1896" s="35">
        <f>IF(B1896="","",IFERROR(INDEX(Students!$A:$A,MATCH(TRIM(B1896),Students!$A:$A,0)),"NOT ON LIST"))</f>
        <v/>
      </c>
      <c r="H1896" s="35">
        <f>IF(OR(G1896="",G1896="NOT ON LIST"),"",VLOOKUP(G1896,Students!$A:$C,2,FALSE))</f>
        <v/>
      </c>
      <c r="I1896" s="35">
        <f>IF(OR(G1896="",G1896="NOT ON LIST"),"",VLOOKUP(G1896,Students!$A:$C,3,FALSE)&amp;"")</f>
        <v/>
      </c>
    </row>
    <row r="1897">
      <c r="A1897" s="31" t="n"/>
      <c r="B1897" s="32" t="n"/>
      <c r="C1897" s="32" t="n"/>
      <c r="D1897" s="33" t="n"/>
      <c r="E1897" s="32" t="n"/>
      <c r="F1897" s="34">
        <f>IF(A1897="","",IFERROR(INT(A1897),"check date"))</f>
        <v/>
      </c>
      <c r="G1897" s="35">
        <f>IF(B1897="","",IFERROR(INDEX(Students!$A:$A,MATCH(TRIM(B1897),Students!$A:$A,0)),"NOT ON LIST"))</f>
        <v/>
      </c>
      <c r="H1897" s="35">
        <f>IF(OR(G1897="",G1897="NOT ON LIST"),"",VLOOKUP(G1897,Students!$A:$C,2,FALSE))</f>
        <v/>
      </c>
      <c r="I1897" s="35">
        <f>IF(OR(G1897="",G1897="NOT ON LIST"),"",VLOOKUP(G1897,Students!$A:$C,3,FALSE)&amp;"")</f>
        <v/>
      </c>
    </row>
    <row r="1898">
      <c r="A1898" s="31" t="n"/>
      <c r="B1898" s="32" t="n"/>
      <c r="C1898" s="32" t="n"/>
      <c r="D1898" s="33" t="n"/>
      <c r="E1898" s="32" t="n"/>
      <c r="F1898" s="34">
        <f>IF(A1898="","",IFERROR(INT(A1898),"check date"))</f>
        <v/>
      </c>
      <c r="G1898" s="35">
        <f>IF(B1898="","",IFERROR(INDEX(Students!$A:$A,MATCH(TRIM(B1898),Students!$A:$A,0)),"NOT ON LIST"))</f>
        <v/>
      </c>
      <c r="H1898" s="35">
        <f>IF(OR(G1898="",G1898="NOT ON LIST"),"",VLOOKUP(G1898,Students!$A:$C,2,FALSE))</f>
        <v/>
      </c>
      <c r="I1898" s="35">
        <f>IF(OR(G1898="",G1898="NOT ON LIST"),"",VLOOKUP(G1898,Students!$A:$C,3,FALSE)&amp;"")</f>
        <v/>
      </c>
    </row>
    <row r="1899">
      <c r="A1899" s="31" t="n"/>
      <c r="B1899" s="32" t="n"/>
      <c r="C1899" s="32" t="n"/>
      <c r="D1899" s="33" t="n"/>
      <c r="E1899" s="32" t="n"/>
      <c r="F1899" s="34">
        <f>IF(A1899="","",IFERROR(INT(A1899),"check date"))</f>
        <v/>
      </c>
      <c r="G1899" s="35">
        <f>IF(B1899="","",IFERROR(INDEX(Students!$A:$A,MATCH(TRIM(B1899),Students!$A:$A,0)),"NOT ON LIST"))</f>
        <v/>
      </c>
      <c r="H1899" s="35">
        <f>IF(OR(G1899="",G1899="NOT ON LIST"),"",VLOOKUP(G1899,Students!$A:$C,2,FALSE))</f>
        <v/>
      </c>
      <c r="I1899" s="35">
        <f>IF(OR(G1899="",G1899="NOT ON LIST"),"",VLOOKUP(G1899,Students!$A:$C,3,FALSE)&amp;"")</f>
        <v/>
      </c>
    </row>
    <row r="1900">
      <c r="A1900" s="31" t="n"/>
      <c r="B1900" s="32" t="n"/>
      <c r="C1900" s="32" t="n"/>
      <c r="D1900" s="33" t="n"/>
      <c r="E1900" s="32" t="n"/>
      <c r="F1900" s="34">
        <f>IF(A1900="","",IFERROR(INT(A1900),"check date"))</f>
        <v/>
      </c>
      <c r="G1900" s="35">
        <f>IF(B1900="","",IFERROR(INDEX(Students!$A:$A,MATCH(TRIM(B1900),Students!$A:$A,0)),"NOT ON LIST"))</f>
        <v/>
      </c>
      <c r="H1900" s="35">
        <f>IF(OR(G1900="",G1900="NOT ON LIST"),"",VLOOKUP(G1900,Students!$A:$C,2,FALSE))</f>
        <v/>
      </c>
      <c r="I1900" s="35">
        <f>IF(OR(G1900="",G1900="NOT ON LIST"),"",VLOOKUP(G1900,Students!$A:$C,3,FALSE)&amp;"")</f>
        <v/>
      </c>
    </row>
    <row r="1901">
      <c r="A1901" s="31" t="n"/>
      <c r="B1901" s="32" t="n"/>
      <c r="C1901" s="32" t="n"/>
      <c r="D1901" s="33" t="n"/>
      <c r="E1901" s="32" t="n"/>
      <c r="F1901" s="34">
        <f>IF(A1901="","",IFERROR(INT(A1901),"check date"))</f>
        <v/>
      </c>
      <c r="G1901" s="35">
        <f>IF(B1901="","",IFERROR(INDEX(Students!$A:$A,MATCH(TRIM(B1901),Students!$A:$A,0)),"NOT ON LIST"))</f>
        <v/>
      </c>
      <c r="H1901" s="35">
        <f>IF(OR(G1901="",G1901="NOT ON LIST"),"",VLOOKUP(G1901,Students!$A:$C,2,FALSE))</f>
        <v/>
      </c>
      <c r="I1901" s="35">
        <f>IF(OR(G1901="",G1901="NOT ON LIST"),"",VLOOKUP(G1901,Students!$A:$C,3,FALSE)&amp;"")</f>
        <v/>
      </c>
    </row>
    <row r="1902">
      <c r="A1902" s="31" t="n"/>
      <c r="B1902" s="32" t="n"/>
      <c r="C1902" s="32" t="n"/>
      <c r="D1902" s="33" t="n"/>
      <c r="E1902" s="32" t="n"/>
      <c r="F1902" s="34">
        <f>IF(A1902="","",IFERROR(INT(A1902),"check date"))</f>
        <v/>
      </c>
      <c r="G1902" s="35">
        <f>IF(B1902="","",IFERROR(INDEX(Students!$A:$A,MATCH(TRIM(B1902),Students!$A:$A,0)),"NOT ON LIST"))</f>
        <v/>
      </c>
      <c r="H1902" s="35">
        <f>IF(OR(G1902="",G1902="NOT ON LIST"),"",VLOOKUP(G1902,Students!$A:$C,2,FALSE))</f>
        <v/>
      </c>
      <c r="I1902" s="35">
        <f>IF(OR(G1902="",G1902="NOT ON LIST"),"",VLOOKUP(G1902,Students!$A:$C,3,FALSE)&amp;"")</f>
        <v/>
      </c>
    </row>
    <row r="1903">
      <c r="A1903" s="31" t="n"/>
      <c r="B1903" s="32" t="n"/>
      <c r="C1903" s="32" t="n"/>
      <c r="D1903" s="33" t="n"/>
      <c r="E1903" s="32" t="n"/>
      <c r="F1903" s="34">
        <f>IF(A1903="","",IFERROR(INT(A1903),"check date"))</f>
        <v/>
      </c>
      <c r="G1903" s="35">
        <f>IF(B1903="","",IFERROR(INDEX(Students!$A:$A,MATCH(TRIM(B1903),Students!$A:$A,0)),"NOT ON LIST"))</f>
        <v/>
      </c>
      <c r="H1903" s="35">
        <f>IF(OR(G1903="",G1903="NOT ON LIST"),"",VLOOKUP(G1903,Students!$A:$C,2,FALSE))</f>
        <v/>
      </c>
      <c r="I1903" s="35">
        <f>IF(OR(G1903="",G1903="NOT ON LIST"),"",VLOOKUP(G1903,Students!$A:$C,3,FALSE)&amp;"")</f>
        <v/>
      </c>
    </row>
    <row r="1904">
      <c r="A1904" s="31" t="n"/>
      <c r="B1904" s="32" t="n"/>
      <c r="C1904" s="32" t="n"/>
      <c r="D1904" s="33" t="n"/>
      <c r="E1904" s="32" t="n"/>
      <c r="F1904" s="34">
        <f>IF(A1904="","",IFERROR(INT(A1904),"check date"))</f>
        <v/>
      </c>
      <c r="G1904" s="35">
        <f>IF(B1904="","",IFERROR(INDEX(Students!$A:$A,MATCH(TRIM(B1904),Students!$A:$A,0)),"NOT ON LIST"))</f>
        <v/>
      </c>
      <c r="H1904" s="35">
        <f>IF(OR(G1904="",G1904="NOT ON LIST"),"",VLOOKUP(G1904,Students!$A:$C,2,FALSE))</f>
        <v/>
      </c>
      <c r="I1904" s="35">
        <f>IF(OR(G1904="",G1904="NOT ON LIST"),"",VLOOKUP(G1904,Students!$A:$C,3,FALSE)&amp;"")</f>
        <v/>
      </c>
    </row>
    <row r="1905">
      <c r="A1905" s="31" t="n"/>
      <c r="B1905" s="32" t="n"/>
      <c r="C1905" s="32" t="n"/>
      <c r="D1905" s="33" t="n"/>
      <c r="E1905" s="32" t="n"/>
      <c r="F1905" s="34">
        <f>IF(A1905="","",IFERROR(INT(A1905),"check date"))</f>
        <v/>
      </c>
      <c r="G1905" s="35">
        <f>IF(B1905="","",IFERROR(INDEX(Students!$A:$A,MATCH(TRIM(B1905),Students!$A:$A,0)),"NOT ON LIST"))</f>
        <v/>
      </c>
      <c r="H1905" s="35">
        <f>IF(OR(G1905="",G1905="NOT ON LIST"),"",VLOOKUP(G1905,Students!$A:$C,2,FALSE))</f>
        <v/>
      </c>
      <c r="I1905" s="35">
        <f>IF(OR(G1905="",G1905="NOT ON LIST"),"",VLOOKUP(G1905,Students!$A:$C,3,FALSE)&amp;"")</f>
        <v/>
      </c>
    </row>
    <row r="1906">
      <c r="A1906" s="31" t="n"/>
      <c r="B1906" s="32" t="n"/>
      <c r="C1906" s="32" t="n"/>
      <c r="D1906" s="33" t="n"/>
      <c r="E1906" s="32" t="n"/>
      <c r="F1906" s="34">
        <f>IF(A1906="","",IFERROR(INT(A1906),"check date"))</f>
        <v/>
      </c>
      <c r="G1906" s="35">
        <f>IF(B1906="","",IFERROR(INDEX(Students!$A:$A,MATCH(TRIM(B1906),Students!$A:$A,0)),"NOT ON LIST"))</f>
        <v/>
      </c>
      <c r="H1906" s="35">
        <f>IF(OR(G1906="",G1906="NOT ON LIST"),"",VLOOKUP(G1906,Students!$A:$C,2,FALSE))</f>
        <v/>
      </c>
      <c r="I1906" s="35">
        <f>IF(OR(G1906="",G1906="NOT ON LIST"),"",VLOOKUP(G1906,Students!$A:$C,3,FALSE)&amp;"")</f>
        <v/>
      </c>
    </row>
    <row r="1907">
      <c r="A1907" s="31" t="n"/>
      <c r="B1907" s="32" t="n"/>
      <c r="C1907" s="32" t="n"/>
      <c r="D1907" s="33" t="n"/>
      <c r="E1907" s="32" t="n"/>
      <c r="F1907" s="34">
        <f>IF(A1907="","",IFERROR(INT(A1907),"check date"))</f>
        <v/>
      </c>
      <c r="G1907" s="35">
        <f>IF(B1907="","",IFERROR(INDEX(Students!$A:$A,MATCH(TRIM(B1907),Students!$A:$A,0)),"NOT ON LIST"))</f>
        <v/>
      </c>
      <c r="H1907" s="35">
        <f>IF(OR(G1907="",G1907="NOT ON LIST"),"",VLOOKUP(G1907,Students!$A:$C,2,FALSE))</f>
        <v/>
      </c>
      <c r="I1907" s="35">
        <f>IF(OR(G1907="",G1907="NOT ON LIST"),"",VLOOKUP(G1907,Students!$A:$C,3,FALSE)&amp;"")</f>
        <v/>
      </c>
    </row>
    <row r="1908">
      <c r="A1908" s="31" t="n"/>
      <c r="B1908" s="32" t="n"/>
      <c r="C1908" s="32" t="n"/>
      <c r="D1908" s="33" t="n"/>
      <c r="E1908" s="32" t="n"/>
      <c r="F1908" s="34">
        <f>IF(A1908="","",IFERROR(INT(A1908),"check date"))</f>
        <v/>
      </c>
      <c r="G1908" s="35">
        <f>IF(B1908="","",IFERROR(INDEX(Students!$A:$A,MATCH(TRIM(B1908),Students!$A:$A,0)),"NOT ON LIST"))</f>
        <v/>
      </c>
      <c r="H1908" s="35">
        <f>IF(OR(G1908="",G1908="NOT ON LIST"),"",VLOOKUP(G1908,Students!$A:$C,2,FALSE))</f>
        <v/>
      </c>
      <c r="I1908" s="35">
        <f>IF(OR(G1908="",G1908="NOT ON LIST"),"",VLOOKUP(G1908,Students!$A:$C,3,FALSE)&amp;"")</f>
        <v/>
      </c>
    </row>
    <row r="1909">
      <c r="A1909" s="31" t="n"/>
      <c r="B1909" s="32" t="n"/>
      <c r="C1909" s="32" t="n"/>
      <c r="D1909" s="33" t="n"/>
      <c r="E1909" s="32" t="n"/>
      <c r="F1909" s="34">
        <f>IF(A1909="","",IFERROR(INT(A1909),"check date"))</f>
        <v/>
      </c>
      <c r="G1909" s="35">
        <f>IF(B1909="","",IFERROR(INDEX(Students!$A:$A,MATCH(TRIM(B1909),Students!$A:$A,0)),"NOT ON LIST"))</f>
        <v/>
      </c>
      <c r="H1909" s="35">
        <f>IF(OR(G1909="",G1909="NOT ON LIST"),"",VLOOKUP(G1909,Students!$A:$C,2,FALSE))</f>
        <v/>
      </c>
      <c r="I1909" s="35">
        <f>IF(OR(G1909="",G1909="NOT ON LIST"),"",VLOOKUP(G1909,Students!$A:$C,3,FALSE)&amp;"")</f>
        <v/>
      </c>
    </row>
    <row r="1910">
      <c r="A1910" s="31" t="n"/>
      <c r="B1910" s="32" t="n"/>
      <c r="C1910" s="32" t="n"/>
      <c r="D1910" s="33" t="n"/>
      <c r="E1910" s="32" t="n"/>
      <c r="F1910" s="34">
        <f>IF(A1910="","",IFERROR(INT(A1910),"check date"))</f>
        <v/>
      </c>
      <c r="G1910" s="35">
        <f>IF(B1910="","",IFERROR(INDEX(Students!$A:$A,MATCH(TRIM(B1910),Students!$A:$A,0)),"NOT ON LIST"))</f>
        <v/>
      </c>
      <c r="H1910" s="35">
        <f>IF(OR(G1910="",G1910="NOT ON LIST"),"",VLOOKUP(G1910,Students!$A:$C,2,FALSE))</f>
        <v/>
      </c>
      <c r="I1910" s="35">
        <f>IF(OR(G1910="",G1910="NOT ON LIST"),"",VLOOKUP(G1910,Students!$A:$C,3,FALSE)&amp;"")</f>
        <v/>
      </c>
    </row>
    <row r="1911">
      <c r="A1911" s="31" t="n"/>
      <c r="B1911" s="32" t="n"/>
      <c r="C1911" s="32" t="n"/>
      <c r="D1911" s="33" t="n"/>
      <c r="E1911" s="32" t="n"/>
      <c r="F1911" s="34">
        <f>IF(A1911="","",IFERROR(INT(A1911),"check date"))</f>
        <v/>
      </c>
      <c r="G1911" s="35">
        <f>IF(B1911="","",IFERROR(INDEX(Students!$A:$A,MATCH(TRIM(B1911),Students!$A:$A,0)),"NOT ON LIST"))</f>
        <v/>
      </c>
      <c r="H1911" s="35">
        <f>IF(OR(G1911="",G1911="NOT ON LIST"),"",VLOOKUP(G1911,Students!$A:$C,2,FALSE))</f>
        <v/>
      </c>
      <c r="I1911" s="35">
        <f>IF(OR(G1911="",G1911="NOT ON LIST"),"",VLOOKUP(G1911,Students!$A:$C,3,FALSE)&amp;"")</f>
        <v/>
      </c>
    </row>
    <row r="1912">
      <c r="A1912" s="31" t="n"/>
      <c r="B1912" s="32" t="n"/>
      <c r="C1912" s="32" t="n"/>
      <c r="D1912" s="33" t="n"/>
      <c r="E1912" s="32" t="n"/>
      <c r="F1912" s="34">
        <f>IF(A1912="","",IFERROR(INT(A1912),"check date"))</f>
        <v/>
      </c>
      <c r="G1912" s="35">
        <f>IF(B1912="","",IFERROR(INDEX(Students!$A:$A,MATCH(TRIM(B1912),Students!$A:$A,0)),"NOT ON LIST"))</f>
        <v/>
      </c>
      <c r="H1912" s="35">
        <f>IF(OR(G1912="",G1912="NOT ON LIST"),"",VLOOKUP(G1912,Students!$A:$C,2,FALSE))</f>
        <v/>
      </c>
      <c r="I1912" s="35">
        <f>IF(OR(G1912="",G1912="NOT ON LIST"),"",VLOOKUP(G1912,Students!$A:$C,3,FALSE)&amp;"")</f>
        <v/>
      </c>
    </row>
    <row r="1913">
      <c r="A1913" s="31" t="n"/>
      <c r="B1913" s="32" t="n"/>
      <c r="C1913" s="32" t="n"/>
      <c r="D1913" s="33" t="n"/>
      <c r="E1913" s="32" t="n"/>
      <c r="F1913" s="34">
        <f>IF(A1913="","",IFERROR(INT(A1913),"check date"))</f>
        <v/>
      </c>
      <c r="G1913" s="35">
        <f>IF(B1913="","",IFERROR(INDEX(Students!$A:$A,MATCH(TRIM(B1913),Students!$A:$A,0)),"NOT ON LIST"))</f>
        <v/>
      </c>
      <c r="H1913" s="35">
        <f>IF(OR(G1913="",G1913="NOT ON LIST"),"",VLOOKUP(G1913,Students!$A:$C,2,FALSE))</f>
        <v/>
      </c>
      <c r="I1913" s="35">
        <f>IF(OR(G1913="",G1913="NOT ON LIST"),"",VLOOKUP(G1913,Students!$A:$C,3,FALSE)&amp;"")</f>
        <v/>
      </c>
    </row>
    <row r="1914">
      <c r="A1914" s="31" t="n"/>
      <c r="B1914" s="32" t="n"/>
      <c r="C1914" s="32" t="n"/>
      <c r="D1914" s="33" t="n"/>
      <c r="E1914" s="32" t="n"/>
      <c r="F1914" s="34">
        <f>IF(A1914="","",IFERROR(INT(A1914),"check date"))</f>
        <v/>
      </c>
      <c r="G1914" s="35">
        <f>IF(B1914="","",IFERROR(INDEX(Students!$A:$A,MATCH(TRIM(B1914),Students!$A:$A,0)),"NOT ON LIST"))</f>
        <v/>
      </c>
      <c r="H1914" s="35">
        <f>IF(OR(G1914="",G1914="NOT ON LIST"),"",VLOOKUP(G1914,Students!$A:$C,2,FALSE))</f>
        <v/>
      </c>
      <c r="I1914" s="35">
        <f>IF(OR(G1914="",G1914="NOT ON LIST"),"",VLOOKUP(G1914,Students!$A:$C,3,FALSE)&amp;"")</f>
        <v/>
      </c>
    </row>
    <row r="1915">
      <c r="A1915" s="31" t="n"/>
      <c r="B1915" s="32" t="n"/>
      <c r="C1915" s="32" t="n"/>
      <c r="D1915" s="33" t="n"/>
      <c r="E1915" s="32" t="n"/>
      <c r="F1915" s="34">
        <f>IF(A1915="","",IFERROR(INT(A1915),"check date"))</f>
        <v/>
      </c>
      <c r="G1915" s="35">
        <f>IF(B1915="","",IFERROR(INDEX(Students!$A:$A,MATCH(TRIM(B1915),Students!$A:$A,0)),"NOT ON LIST"))</f>
        <v/>
      </c>
      <c r="H1915" s="35">
        <f>IF(OR(G1915="",G1915="NOT ON LIST"),"",VLOOKUP(G1915,Students!$A:$C,2,FALSE))</f>
        <v/>
      </c>
      <c r="I1915" s="35">
        <f>IF(OR(G1915="",G1915="NOT ON LIST"),"",VLOOKUP(G1915,Students!$A:$C,3,FALSE)&amp;"")</f>
        <v/>
      </c>
    </row>
    <row r="1916">
      <c r="A1916" s="31" t="n"/>
      <c r="B1916" s="32" t="n"/>
      <c r="C1916" s="32" t="n"/>
      <c r="D1916" s="33" t="n"/>
      <c r="E1916" s="32" t="n"/>
      <c r="F1916" s="34">
        <f>IF(A1916="","",IFERROR(INT(A1916),"check date"))</f>
        <v/>
      </c>
      <c r="G1916" s="35">
        <f>IF(B1916="","",IFERROR(INDEX(Students!$A:$A,MATCH(TRIM(B1916),Students!$A:$A,0)),"NOT ON LIST"))</f>
        <v/>
      </c>
      <c r="H1916" s="35">
        <f>IF(OR(G1916="",G1916="NOT ON LIST"),"",VLOOKUP(G1916,Students!$A:$C,2,FALSE))</f>
        <v/>
      </c>
      <c r="I1916" s="35">
        <f>IF(OR(G1916="",G1916="NOT ON LIST"),"",VLOOKUP(G1916,Students!$A:$C,3,FALSE)&amp;"")</f>
        <v/>
      </c>
    </row>
    <row r="1917">
      <c r="A1917" s="31" t="n"/>
      <c r="B1917" s="32" t="n"/>
      <c r="C1917" s="32" t="n"/>
      <c r="D1917" s="33" t="n"/>
      <c r="E1917" s="32" t="n"/>
      <c r="F1917" s="34">
        <f>IF(A1917="","",IFERROR(INT(A1917),"check date"))</f>
        <v/>
      </c>
      <c r="G1917" s="35">
        <f>IF(B1917="","",IFERROR(INDEX(Students!$A:$A,MATCH(TRIM(B1917),Students!$A:$A,0)),"NOT ON LIST"))</f>
        <v/>
      </c>
      <c r="H1917" s="35">
        <f>IF(OR(G1917="",G1917="NOT ON LIST"),"",VLOOKUP(G1917,Students!$A:$C,2,FALSE))</f>
        <v/>
      </c>
      <c r="I1917" s="35">
        <f>IF(OR(G1917="",G1917="NOT ON LIST"),"",VLOOKUP(G1917,Students!$A:$C,3,FALSE)&amp;"")</f>
        <v/>
      </c>
    </row>
    <row r="1918">
      <c r="A1918" s="31" t="n"/>
      <c r="B1918" s="32" t="n"/>
      <c r="C1918" s="32" t="n"/>
      <c r="D1918" s="33" t="n"/>
      <c r="E1918" s="32" t="n"/>
      <c r="F1918" s="34">
        <f>IF(A1918="","",IFERROR(INT(A1918),"check date"))</f>
        <v/>
      </c>
      <c r="G1918" s="35">
        <f>IF(B1918="","",IFERROR(INDEX(Students!$A:$A,MATCH(TRIM(B1918),Students!$A:$A,0)),"NOT ON LIST"))</f>
        <v/>
      </c>
      <c r="H1918" s="35">
        <f>IF(OR(G1918="",G1918="NOT ON LIST"),"",VLOOKUP(G1918,Students!$A:$C,2,FALSE))</f>
        <v/>
      </c>
      <c r="I1918" s="35">
        <f>IF(OR(G1918="",G1918="NOT ON LIST"),"",VLOOKUP(G1918,Students!$A:$C,3,FALSE)&amp;"")</f>
        <v/>
      </c>
    </row>
    <row r="1919">
      <c r="A1919" s="31" t="n"/>
      <c r="B1919" s="32" t="n"/>
      <c r="C1919" s="32" t="n"/>
      <c r="D1919" s="33" t="n"/>
      <c r="E1919" s="32" t="n"/>
      <c r="F1919" s="34">
        <f>IF(A1919="","",IFERROR(INT(A1919),"check date"))</f>
        <v/>
      </c>
      <c r="G1919" s="35">
        <f>IF(B1919="","",IFERROR(INDEX(Students!$A:$A,MATCH(TRIM(B1919),Students!$A:$A,0)),"NOT ON LIST"))</f>
        <v/>
      </c>
      <c r="H1919" s="35">
        <f>IF(OR(G1919="",G1919="NOT ON LIST"),"",VLOOKUP(G1919,Students!$A:$C,2,FALSE))</f>
        <v/>
      </c>
      <c r="I1919" s="35">
        <f>IF(OR(G1919="",G1919="NOT ON LIST"),"",VLOOKUP(G1919,Students!$A:$C,3,FALSE)&amp;"")</f>
        <v/>
      </c>
    </row>
    <row r="1920">
      <c r="A1920" s="31" t="n"/>
      <c r="B1920" s="32" t="n"/>
      <c r="C1920" s="32" t="n"/>
      <c r="D1920" s="33" t="n"/>
      <c r="E1920" s="32" t="n"/>
      <c r="F1920" s="34">
        <f>IF(A1920="","",IFERROR(INT(A1920),"check date"))</f>
        <v/>
      </c>
      <c r="G1920" s="35">
        <f>IF(B1920="","",IFERROR(INDEX(Students!$A:$A,MATCH(TRIM(B1920),Students!$A:$A,0)),"NOT ON LIST"))</f>
        <v/>
      </c>
      <c r="H1920" s="35">
        <f>IF(OR(G1920="",G1920="NOT ON LIST"),"",VLOOKUP(G1920,Students!$A:$C,2,FALSE))</f>
        <v/>
      </c>
      <c r="I1920" s="35">
        <f>IF(OR(G1920="",G1920="NOT ON LIST"),"",VLOOKUP(G1920,Students!$A:$C,3,FALSE)&amp;"")</f>
        <v/>
      </c>
    </row>
    <row r="1921">
      <c r="A1921" s="31" t="n"/>
      <c r="B1921" s="32" t="n"/>
      <c r="C1921" s="32" t="n"/>
      <c r="D1921" s="33" t="n"/>
      <c r="E1921" s="32" t="n"/>
      <c r="F1921" s="34">
        <f>IF(A1921="","",IFERROR(INT(A1921),"check date"))</f>
        <v/>
      </c>
      <c r="G1921" s="35">
        <f>IF(B1921="","",IFERROR(INDEX(Students!$A:$A,MATCH(TRIM(B1921),Students!$A:$A,0)),"NOT ON LIST"))</f>
        <v/>
      </c>
      <c r="H1921" s="35">
        <f>IF(OR(G1921="",G1921="NOT ON LIST"),"",VLOOKUP(G1921,Students!$A:$C,2,FALSE))</f>
        <v/>
      </c>
      <c r="I1921" s="35">
        <f>IF(OR(G1921="",G1921="NOT ON LIST"),"",VLOOKUP(G1921,Students!$A:$C,3,FALSE)&amp;"")</f>
        <v/>
      </c>
    </row>
    <row r="1922">
      <c r="A1922" s="31" t="n"/>
      <c r="B1922" s="32" t="n"/>
      <c r="C1922" s="32" t="n"/>
      <c r="D1922" s="33" t="n"/>
      <c r="E1922" s="32" t="n"/>
      <c r="F1922" s="34">
        <f>IF(A1922="","",IFERROR(INT(A1922),"check date"))</f>
        <v/>
      </c>
      <c r="G1922" s="35">
        <f>IF(B1922="","",IFERROR(INDEX(Students!$A:$A,MATCH(TRIM(B1922),Students!$A:$A,0)),"NOT ON LIST"))</f>
        <v/>
      </c>
      <c r="H1922" s="35">
        <f>IF(OR(G1922="",G1922="NOT ON LIST"),"",VLOOKUP(G1922,Students!$A:$C,2,FALSE))</f>
        <v/>
      </c>
      <c r="I1922" s="35">
        <f>IF(OR(G1922="",G1922="NOT ON LIST"),"",VLOOKUP(G1922,Students!$A:$C,3,FALSE)&amp;"")</f>
        <v/>
      </c>
    </row>
    <row r="1923">
      <c r="A1923" s="31" t="n"/>
      <c r="B1923" s="32" t="n"/>
      <c r="C1923" s="32" t="n"/>
      <c r="D1923" s="33" t="n"/>
      <c r="E1923" s="32" t="n"/>
      <c r="F1923" s="34">
        <f>IF(A1923="","",IFERROR(INT(A1923),"check date"))</f>
        <v/>
      </c>
      <c r="G1923" s="35">
        <f>IF(B1923="","",IFERROR(INDEX(Students!$A:$A,MATCH(TRIM(B1923),Students!$A:$A,0)),"NOT ON LIST"))</f>
        <v/>
      </c>
      <c r="H1923" s="35">
        <f>IF(OR(G1923="",G1923="NOT ON LIST"),"",VLOOKUP(G1923,Students!$A:$C,2,FALSE))</f>
        <v/>
      </c>
      <c r="I1923" s="35">
        <f>IF(OR(G1923="",G1923="NOT ON LIST"),"",VLOOKUP(G1923,Students!$A:$C,3,FALSE)&amp;"")</f>
        <v/>
      </c>
    </row>
    <row r="1924">
      <c r="A1924" s="31" t="n"/>
      <c r="B1924" s="32" t="n"/>
      <c r="C1924" s="32" t="n"/>
      <c r="D1924" s="33" t="n"/>
      <c r="E1924" s="32" t="n"/>
      <c r="F1924" s="34">
        <f>IF(A1924="","",IFERROR(INT(A1924),"check date"))</f>
        <v/>
      </c>
      <c r="G1924" s="35">
        <f>IF(B1924="","",IFERROR(INDEX(Students!$A:$A,MATCH(TRIM(B1924),Students!$A:$A,0)),"NOT ON LIST"))</f>
        <v/>
      </c>
      <c r="H1924" s="35">
        <f>IF(OR(G1924="",G1924="NOT ON LIST"),"",VLOOKUP(G1924,Students!$A:$C,2,FALSE))</f>
        <v/>
      </c>
      <c r="I1924" s="35">
        <f>IF(OR(G1924="",G1924="NOT ON LIST"),"",VLOOKUP(G1924,Students!$A:$C,3,FALSE)&amp;"")</f>
        <v/>
      </c>
    </row>
    <row r="1925">
      <c r="A1925" s="31" t="n"/>
      <c r="B1925" s="32" t="n"/>
      <c r="C1925" s="32" t="n"/>
      <c r="D1925" s="33" t="n"/>
      <c r="E1925" s="32" t="n"/>
      <c r="F1925" s="34">
        <f>IF(A1925="","",IFERROR(INT(A1925),"check date"))</f>
        <v/>
      </c>
      <c r="G1925" s="35">
        <f>IF(B1925="","",IFERROR(INDEX(Students!$A:$A,MATCH(TRIM(B1925),Students!$A:$A,0)),"NOT ON LIST"))</f>
        <v/>
      </c>
      <c r="H1925" s="35">
        <f>IF(OR(G1925="",G1925="NOT ON LIST"),"",VLOOKUP(G1925,Students!$A:$C,2,FALSE))</f>
        <v/>
      </c>
      <c r="I1925" s="35">
        <f>IF(OR(G1925="",G1925="NOT ON LIST"),"",VLOOKUP(G1925,Students!$A:$C,3,FALSE)&amp;"")</f>
        <v/>
      </c>
    </row>
    <row r="1926">
      <c r="A1926" s="31" t="n"/>
      <c r="B1926" s="32" t="n"/>
      <c r="C1926" s="32" t="n"/>
      <c r="D1926" s="33" t="n"/>
      <c r="E1926" s="32" t="n"/>
      <c r="F1926" s="34">
        <f>IF(A1926="","",IFERROR(INT(A1926),"check date"))</f>
        <v/>
      </c>
      <c r="G1926" s="35">
        <f>IF(B1926="","",IFERROR(INDEX(Students!$A:$A,MATCH(TRIM(B1926),Students!$A:$A,0)),"NOT ON LIST"))</f>
        <v/>
      </c>
      <c r="H1926" s="35">
        <f>IF(OR(G1926="",G1926="NOT ON LIST"),"",VLOOKUP(G1926,Students!$A:$C,2,FALSE))</f>
        <v/>
      </c>
      <c r="I1926" s="35">
        <f>IF(OR(G1926="",G1926="NOT ON LIST"),"",VLOOKUP(G1926,Students!$A:$C,3,FALSE)&amp;"")</f>
        <v/>
      </c>
    </row>
    <row r="1927">
      <c r="A1927" s="31" t="n"/>
      <c r="B1927" s="32" t="n"/>
      <c r="C1927" s="32" t="n"/>
      <c r="D1927" s="33" t="n"/>
      <c r="E1927" s="32" t="n"/>
      <c r="F1927" s="34">
        <f>IF(A1927="","",IFERROR(INT(A1927),"check date"))</f>
        <v/>
      </c>
      <c r="G1927" s="35">
        <f>IF(B1927="","",IFERROR(INDEX(Students!$A:$A,MATCH(TRIM(B1927),Students!$A:$A,0)),"NOT ON LIST"))</f>
        <v/>
      </c>
      <c r="H1927" s="35">
        <f>IF(OR(G1927="",G1927="NOT ON LIST"),"",VLOOKUP(G1927,Students!$A:$C,2,FALSE))</f>
        <v/>
      </c>
      <c r="I1927" s="35">
        <f>IF(OR(G1927="",G1927="NOT ON LIST"),"",VLOOKUP(G1927,Students!$A:$C,3,FALSE)&amp;"")</f>
        <v/>
      </c>
    </row>
    <row r="1928">
      <c r="A1928" s="31" t="n"/>
      <c r="B1928" s="32" t="n"/>
      <c r="C1928" s="32" t="n"/>
      <c r="D1928" s="33" t="n"/>
      <c r="E1928" s="32" t="n"/>
      <c r="F1928" s="34">
        <f>IF(A1928="","",IFERROR(INT(A1928),"check date"))</f>
        <v/>
      </c>
      <c r="G1928" s="35">
        <f>IF(B1928="","",IFERROR(INDEX(Students!$A:$A,MATCH(TRIM(B1928),Students!$A:$A,0)),"NOT ON LIST"))</f>
        <v/>
      </c>
      <c r="H1928" s="35">
        <f>IF(OR(G1928="",G1928="NOT ON LIST"),"",VLOOKUP(G1928,Students!$A:$C,2,FALSE))</f>
        <v/>
      </c>
      <c r="I1928" s="35">
        <f>IF(OR(G1928="",G1928="NOT ON LIST"),"",VLOOKUP(G1928,Students!$A:$C,3,FALSE)&amp;"")</f>
        <v/>
      </c>
    </row>
    <row r="1929">
      <c r="A1929" s="31" t="n"/>
      <c r="B1929" s="32" t="n"/>
      <c r="C1929" s="32" t="n"/>
      <c r="D1929" s="33" t="n"/>
      <c r="E1929" s="32" t="n"/>
      <c r="F1929" s="34">
        <f>IF(A1929="","",IFERROR(INT(A1929),"check date"))</f>
        <v/>
      </c>
      <c r="G1929" s="35">
        <f>IF(B1929="","",IFERROR(INDEX(Students!$A:$A,MATCH(TRIM(B1929),Students!$A:$A,0)),"NOT ON LIST"))</f>
        <v/>
      </c>
      <c r="H1929" s="35">
        <f>IF(OR(G1929="",G1929="NOT ON LIST"),"",VLOOKUP(G1929,Students!$A:$C,2,FALSE))</f>
        <v/>
      </c>
      <c r="I1929" s="35">
        <f>IF(OR(G1929="",G1929="NOT ON LIST"),"",VLOOKUP(G1929,Students!$A:$C,3,FALSE)&amp;"")</f>
        <v/>
      </c>
    </row>
    <row r="1930">
      <c r="A1930" s="31" t="n"/>
      <c r="B1930" s="32" t="n"/>
      <c r="C1930" s="32" t="n"/>
      <c r="D1930" s="33" t="n"/>
      <c r="E1930" s="32" t="n"/>
      <c r="F1930" s="34">
        <f>IF(A1930="","",IFERROR(INT(A1930),"check date"))</f>
        <v/>
      </c>
      <c r="G1930" s="35">
        <f>IF(B1930="","",IFERROR(INDEX(Students!$A:$A,MATCH(TRIM(B1930),Students!$A:$A,0)),"NOT ON LIST"))</f>
        <v/>
      </c>
      <c r="H1930" s="35">
        <f>IF(OR(G1930="",G1930="NOT ON LIST"),"",VLOOKUP(G1930,Students!$A:$C,2,FALSE))</f>
        <v/>
      </c>
      <c r="I1930" s="35">
        <f>IF(OR(G1930="",G1930="NOT ON LIST"),"",VLOOKUP(G1930,Students!$A:$C,3,FALSE)&amp;"")</f>
        <v/>
      </c>
    </row>
    <row r="1931">
      <c r="A1931" s="31" t="n"/>
      <c r="B1931" s="32" t="n"/>
      <c r="C1931" s="32" t="n"/>
      <c r="D1931" s="33" t="n"/>
      <c r="E1931" s="32" t="n"/>
      <c r="F1931" s="34">
        <f>IF(A1931="","",IFERROR(INT(A1931),"check date"))</f>
        <v/>
      </c>
      <c r="G1931" s="35">
        <f>IF(B1931="","",IFERROR(INDEX(Students!$A:$A,MATCH(TRIM(B1931),Students!$A:$A,0)),"NOT ON LIST"))</f>
        <v/>
      </c>
      <c r="H1931" s="35">
        <f>IF(OR(G1931="",G1931="NOT ON LIST"),"",VLOOKUP(G1931,Students!$A:$C,2,FALSE))</f>
        <v/>
      </c>
      <c r="I1931" s="35">
        <f>IF(OR(G1931="",G1931="NOT ON LIST"),"",VLOOKUP(G1931,Students!$A:$C,3,FALSE)&amp;"")</f>
        <v/>
      </c>
    </row>
    <row r="1932">
      <c r="A1932" s="31" t="n"/>
      <c r="B1932" s="32" t="n"/>
      <c r="C1932" s="32" t="n"/>
      <c r="D1932" s="33" t="n"/>
      <c r="E1932" s="32" t="n"/>
      <c r="F1932" s="34">
        <f>IF(A1932="","",IFERROR(INT(A1932),"check date"))</f>
        <v/>
      </c>
      <c r="G1932" s="35">
        <f>IF(B1932="","",IFERROR(INDEX(Students!$A:$A,MATCH(TRIM(B1932),Students!$A:$A,0)),"NOT ON LIST"))</f>
        <v/>
      </c>
      <c r="H1932" s="35">
        <f>IF(OR(G1932="",G1932="NOT ON LIST"),"",VLOOKUP(G1932,Students!$A:$C,2,FALSE))</f>
        <v/>
      </c>
      <c r="I1932" s="35">
        <f>IF(OR(G1932="",G1932="NOT ON LIST"),"",VLOOKUP(G1932,Students!$A:$C,3,FALSE)&amp;"")</f>
        <v/>
      </c>
    </row>
    <row r="1933">
      <c r="A1933" s="31" t="n"/>
      <c r="B1933" s="32" t="n"/>
      <c r="C1933" s="32" t="n"/>
      <c r="D1933" s="33" t="n"/>
      <c r="E1933" s="32" t="n"/>
      <c r="F1933" s="34">
        <f>IF(A1933="","",IFERROR(INT(A1933),"check date"))</f>
        <v/>
      </c>
      <c r="G1933" s="35">
        <f>IF(B1933="","",IFERROR(INDEX(Students!$A:$A,MATCH(TRIM(B1933),Students!$A:$A,0)),"NOT ON LIST"))</f>
        <v/>
      </c>
      <c r="H1933" s="35">
        <f>IF(OR(G1933="",G1933="NOT ON LIST"),"",VLOOKUP(G1933,Students!$A:$C,2,FALSE))</f>
        <v/>
      </c>
      <c r="I1933" s="35">
        <f>IF(OR(G1933="",G1933="NOT ON LIST"),"",VLOOKUP(G1933,Students!$A:$C,3,FALSE)&amp;"")</f>
        <v/>
      </c>
    </row>
    <row r="1934">
      <c r="A1934" s="31" t="n"/>
      <c r="B1934" s="32" t="n"/>
      <c r="C1934" s="32" t="n"/>
      <c r="D1934" s="33" t="n"/>
      <c r="E1934" s="32" t="n"/>
      <c r="F1934" s="34">
        <f>IF(A1934="","",IFERROR(INT(A1934),"check date"))</f>
        <v/>
      </c>
      <c r="G1934" s="35">
        <f>IF(B1934="","",IFERROR(INDEX(Students!$A:$A,MATCH(TRIM(B1934),Students!$A:$A,0)),"NOT ON LIST"))</f>
        <v/>
      </c>
      <c r="H1934" s="35">
        <f>IF(OR(G1934="",G1934="NOT ON LIST"),"",VLOOKUP(G1934,Students!$A:$C,2,FALSE))</f>
        <v/>
      </c>
      <c r="I1934" s="35">
        <f>IF(OR(G1934="",G1934="NOT ON LIST"),"",VLOOKUP(G1934,Students!$A:$C,3,FALSE)&amp;"")</f>
        <v/>
      </c>
    </row>
    <row r="1935">
      <c r="A1935" s="31" t="n"/>
      <c r="B1935" s="32" t="n"/>
      <c r="C1935" s="32" t="n"/>
      <c r="D1935" s="33" t="n"/>
      <c r="E1935" s="32" t="n"/>
      <c r="F1935" s="34">
        <f>IF(A1935="","",IFERROR(INT(A1935),"check date"))</f>
        <v/>
      </c>
      <c r="G1935" s="35">
        <f>IF(B1935="","",IFERROR(INDEX(Students!$A:$A,MATCH(TRIM(B1935),Students!$A:$A,0)),"NOT ON LIST"))</f>
        <v/>
      </c>
      <c r="H1935" s="35">
        <f>IF(OR(G1935="",G1935="NOT ON LIST"),"",VLOOKUP(G1935,Students!$A:$C,2,FALSE))</f>
        <v/>
      </c>
      <c r="I1935" s="35">
        <f>IF(OR(G1935="",G1935="NOT ON LIST"),"",VLOOKUP(G1935,Students!$A:$C,3,FALSE)&amp;"")</f>
        <v/>
      </c>
    </row>
    <row r="1936">
      <c r="A1936" s="31" t="n"/>
      <c r="B1936" s="32" t="n"/>
      <c r="C1936" s="32" t="n"/>
      <c r="D1936" s="33" t="n"/>
      <c r="E1936" s="32" t="n"/>
      <c r="F1936" s="34">
        <f>IF(A1936="","",IFERROR(INT(A1936),"check date"))</f>
        <v/>
      </c>
      <c r="G1936" s="35">
        <f>IF(B1936="","",IFERROR(INDEX(Students!$A:$A,MATCH(TRIM(B1936),Students!$A:$A,0)),"NOT ON LIST"))</f>
        <v/>
      </c>
      <c r="H1936" s="35">
        <f>IF(OR(G1936="",G1936="NOT ON LIST"),"",VLOOKUP(G1936,Students!$A:$C,2,FALSE))</f>
        <v/>
      </c>
      <c r="I1936" s="35">
        <f>IF(OR(G1936="",G1936="NOT ON LIST"),"",VLOOKUP(G1936,Students!$A:$C,3,FALSE)&amp;"")</f>
        <v/>
      </c>
    </row>
    <row r="1937">
      <c r="A1937" s="31" t="n"/>
      <c r="B1937" s="32" t="n"/>
      <c r="C1937" s="32" t="n"/>
      <c r="D1937" s="33" t="n"/>
      <c r="E1937" s="32" t="n"/>
      <c r="F1937" s="34">
        <f>IF(A1937="","",IFERROR(INT(A1937),"check date"))</f>
        <v/>
      </c>
      <c r="G1937" s="35">
        <f>IF(B1937="","",IFERROR(INDEX(Students!$A:$A,MATCH(TRIM(B1937),Students!$A:$A,0)),"NOT ON LIST"))</f>
        <v/>
      </c>
      <c r="H1937" s="35">
        <f>IF(OR(G1937="",G1937="NOT ON LIST"),"",VLOOKUP(G1937,Students!$A:$C,2,FALSE))</f>
        <v/>
      </c>
      <c r="I1937" s="35">
        <f>IF(OR(G1937="",G1937="NOT ON LIST"),"",VLOOKUP(G1937,Students!$A:$C,3,FALSE)&amp;"")</f>
        <v/>
      </c>
    </row>
    <row r="1938">
      <c r="A1938" s="31" t="n"/>
      <c r="B1938" s="32" t="n"/>
      <c r="C1938" s="32" t="n"/>
      <c r="D1938" s="33" t="n"/>
      <c r="E1938" s="32" t="n"/>
      <c r="F1938" s="34">
        <f>IF(A1938="","",IFERROR(INT(A1938),"check date"))</f>
        <v/>
      </c>
      <c r="G1938" s="35">
        <f>IF(B1938="","",IFERROR(INDEX(Students!$A:$A,MATCH(TRIM(B1938),Students!$A:$A,0)),"NOT ON LIST"))</f>
        <v/>
      </c>
      <c r="H1938" s="35">
        <f>IF(OR(G1938="",G1938="NOT ON LIST"),"",VLOOKUP(G1938,Students!$A:$C,2,FALSE))</f>
        <v/>
      </c>
      <c r="I1938" s="35">
        <f>IF(OR(G1938="",G1938="NOT ON LIST"),"",VLOOKUP(G1938,Students!$A:$C,3,FALSE)&amp;"")</f>
        <v/>
      </c>
    </row>
    <row r="1939">
      <c r="A1939" s="31" t="n"/>
      <c r="B1939" s="32" t="n"/>
      <c r="C1939" s="32" t="n"/>
      <c r="D1939" s="33" t="n"/>
      <c r="E1939" s="32" t="n"/>
      <c r="F1939" s="34">
        <f>IF(A1939="","",IFERROR(INT(A1939),"check date"))</f>
        <v/>
      </c>
      <c r="G1939" s="35">
        <f>IF(B1939="","",IFERROR(INDEX(Students!$A:$A,MATCH(TRIM(B1939),Students!$A:$A,0)),"NOT ON LIST"))</f>
        <v/>
      </c>
      <c r="H1939" s="35">
        <f>IF(OR(G1939="",G1939="NOT ON LIST"),"",VLOOKUP(G1939,Students!$A:$C,2,FALSE))</f>
        <v/>
      </c>
      <c r="I1939" s="35">
        <f>IF(OR(G1939="",G1939="NOT ON LIST"),"",VLOOKUP(G1939,Students!$A:$C,3,FALSE)&amp;"")</f>
        <v/>
      </c>
    </row>
    <row r="1940">
      <c r="A1940" s="31" t="n"/>
      <c r="B1940" s="32" t="n"/>
      <c r="C1940" s="32" t="n"/>
      <c r="D1940" s="33" t="n"/>
      <c r="E1940" s="32" t="n"/>
      <c r="F1940" s="34">
        <f>IF(A1940="","",IFERROR(INT(A1940),"check date"))</f>
        <v/>
      </c>
      <c r="G1940" s="35">
        <f>IF(B1940="","",IFERROR(INDEX(Students!$A:$A,MATCH(TRIM(B1940),Students!$A:$A,0)),"NOT ON LIST"))</f>
        <v/>
      </c>
      <c r="H1940" s="35">
        <f>IF(OR(G1940="",G1940="NOT ON LIST"),"",VLOOKUP(G1940,Students!$A:$C,2,FALSE))</f>
        <v/>
      </c>
      <c r="I1940" s="35">
        <f>IF(OR(G1940="",G1940="NOT ON LIST"),"",VLOOKUP(G1940,Students!$A:$C,3,FALSE)&amp;"")</f>
        <v/>
      </c>
    </row>
    <row r="1941">
      <c r="A1941" s="31" t="n"/>
      <c r="B1941" s="32" t="n"/>
      <c r="C1941" s="32" t="n"/>
      <c r="D1941" s="33" t="n"/>
      <c r="E1941" s="32" t="n"/>
      <c r="F1941" s="34">
        <f>IF(A1941="","",IFERROR(INT(A1941),"check date"))</f>
        <v/>
      </c>
      <c r="G1941" s="35">
        <f>IF(B1941="","",IFERROR(INDEX(Students!$A:$A,MATCH(TRIM(B1941),Students!$A:$A,0)),"NOT ON LIST"))</f>
        <v/>
      </c>
      <c r="H1941" s="35">
        <f>IF(OR(G1941="",G1941="NOT ON LIST"),"",VLOOKUP(G1941,Students!$A:$C,2,FALSE))</f>
        <v/>
      </c>
      <c r="I1941" s="35">
        <f>IF(OR(G1941="",G1941="NOT ON LIST"),"",VLOOKUP(G1941,Students!$A:$C,3,FALSE)&amp;"")</f>
        <v/>
      </c>
    </row>
    <row r="1942">
      <c r="A1942" s="31" t="n"/>
      <c r="B1942" s="32" t="n"/>
      <c r="C1942" s="32" t="n"/>
      <c r="D1942" s="33" t="n"/>
      <c r="E1942" s="32" t="n"/>
      <c r="F1942" s="34">
        <f>IF(A1942="","",IFERROR(INT(A1942),"check date"))</f>
        <v/>
      </c>
      <c r="G1942" s="35">
        <f>IF(B1942="","",IFERROR(INDEX(Students!$A:$A,MATCH(TRIM(B1942),Students!$A:$A,0)),"NOT ON LIST"))</f>
        <v/>
      </c>
      <c r="H1942" s="35">
        <f>IF(OR(G1942="",G1942="NOT ON LIST"),"",VLOOKUP(G1942,Students!$A:$C,2,FALSE))</f>
        <v/>
      </c>
      <c r="I1942" s="35">
        <f>IF(OR(G1942="",G1942="NOT ON LIST"),"",VLOOKUP(G1942,Students!$A:$C,3,FALSE)&amp;"")</f>
        <v/>
      </c>
    </row>
    <row r="1943">
      <c r="A1943" s="31" t="n"/>
      <c r="B1943" s="32" t="n"/>
      <c r="C1943" s="32" t="n"/>
      <c r="D1943" s="33" t="n"/>
      <c r="E1943" s="32" t="n"/>
      <c r="F1943" s="34">
        <f>IF(A1943="","",IFERROR(INT(A1943),"check date"))</f>
        <v/>
      </c>
      <c r="G1943" s="35">
        <f>IF(B1943="","",IFERROR(INDEX(Students!$A:$A,MATCH(TRIM(B1943),Students!$A:$A,0)),"NOT ON LIST"))</f>
        <v/>
      </c>
      <c r="H1943" s="35">
        <f>IF(OR(G1943="",G1943="NOT ON LIST"),"",VLOOKUP(G1943,Students!$A:$C,2,FALSE))</f>
        <v/>
      </c>
      <c r="I1943" s="35">
        <f>IF(OR(G1943="",G1943="NOT ON LIST"),"",VLOOKUP(G1943,Students!$A:$C,3,FALSE)&amp;"")</f>
        <v/>
      </c>
    </row>
    <row r="1944">
      <c r="A1944" s="31" t="n"/>
      <c r="B1944" s="32" t="n"/>
      <c r="C1944" s="32" t="n"/>
      <c r="D1944" s="33" t="n"/>
      <c r="E1944" s="32" t="n"/>
      <c r="F1944" s="34">
        <f>IF(A1944="","",IFERROR(INT(A1944),"check date"))</f>
        <v/>
      </c>
      <c r="G1944" s="35">
        <f>IF(B1944="","",IFERROR(INDEX(Students!$A:$A,MATCH(TRIM(B1944),Students!$A:$A,0)),"NOT ON LIST"))</f>
        <v/>
      </c>
      <c r="H1944" s="35">
        <f>IF(OR(G1944="",G1944="NOT ON LIST"),"",VLOOKUP(G1944,Students!$A:$C,2,FALSE))</f>
        <v/>
      </c>
      <c r="I1944" s="35">
        <f>IF(OR(G1944="",G1944="NOT ON LIST"),"",VLOOKUP(G1944,Students!$A:$C,3,FALSE)&amp;"")</f>
        <v/>
      </c>
    </row>
    <row r="1945">
      <c r="A1945" s="31" t="n"/>
      <c r="B1945" s="32" t="n"/>
      <c r="C1945" s="32" t="n"/>
      <c r="D1945" s="33" t="n"/>
      <c r="E1945" s="32" t="n"/>
      <c r="F1945" s="34">
        <f>IF(A1945="","",IFERROR(INT(A1945),"check date"))</f>
        <v/>
      </c>
      <c r="G1945" s="35">
        <f>IF(B1945="","",IFERROR(INDEX(Students!$A:$A,MATCH(TRIM(B1945),Students!$A:$A,0)),"NOT ON LIST"))</f>
        <v/>
      </c>
      <c r="H1945" s="35">
        <f>IF(OR(G1945="",G1945="NOT ON LIST"),"",VLOOKUP(G1945,Students!$A:$C,2,FALSE))</f>
        <v/>
      </c>
      <c r="I1945" s="35">
        <f>IF(OR(G1945="",G1945="NOT ON LIST"),"",VLOOKUP(G1945,Students!$A:$C,3,FALSE)&amp;"")</f>
        <v/>
      </c>
    </row>
    <row r="1946">
      <c r="A1946" s="31" t="n"/>
      <c r="B1946" s="32" t="n"/>
      <c r="C1946" s="32" t="n"/>
      <c r="D1946" s="33" t="n"/>
      <c r="E1946" s="32" t="n"/>
      <c r="F1946" s="34">
        <f>IF(A1946="","",IFERROR(INT(A1946),"check date"))</f>
        <v/>
      </c>
      <c r="G1946" s="35">
        <f>IF(B1946="","",IFERROR(INDEX(Students!$A:$A,MATCH(TRIM(B1946),Students!$A:$A,0)),"NOT ON LIST"))</f>
        <v/>
      </c>
      <c r="H1946" s="35">
        <f>IF(OR(G1946="",G1946="NOT ON LIST"),"",VLOOKUP(G1946,Students!$A:$C,2,FALSE))</f>
        <v/>
      </c>
      <c r="I1946" s="35">
        <f>IF(OR(G1946="",G1946="NOT ON LIST"),"",VLOOKUP(G1946,Students!$A:$C,3,FALSE)&amp;"")</f>
        <v/>
      </c>
    </row>
    <row r="1947">
      <c r="A1947" s="31" t="n"/>
      <c r="B1947" s="32" t="n"/>
      <c r="C1947" s="32" t="n"/>
      <c r="D1947" s="33" t="n"/>
      <c r="E1947" s="32" t="n"/>
      <c r="F1947" s="34">
        <f>IF(A1947="","",IFERROR(INT(A1947),"check date"))</f>
        <v/>
      </c>
      <c r="G1947" s="35">
        <f>IF(B1947="","",IFERROR(INDEX(Students!$A:$A,MATCH(TRIM(B1947),Students!$A:$A,0)),"NOT ON LIST"))</f>
        <v/>
      </c>
      <c r="H1947" s="35">
        <f>IF(OR(G1947="",G1947="NOT ON LIST"),"",VLOOKUP(G1947,Students!$A:$C,2,FALSE))</f>
        <v/>
      </c>
      <c r="I1947" s="35">
        <f>IF(OR(G1947="",G1947="NOT ON LIST"),"",VLOOKUP(G1947,Students!$A:$C,3,FALSE)&amp;"")</f>
        <v/>
      </c>
    </row>
    <row r="1948">
      <c r="A1948" s="31" t="n"/>
      <c r="B1948" s="32" t="n"/>
      <c r="C1948" s="32" t="n"/>
      <c r="D1948" s="33" t="n"/>
      <c r="E1948" s="32" t="n"/>
      <c r="F1948" s="34">
        <f>IF(A1948="","",IFERROR(INT(A1948),"check date"))</f>
        <v/>
      </c>
      <c r="G1948" s="35">
        <f>IF(B1948="","",IFERROR(INDEX(Students!$A:$A,MATCH(TRIM(B1948),Students!$A:$A,0)),"NOT ON LIST"))</f>
        <v/>
      </c>
      <c r="H1948" s="35">
        <f>IF(OR(G1948="",G1948="NOT ON LIST"),"",VLOOKUP(G1948,Students!$A:$C,2,FALSE))</f>
        <v/>
      </c>
      <c r="I1948" s="35">
        <f>IF(OR(G1948="",G1948="NOT ON LIST"),"",VLOOKUP(G1948,Students!$A:$C,3,FALSE)&amp;"")</f>
        <v/>
      </c>
    </row>
    <row r="1949">
      <c r="A1949" s="31" t="n"/>
      <c r="B1949" s="32" t="n"/>
      <c r="C1949" s="32" t="n"/>
      <c r="D1949" s="33" t="n"/>
      <c r="E1949" s="32" t="n"/>
      <c r="F1949" s="34">
        <f>IF(A1949="","",IFERROR(INT(A1949),"check date"))</f>
        <v/>
      </c>
      <c r="G1949" s="35">
        <f>IF(B1949="","",IFERROR(INDEX(Students!$A:$A,MATCH(TRIM(B1949),Students!$A:$A,0)),"NOT ON LIST"))</f>
        <v/>
      </c>
      <c r="H1949" s="35">
        <f>IF(OR(G1949="",G1949="NOT ON LIST"),"",VLOOKUP(G1949,Students!$A:$C,2,FALSE))</f>
        <v/>
      </c>
      <c r="I1949" s="35">
        <f>IF(OR(G1949="",G1949="NOT ON LIST"),"",VLOOKUP(G1949,Students!$A:$C,3,FALSE)&amp;"")</f>
        <v/>
      </c>
    </row>
    <row r="1950">
      <c r="A1950" s="31" t="n"/>
      <c r="B1950" s="32" t="n"/>
      <c r="C1950" s="32" t="n"/>
      <c r="D1950" s="33" t="n"/>
      <c r="E1950" s="32" t="n"/>
      <c r="F1950" s="34">
        <f>IF(A1950="","",IFERROR(INT(A1950),"check date"))</f>
        <v/>
      </c>
      <c r="G1950" s="35">
        <f>IF(B1950="","",IFERROR(INDEX(Students!$A:$A,MATCH(TRIM(B1950),Students!$A:$A,0)),"NOT ON LIST"))</f>
        <v/>
      </c>
      <c r="H1950" s="35">
        <f>IF(OR(G1950="",G1950="NOT ON LIST"),"",VLOOKUP(G1950,Students!$A:$C,2,FALSE))</f>
        <v/>
      </c>
      <c r="I1950" s="35">
        <f>IF(OR(G1950="",G1950="NOT ON LIST"),"",VLOOKUP(G1950,Students!$A:$C,3,FALSE)&amp;"")</f>
        <v/>
      </c>
    </row>
    <row r="1951">
      <c r="A1951" s="31" t="n"/>
      <c r="B1951" s="32" t="n"/>
      <c r="C1951" s="32" t="n"/>
      <c r="D1951" s="33" t="n"/>
      <c r="E1951" s="32" t="n"/>
      <c r="F1951" s="34">
        <f>IF(A1951="","",IFERROR(INT(A1951),"check date"))</f>
        <v/>
      </c>
      <c r="G1951" s="35">
        <f>IF(B1951="","",IFERROR(INDEX(Students!$A:$A,MATCH(TRIM(B1951),Students!$A:$A,0)),"NOT ON LIST"))</f>
        <v/>
      </c>
      <c r="H1951" s="35">
        <f>IF(OR(G1951="",G1951="NOT ON LIST"),"",VLOOKUP(G1951,Students!$A:$C,2,FALSE))</f>
        <v/>
      </c>
      <c r="I1951" s="35">
        <f>IF(OR(G1951="",G1951="NOT ON LIST"),"",VLOOKUP(G1951,Students!$A:$C,3,FALSE)&amp;"")</f>
        <v/>
      </c>
    </row>
    <row r="1952">
      <c r="A1952" s="31" t="n"/>
      <c r="B1952" s="32" t="n"/>
      <c r="C1952" s="32" t="n"/>
      <c r="D1952" s="33" t="n"/>
      <c r="E1952" s="32" t="n"/>
      <c r="F1952" s="34">
        <f>IF(A1952="","",IFERROR(INT(A1952),"check date"))</f>
        <v/>
      </c>
      <c r="G1952" s="35">
        <f>IF(B1952="","",IFERROR(INDEX(Students!$A:$A,MATCH(TRIM(B1952),Students!$A:$A,0)),"NOT ON LIST"))</f>
        <v/>
      </c>
      <c r="H1952" s="35">
        <f>IF(OR(G1952="",G1952="NOT ON LIST"),"",VLOOKUP(G1952,Students!$A:$C,2,FALSE))</f>
        <v/>
      </c>
      <c r="I1952" s="35">
        <f>IF(OR(G1952="",G1952="NOT ON LIST"),"",VLOOKUP(G1952,Students!$A:$C,3,FALSE)&amp;"")</f>
        <v/>
      </c>
    </row>
    <row r="1953">
      <c r="A1953" s="31" t="n"/>
      <c r="B1953" s="32" t="n"/>
      <c r="C1953" s="32" t="n"/>
      <c r="D1953" s="33" t="n"/>
      <c r="E1953" s="32" t="n"/>
      <c r="F1953" s="34">
        <f>IF(A1953="","",IFERROR(INT(A1953),"check date"))</f>
        <v/>
      </c>
      <c r="G1953" s="35">
        <f>IF(B1953="","",IFERROR(INDEX(Students!$A:$A,MATCH(TRIM(B1953),Students!$A:$A,0)),"NOT ON LIST"))</f>
        <v/>
      </c>
      <c r="H1953" s="35">
        <f>IF(OR(G1953="",G1953="NOT ON LIST"),"",VLOOKUP(G1953,Students!$A:$C,2,FALSE))</f>
        <v/>
      </c>
      <c r="I1953" s="35">
        <f>IF(OR(G1953="",G1953="NOT ON LIST"),"",VLOOKUP(G1953,Students!$A:$C,3,FALSE)&amp;"")</f>
        <v/>
      </c>
    </row>
    <row r="1954">
      <c r="A1954" s="31" t="n"/>
      <c r="B1954" s="32" t="n"/>
      <c r="C1954" s="32" t="n"/>
      <c r="D1954" s="33" t="n"/>
      <c r="E1954" s="32" t="n"/>
      <c r="F1954" s="34">
        <f>IF(A1954="","",IFERROR(INT(A1954),"check date"))</f>
        <v/>
      </c>
      <c r="G1954" s="35">
        <f>IF(B1954="","",IFERROR(INDEX(Students!$A:$A,MATCH(TRIM(B1954),Students!$A:$A,0)),"NOT ON LIST"))</f>
        <v/>
      </c>
      <c r="H1954" s="35">
        <f>IF(OR(G1954="",G1954="NOT ON LIST"),"",VLOOKUP(G1954,Students!$A:$C,2,FALSE))</f>
        <v/>
      </c>
      <c r="I1954" s="35">
        <f>IF(OR(G1954="",G1954="NOT ON LIST"),"",VLOOKUP(G1954,Students!$A:$C,3,FALSE)&amp;"")</f>
        <v/>
      </c>
    </row>
    <row r="1955">
      <c r="A1955" s="31" t="n"/>
      <c r="B1955" s="32" t="n"/>
      <c r="C1955" s="32" t="n"/>
      <c r="D1955" s="33" t="n"/>
      <c r="E1955" s="32" t="n"/>
      <c r="F1955" s="34">
        <f>IF(A1955="","",IFERROR(INT(A1955),"check date"))</f>
        <v/>
      </c>
      <c r="G1955" s="35">
        <f>IF(B1955="","",IFERROR(INDEX(Students!$A:$A,MATCH(TRIM(B1955),Students!$A:$A,0)),"NOT ON LIST"))</f>
        <v/>
      </c>
      <c r="H1955" s="35">
        <f>IF(OR(G1955="",G1955="NOT ON LIST"),"",VLOOKUP(G1955,Students!$A:$C,2,FALSE))</f>
        <v/>
      </c>
      <c r="I1955" s="35">
        <f>IF(OR(G1955="",G1955="NOT ON LIST"),"",VLOOKUP(G1955,Students!$A:$C,3,FALSE)&amp;"")</f>
        <v/>
      </c>
    </row>
    <row r="1956">
      <c r="A1956" s="31" t="n"/>
      <c r="B1956" s="32" t="n"/>
      <c r="C1956" s="32" t="n"/>
      <c r="D1956" s="33" t="n"/>
      <c r="E1956" s="32" t="n"/>
      <c r="F1956" s="34">
        <f>IF(A1956="","",IFERROR(INT(A1956),"check date"))</f>
        <v/>
      </c>
      <c r="G1956" s="35">
        <f>IF(B1956="","",IFERROR(INDEX(Students!$A:$A,MATCH(TRIM(B1956),Students!$A:$A,0)),"NOT ON LIST"))</f>
        <v/>
      </c>
      <c r="H1956" s="35">
        <f>IF(OR(G1956="",G1956="NOT ON LIST"),"",VLOOKUP(G1956,Students!$A:$C,2,FALSE))</f>
        <v/>
      </c>
      <c r="I1956" s="35">
        <f>IF(OR(G1956="",G1956="NOT ON LIST"),"",VLOOKUP(G1956,Students!$A:$C,3,FALSE)&amp;"")</f>
        <v/>
      </c>
    </row>
    <row r="1957">
      <c r="A1957" s="31" t="n"/>
      <c r="B1957" s="32" t="n"/>
      <c r="C1957" s="32" t="n"/>
      <c r="D1957" s="33" t="n"/>
      <c r="E1957" s="32" t="n"/>
      <c r="F1957" s="34">
        <f>IF(A1957="","",IFERROR(INT(A1957),"check date"))</f>
        <v/>
      </c>
      <c r="G1957" s="35">
        <f>IF(B1957="","",IFERROR(INDEX(Students!$A:$A,MATCH(TRIM(B1957),Students!$A:$A,0)),"NOT ON LIST"))</f>
        <v/>
      </c>
      <c r="H1957" s="35">
        <f>IF(OR(G1957="",G1957="NOT ON LIST"),"",VLOOKUP(G1957,Students!$A:$C,2,FALSE))</f>
        <v/>
      </c>
      <c r="I1957" s="35">
        <f>IF(OR(G1957="",G1957="NOT ON LIST"),"",VLOOKUP(G1957,Students!$A:$C,3,FALSE)&amp;"")</f>
        <v/>
      </c>
    </row>
    <row r="1958">
      <c r="A1958" s="31" t="n"/>
      <c r="B1958" s="32" t="n"/>
      <c r="C1958" s="32" t="n"/>
      <c r="D1958" s="33" t="n"/>
      <c r="E1958" s="32" t="n"/>
      <c r="F1958" s="34">
        <f>IF(A1958="","",IFERROR(INT(A1958),"check date"))</f>
        <v/>
      </c>
      <c r="G1958" s="35">
        <f>IF(B1958="","",IFERROR(INDEX(Students!$A:$A,MATCH(TRIM(B1958),Students!$A:$A,0)),"NOT ON LIST"))</f>
        <v/>
      </c>
      <c r="H1958" s="35">
        <f>IF(OR(G1958="",G1958="NOT ON LIST"),"",VLOOKUP(G1958,Students!$A:$C,2,FALSE))</f>
        <v/>
      </c>
      <c r="I1958" s="35">
        <f>IF(OR(G1958="",G1958="NOT ON LIST"),"",VLOOKUP(G1958,Students!$A:$C,3,FALSE)&amp;"")</f>
        <v/>
      </c>
    </row>
    <row r="1959">
      <c r="A1959" s="31" t="n"/>
      <c r="B1959" s="32" t="n"/>
      <c r="C1959" s="32" t="n"/>
      <c r="D1959" s="33" t="n"/>
      <c r="E1959" s="32" t="n"/>
      <c r="F1959" s="34">
        <f>IF(A1959="","",IFERROR(INT(A1959),"check date"))</f>
        <v/>
      </c>
      <c r="G1959" s="35">
        <f>IF(B1959="","",IFERROR(INDEX(Students!$A:$A,MATCH(TRIM(B1959),Students!$A:$A,0)),"NOT ON LIST"))</f>
        <v/>
      </c>
      <c r="H1959" s="35">
        <f>IF(OR(G1959="",G1959="NOT ON LIST"),"",VLOOKUP(G1959,Students!$A:$C,2,FALSE))</f>
        <v/>
      </c>
      <c r="I1959" s="35">
        <f>IF(OR(G1959="",G1959="NOT ON LIST"),"",VLOOKUP(G1959,Students!$A:$C,3,FALSE)&amp;"")</f>
        <v/>
      </c>
    </row>
    <row r="1960">
      <c r="A1960" s="31" t="n"/>
      <c r="B1960" s="32" t="n"/>
      <c r="C1960" s="32" t="n"/>
      <c r="D1960" s="33" t="n"/>
      <c r="E1960" s="32" t="n"/>
      <c r="F1960" s="34">
        <f>IF(A1960="","",IFERROR(INT(A1960),"check date"))</f>
        <v/>
      </c>
      <c r="G1960" s="35">
        <f>IF(B1960="","",IFERROR(INDEX(Students!$A:$A,MATCH(TRIM(B1960),Students!$A:$A,0)),"NOT ON LIST"))</f>
        <v/>
      </c>
      <c r="H1960" s="35">
        <f>IF(OR(G1960="",G1960="NOT ON LIST"),"",VLOOKUP(G1960,Students!$A:$C,2,FALSE))</f>
        <v/>
      </c>
      <c r="I1960" s="35">
        <f>IF(OR(G1960="",G1960="NOT ON LIST"),"",VLOOKUP(G1960,Students!$A:$C,3,FALSE)&amp;"")</f>
        <v/>
      </c>
    </row>
    <row r="1961">
      <c r="A1961" s="31" t="n"/>
      <c r="B1961" s="32" t="n"/>
      <c r="C1961" s="32" t="n"/>
      <c r="D1961" s="33" t="n"/>
      <c r="E1961" s="32" t="n"/>
      <c r="F1961" s="34">
        <f>IF(A1961="","",IFERROR(INT(A1961),"check date"))</f>
        <v/>
      </c>
      <c r="G1961" s="35">
        <f>IF(B1961="","",IFERROR(INDEX(Students!$A:$A,MATCH(TRIM(B1961),Students!$A:$A,0)),"NOT ON LIST"))</f>
        <v/>
      </c>
      <c r="H1961" s="35">
        <f>IF(OR(G1961="",G1961="NOT ON LIST"),"",VLOOKUP(G1961,Students!$A:$C,2,FALSE))</f>
        <v/>
      </c>
      <c r="I1961" s="35">
        <f>IF(OR(G1961="",G1961="NOT ON LIST"),"",VLOOKUP(G1961,Students!$A:$C,3,FALSE)&amp;"")</f>
        <v/>
      </c>
    </row>
    <row r="1962">
      <c r="A1962" s="31" t="n"/>
      <c r="B1962" s="32" t="n"/>
      <c r="C1962" s="32" t="n"/>
      <c r="D1962" s="33" t="n"/>
      <c r="E1962" s="32" t="n"/>
      <c r="F1962" s="34">
        <f>IF(A1962="","",IFERROR(INT(A1962),"check date"))</f>
        <v/>
      </c>
      <c r="G1962" s="35">
        <f>IF(B1962="","",IFERROR(INDEX(Students!$A:$A,MATCH(TRIM(B1962),Students!$A:$A,0)),"NOT ON LIST"))</f>
        <v/>
      </c>
      <c r="H1962" s="35">
        <f>IF(OR(G1962="",G1962="NOT ON LIST"),"",VLOOKUP(G1962,Students!$A:$C,2,FALSE))</f>
        <v/>
      </c>
      <c r="I1962" s="35">
        <f>IF(OR(G1962="",G1962="NOT ON LIST"),"",VLOOKUP(G1962,Students!$A:$C,3,FALSE)&amp;"")</f>
        <v/>
      </c>
    </row>
    <row r="1963">
      <c r="A1963" s="31" t="n"/>
      <c r="B1963" s="32" t="n"/>
      <c r="C1963" s="32" t="n"/>
      <c r="D1963" s="33" t="n"/>
      <c r="E1963" s="32" t="n"/>
      <c r="F1963" s="34">
        <f>IF(A1963="","",IFERROR(INT(A1963),"check date"))</f>
        <v/>
      </c>
      <c r="G1963" s="35">
        <f>IF(B1963="","",IFERROR(INDEX(Students!$A:$A,MATCH(TRIM(B1963),Students!$A:$A,0)),"NOT ON LIST"))</f>
        <v/>
      </c>
      <c r="H1963" s="35">
        <f>IF(OR(G1963="",G1963="NOT ON LIST"),"",VLOOKUP(G1963,Students!$A:$C,2,FALSE))</f>
        <v/>
      </c>
      <c r="I1963" s="35">
        <f>IF(OR(G1963="",G1963="NOT ON LIST"),"",VLOOKUP(G1963,Students!$A:$C,3,FALSE)&amp;"")</f>
        <v/>
      </c>
    </row>
    <row r="1964">
      <c r="A1964" s="31" t="n"/>
      <c r="B1964" s="32" t="n"/>
      <c r="C1964" s="32" t="n"/>
      <c r="D1964" s="33" t="n"/>
      <c r="E1964" s="32" t="n"/>
      <c r="F1964" s="34">
        <f>IF(A1964="","",IFERROR(INT(A1964),"check date"))</f>
        <v/>
      </c>
      <c r="G1964" s="35">
        <f>IF(B1964="","",IFERROR(INDEX(Students!$A:$A,MATCH(TRIM(B1964),Students!$A:$A,0)),"NOT ON LIST"))</f>
        <v/>
      </c>
      <c r="H1964" s="35">
        <f>IF(OR(G1964="",G1964="NOT ON LIST"),"",VLOOKUP(G1964,Students!$A:$C,2,FALSE))</f>
        <v/>
      </c>
      <c r="I1964" s="35">
        <f>IF(OR(G1964="",G1964="NOT ON LIST"),"",VLOOKUP(G1964,Students!$A:$C,3,FALSE)&amp;"")</f>
        <v/>
      </c>
    </row>
    <row r="1965">
      <c r="A1965" s="31" t="n"/>
      <c r="B1965" s="32" t="n"/>
      <c r="C1965" s="32" t="n"/>
      <c r="D1965" s="33" t="n"/>
      <c r="E1965" s="32" t="n"/>
      <c r="F1965" s="34">
        <f>IF(A1965="","",IFERROR(INT(A1965),"check date"))</f>
        <v/>
      </c>
      <c r="G1965" s="35">
        <f>IF(B1965="","",IFERROR(INDEX(Students!$A:$A,MATCH(TRIM(B1965),Students!$A:$A,0)),"NOT ON LIST"))</f>
        <v/>
      </c>
      <c r="H1965" s="35">
        <f>IF(OR(G1965="",G1965="NOT ON LIST"),"",VLOOKUP(G1965,Students!$A:$C,2,FALSE))</f>
        <v/>
      </c>
      <c r="I1965" s="35">
        <f>IF(OR(G1965="",G1965="NOT ON LIST"),"",VLOOKUP(G1965,Students!$A:$C,3,FALSE)&amp;"")</f>
        <v/>
      </c>
    </row>
    <row r="1966">
      <c r="A1966" s="31" t="n"/>
      <c r="B1966" s="32" t="n"/>
      <c r="C1966" s="32" t="n"/>
      <c r="D1966" s="33" t="n"/>
      <c r="E1966" s="32" t="n"/>
      <c r="F1966" s="34">
        <f>IF(A1966="","",IFERROR(INT(A1966),"check date"))</f>
        <v/>
      </c>
      <c r="G1966" s="35">
        <f>IF(B1966="","",IFERROR(INDEX(Students!$A:$A,MATCH(TRIM(B1966),Students!$A:$A,0)),"NOT ON LIST"))</f>
        <v/>
      </c>
      <c r="H1966" s="35">
        <f>IF(OR(G1966="",G1966="NOT ON LIST"),"",VLOOKUP(G1966,Students!$A:$C,2,FALSE))</f>
        <v/>
      </c>
      <c r="I1966" s="35">
        <f>IF(OR(G1966="",G1966="NOT ON LIST"),"",VLOOKUP(G1966,Students!$A:$C,3,FALSE)&amp;"")</f>
        <v/>
      </c>
    </row>
    <row r="1967">
      <c r="A1967" s="31" t="n"/>
      <c r="B1967" s="32" t="n"/>
      <c r="C1967" s="32" t="n"/>
      <c r="D1967" s="33" t="n"/>
      <c r="E1967" s="32" t="n"/>
      <c r="F1967" s="34">
        <f>IF(A1967="","",IFERROR(INT(A1967),"check date"))</f>
        <v/>
      </c>
      <c r="G1967" s="35">
        <f>IF(B1967="","",IFERROR(INDEX(Students!$A:$A,MATCH(TRIM(B1967),Students!$A:$A,0)),"NOT ON LIST"))</f>
        <v/>
      </c>
      <c r="H1967" s="35">
        <f>IF(OR(G1967="",G1967="NOT ON LIST"),"",VLOOKUP(G1967,Students!$A:$C,2,FALSE))</f>
        <v/>
      </c>
      <c r="I1967" s="35">
        <f>IF(OR(G1967="",G1967="NOT ON LIST"),"",VLOOKUP(G1967,Students!$A:$C,3,FALSE)&amp;"")</f>
        <v/>
      </c>
    </row>
    <row r="1968">
      <c r="A1968" s="31" t="n"/>
      <c r="B1968" s="32" t="n"/>
      <c r="C1968" s="32" t="n"/>
      <c r="D1968" s="33" t="n"/>
      <c r="E1968" s="32" t="n"/>
      <c r="F1968" s="34">
        <f>IF(A1968="","",IFERROR(INT(A1968),"check date"))</f>
        <v/>
      </c>
      <c r="G1968" s="35">
        <f>IF(B1968="","",IFERROR(INDEX(Students!$A:$A,MATCH(TRIM(B1968),Students!$A:$A,0)),"NOT ON LIST"))</f>
        <v/>
      </c>
      <c r="H1968" s="35">
        <f>IF(OR(G1968="",G1968="NOT ON LIST"),"",VLOOKUP(G1968,Students!$A:$C,2,FALSE))</f>
        <v/>
      </c>
      <c r="I1968" s="35">
        <f>IF(OR(G1968="",G1968="NOT ON LIST"),"",VLOOKUP(G1968,Students!$A:$C,3,FALSE)&amp;"")</f>
        <v/>
      </c>
    </row>
    <row r="1969">
      <c r="A1969" s="31" t="n"/>
      <c r="B1969" s="32" t="n"/>
      <c r="C1969" s="32" t="n"/>
      <c r="D1969" s="33" t="n"/>
      <c r="E1969" s="32" t="n"/>
      <c r="F1969" s="34">
        <f>IF(A1969="","",IFERROR(INT(A1969),"check date"))</f>
        <v/>
      </c>
      <c r="G1969" s="35">
        <f>IF(B1969="","",IFERROR(INDEX(Students!$A:$A,MATCH(TRIM(B1969),Students!$A:$A,0)),"NOT ON LIST"))</f>
        <v/>
      </c>
      <c r="H1969" s="35">
        <f>IF(OR(G1969="",G1969="NOT ON LIST"),"",VLOOKUP(G1969,Students!$A:$C,2,FALSE))</f>
        <v/>
      </c>
      <c r="I1969" s="35">
        <f>IF(OR(G1969="",G1969="NOT ON LIST"),"",VLOOKUP(G1969,Students!$A:$C,3,FALSE)&amp;"")</f>
        <v/>
      </c>
    </row>
    <row r="1970">
      <c r="A1970" s="31" t="n"/>
      <c r="B1970" s="32" t="n"/>
      <c r="C1970" s="32" t="n"/>
      <c r="D1970" s="33" t="n"/>
      <c r="E1970" s="32" t="n"/>
      <c r="F1970" s="34">
        <f>IF(A1970="","",IFERROR(INT(A1970),"check date"))</f>
        <v/>
      </c>
      <c r="G1970" s="35">
        <f>IF(B1970="","",IFERROR(INDEX(Students!$A:$A,MATCH(TRIM(B1970),Students!$A:$A,0)),"NOT ON LIST"))</f>
        <v/>
      </c>
      <c r="H1970" s="35">
        <f>IF(OR(G1970="",G1970="NOT ON LIST"),"",VLOOKUP(G1970,Students!$A:$C,2,FALSE))</f>
        <v/>
      </c>
      <c r="I1970" s="35">
        <f>IF(OR(G1970="",G1970="NOT ON LIST"),"",VLOOKUP(G1970,Students!$A:$C,3,FALSE)&amp;"")</f>
        <v/>
      </c>
    </row>
    <row r="1971">
      <c r="A1971" s="31" t="n"/>
      <c r="B1971" s="32" t="n"/>
      <c r="C1971" s="32" t="n"/>
      <c r="D1971" s="33" t="n"/>
      <c r="E1971" s="32" t="n"/>
      <c r="F1971" s="34">
        <f>IF(A1971="","",IFERROR(INT(A1971),"check date"))</f>
        <v/>
      </c>
      <c r="G1971" s="35">
        <f>IF(B1971="","",IFERROR(INDEX(Students!$A:$A,MATCH(TRIM(B1971),Students!$A:$A,0)),"NOT ON LIST"))</f>
        <v/>
      </c>
      <c r="H1971" s="35">
        <f>IF(OR(G1971="",G1971="NOT ON LIST"),"",VLOOKUP(G1971,Students!$A:$C,2,FALSE))</f>
        <v/>
      </c>
      <c r="I1971" s="35">
        <f>IF(OR(G1971="",G1971="NOT ON LIST"),"",VLOOKUP(G1971,Students!$A:$C,3,FALSE)&amp;"")</f>
        <v/>
      </c>
    </row>
    <row r="1972">
      <c r="A1972" s="31" t="n"/>
      <c r="B1972" s="32" t="n"/>
      <c r="C1972" s="32" t="n"/>
      <c r="D1972" s="33" t="n"/>
      <c r="E1972" s="32" t="n"/>
      <c r="F1972" s="34">
        <f>IF(A1972="","",IFERROR(INT(A1972),"check date"))</f>
        <v/>
      </c>
      <c r="G1972" s="35">
        <f>IF(B1972="","",IFERROR(INDEX(Students!$A:$A,MATCH(TRIM(B1972),Students!$A:$A,0)),"NOT ON LIST"))</f>
        <v/>
      </c>
      <c r="H1972" s="35">
        <f>IF(OR(G1972="",G1972="NOT ON LIST"),"",VLOOKUP(G1972,Students!$A:$C,2,FALSE))</f>
        <v/>
      </c>
      <c r="I1972" s="35">
        <f>IF(OR(G1972="",G1972="NOT ON LIST"),"",VLOOKUP(G1972,Students!$A:$C,3,FALSE)&amp;"")</f>
        <v/>
      </c>
    </row>
    <row r="1973">
      <c r="A1973" s="31" t="n"/>
      <c r="B1973" s="32" t="n"/>
      <c r="C1973" s="32" t="n"/>
      <c r="D1973" s="33" t="n"/>
      <c r="E1973" s="32" t="n"/>
      <c r="F1973" s="34">
        <f>IF(A1973="","",IFERROR(INT(A1973),"check date"))</f>
        <v/>
      </c>
      <c r="G1973" s="35">
        <f>IF(B1973="","",IFERROR(INDEX(Students!$A:$A,MATCH(TRIM(B1973),Students!$A:$A,0)),"NOT ON LIST"))</f>
        <v/>
      </c>
      <c r="H1973" s="35">
        <f>IF(OR(G1973="",G1973="NOT ON LIST"),"",VLOOKUP(G1973,Students!$A:$C,2,FALSE))</f>
        <v/>
      </c>
      <c r="I1973" s="35">
        <f>IF(OR(G1973="",G1973="NOT ON LIST"),"",VLOOKUP(G1973,Students!$A:$C,3,FALSE)&amp;"")</f>
        <v/>
      </c>
    </row>
    <row r="1974">
      <c r="A1974" s="31" t="n"/>
      <c r="B1974" s="32" t="n"/>
      <c r="C1974" s="32" t="n"/>
      <c r="D1974" s="33" t="n"/>
      <c r="E1974" s="32" t="n"/>
      <c r="F1974" s="34">
        <f>IF(A1974="","",IFERROR(INT(A1974),"check date"))</f>
        <v/>
      </c>
      <c r="G1974" s="35">
        <f>IF(B1974="","",IFERROR(INDEX(Students!$A:$A,MATCH(TRIM(B1974),Students!$A:$A,0)),"NOT ON LIST"))</f>
        <v/>
      </c>
      <c r="H1974" s="35">
        <f>IF(OR(G1974="",G1974="NOT ON LIST"),"",VLOOKUP(G1974,Students!$A:$C,2,FALSE))</f>
        <v/>
      </c>
      <c r="I1974" s="35">
        <f>IF(OR(G1974="",G1974="NOT ON LIST"),"",VLOOKUP(G1974,Students!$A:$C,3,FALSE)&amp;"")</f>
        <v/>
      </c>
    </row>
    <row r="1975">
      <c r="A1975" s="31" t="n"/>
      <c r="B1975" s="32" t="n"/>
      <c r="C1975" s="32" t="n"/>
      <c r="D1975" s="33" t="n"/>
      <c r="E1975" s="32" t="n"/>
      <c r="F1975" s="34">
        <f>IF(A1975="","",IFERROR(INT(A1975),"check date"))</f>
        <v/>
      </c>
      <c r="G1975" s="35">
        <f>IF(B1975="","",IFERROR(INDEX(Students!$A:$A,MATCH(TRIM(B1975),Students!$A:$A,0)),"NOT ON LIST"))</f>
        <v/>
      </c>
      <c r="H1975" s="35">
        <f>IF(OR(G1975="",G1975="NOT ON LIST"),"",VLOOKUP(G1975,Students!$A:$C,2,FALSE))</f>
        <v/>
      </c>
      <c r="I1975" s="35">
        <f>IF(OR(G1975="",G1975="NOT ON LIST"),"",VLOOKUP(G1975,Students!$A:$C,3,FALSE)&amp;"")</f>
        <v/>
      </c>
    </row>
    <row r="1976">
      <c r="A1976" s="31" t="n"/>
      <c r="B1976" s="32" t="n"/>
      <c r="C1976" s="32" t="n"/>
      <c r="D1976" s="33" t="n"/>
      <c r="E1976" s="32" t="n"/>
      <c r="F1976" s="34">
        <f>IF(A1976="","",IFERROR(INT(A1976),"check date"))</f>
        <v/>
      </c>
      <c r="G1976" s="35">
        <f>IF(B1976="","",IFERROR(INDEX(Students!$A:$A,MATCH(TRIM(B1976),Students!$A:$A,0)),"NOT ON LIST"))</f>
        <v/>
      </c>
      <c r="H1976" s="35">
        <f>IF(OR(G1976="",G1976="NOT ON LIST"),"",VLOOKUP(G1976,Students!$A:$C,2,FALSE))</f>
        <v/>
      </c>
      <c r="I1976" s="35">
        <f>IF(OR(G1976="",G1976="NOT ON LIST"),"",VLOOKUP(G1976,Students!$A:$C,3,FALSE)&amp;"")</f>
        <v/>
      </c>
    </row>
    <row r="1977">
      <c r="A1977" s="31" t="n"/>
      <c r="B1977" s="32" t="n"/>
      <c r="C1977" s="32" t="n"/>
      <c r="D1977" s="33" t="n"/>
      <c r="E1977" s="32" t="n"/>
      <c r="F1977" s="34">
        <f>IF(A1977="","",IFERROR(INT(A1977),"check date"))</f>
        <v/>
      </c>
      <c r="G1977" s="35">
        <f>IF(B1977="","",IFERROR(INDEX(Students!$A:$A,MATCH(TRIM(B1977),Students!$A:$A,0)),"NOT ON LIST"))</f>
        <v/>
      </c>
      <c r="H1977" s="35">
        <f>IF(OR(G1977="",G1977="NOT ON LIST"),"",VLOOKUP(G1977,Students!$A:$C,2,FALSE))</f>
        <v/>
      </c>
      <c r="I1977" s="35">
        <f>IF(OR(G1977="",G1977="NOT ON LIST"),"",VLOOKUP(G1977,Students!$A:$C,3,FALSE)&amp;"")</f>
        <v/>
      </c>
    </row>
    <row r="1978">
      <c r="A1978" s="31" t="n"/>
      <c r="B1978" s="32" t="n"/>
      <c r="C1978" s="32" t="n"/>
      <c r="D1978" s="33" t="n"/>
      <c r="E1978" s="32" t="n"/>
      <c r="F1978" s="34">
        <f>IF(A1978="","",IFERROR(INT(A1978),"check date"))</f>
        <v/>
      </c>
      <c r="G1978" s="35">
        <f>IF(B1978="","",IFERROR(INDEX(Students!$A:$A,MATCH(TRIM(B1978),Students!$A:$A,0)),"NOT ON LIST"))</f>
        <v/>
      </c>
      <c r="H1978" s="35">
        <f>IF(OR(G1978="",G1978="NOT ON LIST"),"",VLOOKUP(G1978,Students!$A:$C,2,FALSE))</f>
        <v/>
      </c>
      <c r="I1978" s="35">
        <f>IF(OR(G1978="",G1978="NOT ON LIST"),"",VLOOKUP(G1978,Students!$A:$C,3,FALSE)&amp;"")</f>
        <v/>
      </c>
    </row>
    <row r="1979">
      <c r="A1979" s="31" t="n"/>
      <c r="B1979" s="32" t="n"/>
      <c r="C1979" s="32" t="n"/>
      <c r="D1979" s="33" t="n"/>
      <c r="E1979" s="32" t="n"/>
      <c r="F1979" s="34">
        <f>IF(A1979="","",IFERROR(INT(A1979),"check date"))</f>
        <v/>
      </c>
      <c r="G1979" s="35">
        <f>IF(B1979="","",IFERROR(INDEX(Students!$A:$A,MATCH(TRIM(B1979),Students!$A:$A,0)),"NOT ON LIST"))</f>
        <v/>
      </c>
      <c r="H1979" s="35">
        <f>IF(OR(G1979="",G1979="NOT ON LIST"),"",VLOOKUP(G1979,Students!$A:$C,2,FALSE))</f>
        <v/>
      </c>
      <c r="I1979" s="35">
        <f>IF(OR(G1979="",G1979="NOT ON LIST"),"",VLOOKUP(G1979,Students!$A:$C,3,FALSE)&amp;"")</f>
        <v/>
      </c>
    </row>
    <row r="1980">
      <c r="A1980" s="31" t="n"/>
      <c r="B1980" s="32" t="n"/>
      <c r="C1980" s="32" t="n"/>
      <c r="D1980" s="33" t="n"/>
      <c r="E1980" s="32" t="n"/>
      <c r="F1980" s="34">
        <f>IF(A1980="","",IFERROR(INT(A1980),"check date"))</f>
        <v/>
      </c>
      <c r="G1980" s="35">
        <f>IF(B1980="","",IFERROR(INDEX(Students!$A:$A,MATCH(TRIM(B1980),Students!$A:$A,0)),"NOT ON LIST"))</f>
        <v/>
      </c>
      <c r="H1980" s="35">
        <f>IF(OR(G1980="",G1980="NOT ON LIST"),"",VLOOKUP(G1980,Students!$A:$C,2,FALSE))</f>
        <v/>
      </c>
      <c r="I1980" s="35">
        <f>IF(OR(G1980="",G1980="NOT ON LIST"),"",VLOOKUP(G1980,Students!$A:$C,3,FALSE)&amp;"")</f>
        <v/>
      </c>
    </row>
    <row r="1981">
      <c r="A1981" s="31" t="n"/>
      <c r="B1981" s="32" t="n"/>
      <c r="C1981" s="32" t="n"/>
      <c r="D1981" s="33" t="n"/>
      <c r="E1981" s="32" t="n"/>
      <c r="F1981" s="34">
        <f>IF(A1981="","",IFERROR(INT(A1981),"check date"))</f>
        <v/>
      </c>
      <c r="G1981" s="35">
        <f>IF(B1981="","",IFERROR(INDEX(Students!$A:$A,MATCH(TRIM(B1981),Students!$A:$A,0)),"NOT ON LIST"))</f>
        <v/>
      </c>
      <c r="H1981" s="35">
        <f>IF(OR(G1981="",G1981="NOT ON LIST"),"",VLOOKUP(G1981,Students!$A:$C,2,FALSE))</f>
        <v/>
      </c>
      <c r="I1981" s="35">
        <f>IF(OR(G1981="",G1981="NOT ON LIST"),"",VLOOKUP(G1981,Students!$A:$C,3,FALSE)&amp;"")</f>
        <v/>
      </c>
    </row>
    <row r="1982">
      <c r="A1982" s="31" t="n"/>
      <c r="B1982" s="32" t="n"/>
      <c r="C1982" s="32" t="n"/>
      <c r="D1982" s="33" t="n"/>
      <c r="E1982" s="32" t="n"/>
      <c r="F1982" s="34">
        <f>IF(A1982="","",IFERROR(INT(A1982),"check date"))</f>
        <v/>
      </c>
      <c r="G1982" s="35">
        <f>IF(B1982="","",IFERROR(INDEX(Students!$A:$A,MATCH(TRIM(B1982),Students!$A:$A,0)),"NOT ON LIST"))</f>
        <v/>
      </c>
      <c r="H1982" s="35">
        <f>IF(OR(G1982="",G1982="NOT ON LIST"),"",VLOOKUP(G1982,Students!$A:$C,2,FALSE))</f>
        <v/>
      </c>
      <c r="I1982" s="35">
        <f>IF(OR(G1982="",G1982="NOT ON LIST"),"",VLOOKUP(G1982,Students!$A:$C,3,FALSE)&amp;"")</f>
        <v/>
      </c>
    </row>
    <row r="1983">
      <c r="A1983" s="31" t="n"/>
      <c r="B1983" s="32" t="n"/>
      <c r="C1983" s="32" t="n"/>
      <c r="D1983" s="33" t="n"/>
      <c r="E1983" s="32" t="n"/>
      <c r="F1983" s="34">
        <f>IF(A1983="","",IFERROR(INT(A1983),"check date"))</f>
        <v/>
      </c>
      <c r="G1983" s="35">
        <f>IF(B1983="","",IFERROR(INDEX(Students!$A:$A,MATCH(TRIM(B1983),Students!$A:$A,0)),"NOT ON LIST"))</f>
        <v/>
      </c>
      <c r="H1983" s="35">
        <f>IF(OR(G1983="",G1983="NOT ON LIST"),"",VLOOKUP(G1983,Students!$A:$C,2,FALSE))</f>
        <v/>
      </c>
      <c r="I1983" s="35">
        <f>IF(OR(G1983="",G1983="NOT ON LIST"),"",VLOOKUP(G1983,Students!$A:$C,3,FALSE)&amp;"")</f>
        <v/>
      </c>
    </row>
    <row r="1984">
      <c r="A1984" s="31" t="n"/>
      <c r="B1984" s="32" t="n"/>
      <c r="C1984" s="32" t="n"/>
      <c r="D1984" s="33" t="n"/>
      <c r="E1984" s="32" t="n"/>
      <c r="F1984" s="34">
        <f>IF(A1984="","",IFERROR(INT(A1984),"check date"))</f>
        <v/>
      </c>
      <c r="G1984" s="35">
        <f>IF(B1984="","",IFERROR(INDEX(Students!$A:$A,MATCH(TRIM(B1984),Students!$A:$A,0)),"NOT ON LIST"))</f>
        <v/>
      </c>
      <c r="H1984" s="35">
        <f>IF(OR(G1984="",G1984="NOT ON LIST"),"",VLOOKUP(G1984,Students!$A:$C,2,FALSE))</f>
        <v/>
      </c>
      <c r="I1984" s="35">
        <f>IF(OR(G1984="",G1984="NOT ON LIST"),"",VLOOKUP(G1984,Students!$A:$C,3,FALSE)&amp;"")</f>
        <v/>
      </c>
    </row>
    <row r="1985">
      <c r="A1985" s="31" t="n"/>
      <c r="B1985" s="32" t="n"/>
      <c r="C1985" s="32" t="n"/>
      <c r="D1985" s="33" t="n"/>
      <c r="E1985" s="32" t="n"/>
      <c r="F1985" s="34">
        <f>IF(A1985="","",IFERROR(INT(A1985),"check date"))</f>
        <v/>
      </c>
      <c r="G1985" s="35">
        <f>IF(B1985="","",IFERROR(INDEX(Students!$A:$A,MATCH(TRIM(B1985),Students!$A:$A,0)),"NOT ON LIST"))</f>
        <v/>
      </c>
      <c r="H1985" s="35">
        <f>IF(OR(G1985="",G1985="NOT ON LIST"),"",VLOOKUP(G1985,Students!$A:$C,2,FALSE))</f>
        <v/>
      </c>
      <c r="I1985" s="35">
        <f>IF(OR(G1985="",G1985="NOT ON LIST"),"",VLOOKUP(G1985,Students!$A:$C,3,FALSE)&amp;"")</f>
        <v/>
      </c>
    </row>
    <row r="1986">
      <c r="A1986" s="31" t="n"/>
      <c r="B1986" s="32" t="n"/>
      <c r="C1986" s="32" t="n"/>
      <c r="D1986" s="33" t="n"/>
      <c r="E1986" s="32" t="n"/>
      <c r="F1986" s="34">
        <f>IF(A1986="","",IFERROR(INT(A1986),"check date"))</f>
        <v/>
      </c>
      <c r="G1986" s="35">
        <f>IF(B1986="","",IFERROR(INDEX(Students!$A:$A,MATCH(TRIM(B1986),Students!$A:$A,0)),"NOT ON LIST"))</f>
        <v/>
      </c>
      <c r="H1986" s="35">
        <f>IF(OR(G1986="",G1986="NOT ON LIST"),"",VLOOKUP(G1986,Students!$A:$C,2,FALSE))</f>
        <v/>
      </c>
      <c r="I1986" s="35">
        <f>IF(OR(G1986="",G1986="NOT ON LIST"),"",VLOOKUP(G1986,Students!$A:$C,3,FALSE)&amp;"")</f>
        <v/>
      </c>
    </row>
    <row r="1987">
      <c r="A1987" s="31" t="n"/>
      <c r="B1987" s="32" t="n"/>
      <c r="C1987" s="32" t="n"/>
      <c r="D1987" s="33" t="n"/>
      <c r="E1987" s="32" t="n"/>
      <c r="F1987" s="34">
        <f>IF(A1987="","",IFERROR(INT(A1987),"check date"))</f>
        <v/>
      </c>
      <c r="G1987" s="35">
        <f>IF(B1987="","",IFERROR(INDEX(Students!$A:$A,MATCH(TRIM(B1987),Students!$A:$A,0)),"NOT ON LIST"))</f>
        <v/>
      </c>
      <c r="H1987" s="35">
        <f>IF(OR(G1987="",G1987="NOT ON LIST"),"",VLOOKUP(G1987,Students!$A:$C,2,FALSE))</f>
        <v/>
      </c>
      <c r="I1987" s="35">
        <f>IF(OR(G1987="",G1987="NOT ON LIST"),"",VLOOKUP(G1987,Students!$A:$C,3,FALSE)&amp;"")</f>
        <v/>
      </c>
    </row>
    <row r="1988">
      <c r="A1988" s="31" t="n"/>
      <c r="B1988" s="32" t="n"/>
      <c r="C1988" s="32" t="n"/>
      <c r="D1988" s="33" t="n"/>
      <c r="E1988" s="32" t="n"/>
      <c r="F1988" s="34">
        <f>IF(A1988="","",IFERROR(INT(A1988),"check date"))</f>
        <v/>
      </c>
      <c r="G1988" s="35">
        <f>IF(B1988="","",IFERROR(INDEX(Students!$A:$A,MATCH(TRIM(B1988),Students!$A:$A,0)),"NOT ON LIST"))</f>
        <v/>
      </c>
      <c r="H1988" s="35">
        <f>IF(OR(G1988="",G1988="NOT ON LIST"),"",VLOOKUP(G1988,Students!$A:$C,2,FALSE))</f>
        <v/>
      </c>
      <c r="I1988" s="35">
        <f>IF(OR(G1988="",G1988="NOT ON LIST"),"",VLOOKUP(G1988,Students!$A:$C,3,FALSE)&amp;"")</f>
        <v/>
      </c>
    </row>
    <row r="1989">
      <c r="A1989" s="31" t="n"/>
      <c r="B1989" s="32" t="n"/>
      <c r="C1989" s="32" t="n"/>
      <c r="D1989" s="33" t="n"/>
      <c r="E1989" s="32" t="n"/>
      <c r="F1989" s="34">
        <f>IF(A1989="","",IFERROR(INT(A1989),"check date"))</f>
        <v/>
      </c>
      <c r="G1989" s="35">
        <f>IF(B1989="","",IFERROR(INDEX(Students!$A:$A,MATCH(TRIM(B1989),Students!$A:$A,0)),"NOT ON LIST"))</f>
        <v/>
      </c>
      <c r="H1989" s="35">
        <f>IF(OR(G1989="",G1989="NOT ON LIST"),"",VLOOKUP(G1989,Students!$A:$C,2,FALSE))</f>
        <v/>
      </c>
      <c r="I1989" s="35">
        <f>IF(OR(G1989="",G1989="NOT ON LIST"),"",VLOOKUP(G1989,Students!$A:$C,3,FALSE)&amp;"")</f>
        <v/>
      </c>
    </row>
    <row r="1990">
      <c r="A1990" s="31" t="n"/>
      <c r="B1990" s="32" t="n"/>
      <c r="C1990" s="32" t="n"/>
      <c r="D1990" s="33" t="n"/>
      <c r="E1990" s="32" t="n"/>
      <c r="F1990" s="34">
        <f>IF(A1990="","",IFERROR(INT(A1990),"check date"))</f>
        <v/>
      </c>
      <c r="G1990" s="35">
        <f>IF(B1990="","",IFERROR(INDEX(Students!$A:$A,MATCH(TRIM(B1990),Students!$A:$A,0)),"NOT ON LIST"))</f>
        <v/>
      </c>
      <c r="H1990" s="35">
        <f>IF(OR(G1990="",G1990="NOT ON LIST"),"",VLOOKUP(G1990,Students!$A:$C,2,FALSE))</f>
        <v/>
      </c>
      <c r="I1990" s="35">
        <f>IF(OR(G1990="",G1990="NOT ON LIST"),"",VLOOKUP(G1990,Students!$A:$C,3,FALSE)&amp;"")</f>
        <v/>
      </c>
    </row>
    <row r="1991">
      <c r="A1991" s="31" t="n"/>
      <c r="B1991" s="32" t="n"/>
      <c r="C1991" s="32" t="n"/>
      <c r="D1991" s="33" t="n"/>
      <c r="E1991" s="32" t="n"/>
      <c r="F1991" s="34">
        <f>IF(A1991="","",IFERROR(INT(A1991),"check date"))</f>
        <v/>
      </c>
      <c r="G1991" s="35">
        <f>IF(B1991="","",IFERROR(INDEX(Students!$A:$A,MATCH(TRIM(B1991),Students!$A:$A,0)),"NOT ON LIST"))</f>
        <v/>
      </c>
      <c r="H1991" s="35">
        <f>IF(OR(G1991="",G1991="NOT ON LIST"),"",VLOOKUP(G1991,Students!$A:$C,2,FALSE))</f>
        <v/>
      </c>
      <c r="I1991" s="35">
        <f>IF(OR(G1991="",G1991="NOT ON LIST"),"",VLOOKUP(G1991,Students!$A:$C,3,FALSE)&amp;"")</f>
        <v/>
      </c>
    </row>
    <row r="1992">
      <c r="A1992" s="31" t="n"/>
      <c r="B1992" s="32" t="n"/>
      <c r="C1992" s="32" t="n"/>
      <c r="D1992" s="33" t="n"/>
      <c r="E1992" s="32" t="n"/>
      <c r="F1992" s="34">
        <f>IF(A1992="","",IFERROR(INT(A1992),"check date"))</f>
        <v/>
      </c>
      <c r="G1992" s="35">
        <f>IF(B1992="","",IFERROR(INDEX(Students!$A:$A,MATCH(TRIM(B1992),Students!$A:$A,0)),"NOT ON LIST"))</f>
        <v/>
      </c>
      <c r="H1992" s="35">
        <f>IF(OR(G1992="",G1992="NOT ON LIST"),"",VLOOKUP(G1992,Students!$A:$C,2,FALSE))</f>
        <v/>
      </c>
      <c r="I1992" s="35">
        <f>IF(OR(G1992="",G1992="NOT ON LIST"),"",VLOOKUP(G1992,Students!$A:$C,3,FALSE)&amp;"")</f>
        <v/>
      </c>
    </row>
    <row r="1993">
      <c r="A1993" s="31" t="n"/>
      <c r="B1993" s="32" t="n"/>
      <c r="C1993" s="32" t="n"/>
      <c r="D1993" s="33" t="n"/>
      <c r="E1993" s="32" t="n"/>
      <c r="F1993" s="34">
        <f>IF(A1993="","",IFERROR(INT(A1993),"check date"))</f>
        <v/>
      </c>
      <c r="G1993" s="35">
        <f>IF(B1993="","",IFERROR(INDEX(Students!$A:$A,MATCH(TRIM(B1993),Students!$A:$A,0)),"NOT ON LIST"))</f>
        <v/>
      </c>
      <c r="H1993" s="35">
        <f>IF(OR(G1993="",G1993="NOT ON LIST"),"",VLOOKUP(G1993,Students!$A:$C,2,FALSE))</f>
        <v/>
      </c>
      <c r="I1993" s="35">
        <f>IF(OR(G1993="",G1993="NOT ON LIST"),"",VLOOKUP(G1993,Students!$A:$C,3,FALSE)&amp;"")</f>
        <v/>
      </c>
    </row>
    <row r="1994">
      <c r="A1994" s="31" t="n"/>
      <c r="B1994" s="32" t="n"/>
      <c r="C1994" s="32" t="n"/>
      <c r="D1994" s="33" t="n"/>
      <c r="E1994" s="32" t="n"/>
      <c r="F1994" s="34">
        <f>IF(A1994="","",IFERROR(INT(A1994),"check date"))</f>
        <v/>
      </c>
      <c r="G1994" s="35">
        <f>IF(B1994="","",IFERROR(INDEX(Students!$A:$A,MATCH(TRIM(B1994),Students!$A:$A,0)),"NOT ON LIST"))</f>
        <v/>
      </c>
      <c r="H1994" s="35">
        <f>IF(OR(G1994="",G1994="NOT ON LIST"),"",VLOOKUP(G1994,Students!$A:$C,2,FALSE))</f>
        <v/>
      </c>
      <c r="I1994" s="35">
        <f>IF(OR(G1994="",G1994="NOT ON LIST"),"",VLOOKUP(G1994,Students!$A:$C,3,FALSE)&amp;"")</f>
        <v/>
      </c>
    </row>
    <row r="1995">
      <c r="A1995" s="31" t="n"/>
      <c r="B1995" s="32" t="n"/>
      <c r="C1995" s="32" t="n"/>
      <c r="D1995" s="33" t="n"/>
      <c r="E1995" s="32" t="n"/>
      <c r="F1995" s="34">
        <f>IF(A1995="","",IFERROR(INT(A1995),"check date"))</f>
        <v/>
      </c>
      <c r="G1995" s="35">
        <f>IF(B1995="","",IFERROR(INDEX(Students!$A:$A,MATCH(TRIM(B1995),Students!$A:$A,0)),"NOT ON LIST"))</f>
        <v/>
      </c>
      <c r="H1995" s="35">
        <f>IF(OR(G1995="",G1995="NOT ON LIST"),"",VLOOKUP(G1995,Students!$A:$C,2,FALSE))</f>
        <v/>
      </c>
      <c r="I1995" s="35">
        <f>IF(OR(G1995="",G1995="NOT ON LIST"),"",VLOOKUP(G1995,Students!$A:$C,3,FALSE)&amp;"")</f>
        <v/>
      </c>
    </row>
    <row r="1996">
      <c r="A1996" s="31" t="n"/>
      <c r="B1996" s="32" t="n"/>
      <c r="C1996" s="32" t="n"/>
      <c r="D1996" s="33" t="n"/>
      <c r="E1996" s="32" t="n"/>
      <c r="F1996" s="34">
        <f>IF(A1996="","",IFERROR(INT(A1996),"check date"))</f>
        <v/>
      </c>
      <c r="G1996" s="35">
        <f>IF(B1996="","",IFERROR(INDEX(Students!$A:$A,MATCH(TRIM(B1996),Students!$A:$A,0)),"NOT ON LIST"))</f>
        <v/>
      </c>
      <c r="H1996" s="35">
        <f>IF(OR(G1996="",G1996="NOT ON LIST"),"",VLOOKUP(G1996,Students!$A:$C,2,FALSE))</f>
        <v/>
      </c>
      <c r="I1996" s="35">
        <f>IF(OR(G1996="",G1996="NOT ON LIST"),"",VLOOKUP(G1996,Students!$A:$C,3,FALSE)&amp;"")</f>
        <v/>
      </c>
    </row>
    <row r="1997">
      <c r="A1997" s="31" t="n"/>
      <c r="B1997" s="32" t="n"/>
      <c r="C1997" s="32" t="n"/>
      <c r="D1997" s="33" t="n"/>
      <c r="E1997" s="32" t="n"/>
      <c r="F1997" s="34">
        <f>IF(A1997="","",IFERROR(INT(A1997),"check date"))</f>
        <v/>
      </c>
      <c r="G1997" s="35">
        <f>IF(B1997="","",IFERROR(INDEX(Students!$A:$A,MATCH(TRIM(B1997),Students!$A:$A,0)),"NOT ON LIST"))</f>
        <v/>
      </c>
      <c r="H1997" s="35">
        <f>IF(OR(G1997="",G1997="NOT ON LIST"),"",VLOOKUP(G1997,Students!$A:$C,2,FALSE))</f>
        <v/>
      </c>
      <c r="I1997" s="35">
        <f>IF(OR(G1997="",G1997="NOT ON LIST"),"",VLOOKUP(G1997,Students!$A:$C,3,FALSE)&amp;"")</f>
        <v/>
      </c>
    </row>
    <row r="1998">
      <c r="A1998" s="31" t="n"/>
      <c r="B1998" s="32" t="n"/>
      <c r="C1998" s="32" t="n"/>
      <c r="D1998" s="33" t="n"/>
      <c r="E1998" s="32" t="n"/>
      <c r="F1998" s="34">
        <f>IF(A1998="","",IFERROR(INT(A1998),"check date"))</f>
        <v/>
      </c>
      <c r="G1998" s="35">
        <f>IF(B1998="","",IFERROR(INDEX(Students!$A:$A,MATCH(TRIM(B1998),Students!$A:$A,0)),"NOT ON LIST"))</f>
        <v/>
      </c>
      <c r="H1998" s="35">
        <f>IF(OR(G1998="",G1998="NOT ON LIST"),"",VLOOKUP(G1998,Students!$A:$C,2,FALSE))</f>
        <v/>
      </c>
      <c r="I1998" s="35">
        <f>IF(OR(G1998="",G1998="NOT ON LIST"),"",VLOOKUP(G1998,Students!$A:$C,3,FALSE)&amp;"")</f>
        <v/>
      </c>
    </row>
    <row r="1999">
      <c r="A1999" s="31" t="n"/>
      <c r="B1999" s="32" t="n"/>
      <c r="C1999" s="32" t="n"/>
      <c r="D1999" s="33" t="n"/>
      <c r="E1999" s="32" t="n"/>
      <c r="F1999" s="34">
        <f>IF(A1999="","",IFERROR(INT(A1999),"check date"))</f>
        <v/>
      </c>
      <c r="G1999" s="35">
        <f>IF(B1999="","",IFERROR(INDEX(Students!$A:$A,MATCH(TRIM(B1999),Students!$A:$A,0)),"NOT ON LIST"))</f>
        <v/>
      </c>
      <c r="H1999" s="35">
        <f>IF(OR(G1999="",G1999="NOT ON LIST"),"",VLOOKUP(G1999,Students!$A:$C,2,FALSE))</f>
        <v/>
      </c>
      <c r="I1999" s="35">
        <f>IF(OR(G1999="",G1999="NOT ON LIST"),"",VLOOKUP(G1999,Students!$A:$C,3,FALSE)&amp;"")</f>
        <v/>
      </c>
    </row>
    <row r="2000">
      <c r="A2000" s="31" t="n"/>
      <c r="B2000" s="32" t="n"/>
      <c r="C2000" s="32" t="n"/>
      <c r="D2000" s="33" t="n"/>
      <c r="E2000" s="32" t="n"/>
      <c r="F2000" s="34">
        <f>IF(A2000="","",IFERROR(INT(A2000),"check date"))</f>
        <v/>
      </c>
      <c r="G2000" s="35">
        <f>IF(B2000="","",IFERROR(INDEX(Students!$A:$A,MATCH(TRIM(B2000),Students!$A:$A,0)),"NOT ON LIST"))</f>
        <v/>
      </c>
      <c r="H2000" s="35">
        <f>IF(OR(G2000="",G2000="NOT ON LIST"),"",VLOOKUP(G2000,Students!$A:$C,2,FALSE))</f>
        <v/>
      </c>
      <c r="I2000" s="35">
        <f>IF(OR(G2000="",G2000="NOT ON LIST"),"",VLOOKUP(G2000,Students!$A:$C,3,FALSE)&amp;"")</f>
        <v/>
      </c>
    </row>
    <row r="2001">
      <c r="A2001" s="31" t="n"/>
      <c r="B2001" s="32" t="n"/>
      <c r="C2001" s="32" t="n"/>
      <c r="D2001" s="33" t="n"/>
      <c r="E2001" s="32" t="n"/>
      <c r="F2001" s="34">
        <f>IF(A2001="","",IFERROR(INT(A2001),"check date"))</f>
        <v/>
      </c>
      <c r="G2001" s="35">
        <f>IF(B2001="","",IFERROR(INDEX(Students!$A:$A,MATCH(TRIM(B2001),Students!$A:$A,0)),"NOT ON LIST"))</f>
        <v/>
      </c>
      <c r="H2001" s="35">
        <f>IF(OR(G2001="",G2001="NOT ON LIST"),"",VLOOKUP(G2001,Students!$A:$C,2,FALSE))</f>
        <v/>
      </c>
      <c r="I2001" s="35">
        <f>IF(OR(G2001="",G2001="NOT ON LIST"),"",VLOOKUP(G2001,Students!$A:$C,3,FALSE)&amp;"")</f>
        <v/>
      </c>
    </row>
    <row r="2002">
      <c r="A2002" s="31" t="n"/>
      <c r="B2002" s="32" t="n"/>
      <c r="C2002" s="32" t="n"/>
      <c r="D2002" s="33" t="n"/>
      <c r="E2002" s="32" t="n"/>
      <c r="F2002" s="34">
        <f>IF(A2002="","",IFERROR(INT(A2002),"check date"))</f>
        <v/>
      </c>
      <c r="G2002" s="35">
        <f>IF(B2002="","",IFERROR(INDEX(Students!$A:$A,MATCH(TRIM(B2002),Students!$A:$A,0)),"NOT ON LIST"))</f>
        <v/>
      </c>
      <c r="H2002" s="35">
        <f>IF(OR(G2002="",G2002="NOT ON LIST"),"",VLOOKUP(G2002,Students!$A:$C,2,FALSE))</f>
        <v/>
      </c>
      <c r="I2002" s="35">
        <f>IF(OR(G2002="",G2002="NOT ON LIST"),"",VLOOKUP(G2002,Students!$A:$C,3,FALSE)&amp;"")</f>
        <v/>
      </c>
    </row>
    <row r="2003">
      <c r="A2003" s="31" t="n"/>
      <c r="B2003" s="32" t="n"/>
      <c r="C2003" s="32" t="n"/>
      <c r="D2003" s="33" t="n"/>
      <c r="E2003" s="32" t="n"/>
      <c r="F2003" s="34">
        <f>IF(A2003="","",IFERROR(INT(A2003),"check date"))</f>
        <v/>
      </c>
      <c r="G2003" s="35">
        <f>IF(B2003="","",IFERROR(INDEX(Students!$A:$A,MATCH(TRIM(B2003),Students!$A:$A,0)),"NOT ON LIST"))</f>
        <v/>
      </c>
      <c r="H2003" s="35">
        <f>IF(OR(G2003="",G2003="NOT ON LIST"),"",VLOOKUP(G2003,Students!$A:$C,2,FALSE))</f>
        <v/>
      </c>
      <c r="I2003" s="35">
        <f>IF(OR(G2003="",G2003="NOT ON LIST"),"",VLOOKUP(G2003,Students!$A:$C,3,FALSE)&amp;"")</f>
        <v/>
      </c>
    </row>
    <row r="2004">
      <c r="A2004" s="31" t="n"/>
      <c r="B2004" s="32" t="n"/>
      <c r="C2004" s="32" t="n"/>
      <c r="D2004" s="33" t="n"/>
      <c r="E2004" s="32" t="n"/>
      <c r="F2004" s="34">
        <f>IF(A2004="","",IFERROR(INT(A2004),"check date"))</f>
        <v/>
      </c>
      <c r="G2004" s="35">
        <f>IF(B2004="","",IFERROR(INDEX(Students!$A:$A,MATCH(TRIM(B2004),Students!$A:$A,0)),"NOT ON LIST"))</f>
        <v/>
      </c>
      <c r="H2004" s="35">
        <f>IF(OR(G2004="",G2004="NOT ON LIST"),"",VLOOKUP(G2004,Students!$A:$C,2,FALSE))</f>
        <v/>
      </c>
      <c r="I2004" s="35">
        <f>IF(OR(G2004="",G2004="NOT ON LIST"),"",VLOOKUP(G2004,Students!$A:$C,3,FALSE)&amp;"")</f>
        <v/>
      </c>
    </row>
    <row r="2005">
      <c r="A2005" s="31" t="n"/>
      <c r="B2005" s="32" t="n"/>
      <c r="C2005" s="32" t="n"/>
      <c r="D2005" s="33" t="n"/>
      <c r="E2005" s="32" t="n"/>
      <c r="F2005" s="34">
        <f>IF(A2005="","",IFERROR(INT(A2005),"check date"))</f>
        <v/>
      </c>
      <c r="G2005" s="35">
        <f>IF(B2005="","",IFERROR(INDEX(Students!$A:$A,MATCH(TRIM(B2005),Students!$A:$A,0)),"NOT ON LIST"))</f>
        <v/>
      </c>
      <c r="H2005" s="35">
        <f>IF(OR(G2005="",G2005="NOT ON LIST"),"",VLOOKUP(G2005,Students!$A:$C,2,FALSE))</f>
        <v/>
      </c>
      <c r="I2005" s="35">
        <f>IF(OR(G2005="",G2005="NOT ON LIST"),"",VLOOKUP(G2005,Students!$A:$C,3,FALSE)&amp;"")</f>
        <v/>
      </c>
    </row>
    <row r="2006">
      <c r="A2006" s="31" t="n"/>
      <c r="B2006" s="32" t="n"/>
      <c r="C2006" s="32" t="n"/>
      <c r="D2006" s="33" t="n"/>
      <c r="E2006" s="32" t="n"/>
      <c r="F2006" s="34">
        <f>IF(A2006="","",IFERROR(INT(A2006),"check date"))</f>
        <v/>
      </c>
      <c r="G2006" s="35">
        <f>IF(B2006="","",IFERROR(INDEX(Students!$A:$A,MATCH(TRIM(B2006),Students!$A:$A,0)),"NOT ON LIST"))</f>
        <v/>
      </c>
      <c r="H2006" s="35">
        <f>IF(OR(G2006="",G2006="NOT ON LIST"),"",VLOOKUP(G2006,Students!$A:$C,2,FALSE))</f>
        <v/>
      </c>
      <c r="I2006" s="35">
        <f>IF(OR(G2006="",G2006="NOT ON LIST"),"",VLOOKUP(G2006,Students!$A:$C,3,FALSE)&amp;"")</f>
        <v/>
      </c>
    </row>
    <row r="2007">
      <c r="A2007" s="31" t="n"/>
      <c r="B2007" s="32" t="n"/>
      <c r="C2007" s="32" t="n"/>
      <c r="D2007" s="33" t="n"/>
      <c r="E2007" s="32" t="n"/>
      <c r="F2007" s="34">
        <f>IF(A2007="","",IFERROR(INT(A2007),"check date"))</f>
        <v/>
      </c>
      <c r="G2007" s="35">
        <f>IF(B2007="","",IFERROR(INDEX(Students!$A:$A,MATCH(TRIM(B2007),Students!$A:$A,0)),"NOT ON LIST"))</f>
        <v/>
      </c>
      <c r="H2007" s="35">
        <f>IF(OR(G2007="",G2007="NOT ON LIST"),"",VLOOKUP(G2007,Students!$A:$C,2,FALSE))</f>
        <v/>
      </c>
      <c r="I2007" s="35">
        <f>IF(OR(G2007="",G2007="NOT ON LIST"),"",VLOOKUP(G2007,Students!$A:$C,3,FALSE)&amp;"")</f>
        <v/>
      </c>
    </row>
    <row r="2008">
      <c r="A2008" s="31" t="n"/>
      <c r="B2008" s="32" t="n"/>
      <c r="C2008" s="32" t="n"/>
      <c r="D2008" s="33" t="n"/>
      <c r="E2008" s="32" t="n"/>
      <c r="F2008" s="34">
        <f>IF(A2008="","",IFERROR(INT(A2008),"check date"))</f>
        <v/>
      </c>
      <c r="G2008" s="35">
        <f>IF(B2008="","",IFERROR(INDEX(Students!$A:$A,MATCH(TRIM(B2008),Students!$A:$A,0)),"NOT ON LIST"))</f>
        <v/>
      </c>
      <c r="H2008" s="35">
        <f>IF(OR(G2008="",G2008="NOT ON LIST"),"",VLOOKUP(G2008,Students!$A:$C,2,FALSE))</f>
        <v/>
      </c>
      <c r="I2008" s="35">
        <f>IF(OR(G2008="",G2008="NOT ON LIST"),"",VLOOKUP(G2008,Students!$A:$C,3,FALSE)&amp;"")</f>
        <v/>
      </c>
    </row>
    <row r="2009">
      <c r="A2009" s="31" t="n"/>
      <c r="B2009" s="32" t="n"/>
      <c r="C2009" s="32" t="n"/>
      <c r="D2009" s="33" t="n"/>
      <c r="E2009" s="32" t="n"/>
      <c r="F2009" s="34">
        <f>IF(A2009="","",IFERROR(INT(A2009),"check date"))</f>
        <v/>
      </c>
      <c r="G2009" s="35">
        <f>IF(B2009="","",IFERROR(INDEX(Students!$A:$A,MATCH(TRIM(B2009),Students!$A:$A,0)),"NOT ON LIST"))</f>
        <v/>
      </c>
      <c r="H2009" s="35">
        <f>IF(OR(G2009="",G2009="NOT ON LIST"),"",VLOOKUP(G2009,Students!$A:$C,2,FALSE))</f>
        <v/>
      </c>
      <c r="I2009" s="35">
        <f>IF(OR(G2009="",G2009="NOT ON LIST"),"",VLOOKUP(G2009,Students!$A:$C,3,FALSE)&amp;"")</f>
        <v/>
      </c>
    </row>
    <row r="2010">
      <c r="A2010" s="31" t="n"/>
      <c r="B2010" s="32" t="n"/>
      <c r="C2010" s="32" t="n"/>
      <c r="D2010" s="33" t="n"/>
      <c r="E2010" s="32" t="n"/>
      <c r="F2010" s="34">
        <f>IF(A2010="","",IFERROR(INT(A2010),"check date"))</f>
        <v/>
      </c>
      <c r="G2010" s="35">
        <f>IF(B2010="","",IFERROR(INDEX(Students!$A:$A,MATCH(TRIM(B2010),Students!$A:$A,0)),"NOT ON LIST"))</f>
        <v/>
      </c>
      <c r="H2010" s="35">
        <f>IF(OR(G2010="",G2010="NOT ON LIST"),"",VLOOKUP(G2010,Students!$A:$C,2,FALSE))</f>
        <v/>
      </c>
      <c r="I2010" s="35">
        <f>IF(OR(G2010="",G2010="NOT ON LIST"),"",VLOOKUP(G2010,Students!$A:$C,3,FALSE)&amp;"")</f>
        <v/>
      </c>
    </row>
    <row r="2011">
      <c r="A2011" s="31" t="n"/>
      <c r="B2011" s="32" t="n"/>
      <c r="C2011" s="32" t="n"/>
      <c r="D2011" s="33" t="n"/>
      <c r="E2011" s="32" t="n"/>
      <c r="F2011" s="34">
        <f>IF(A2011="","",IFERROR(INT(A2011),"check date"))</f>
        <v/>
      </c>
      <c r="G2011" s="35">
        <f>IF(B2011="","",IFERROR(INDEX(Students!$A:$A,MATCH(TRIM(B2011),Students!$A:$A,0)),"NOT ON LIST"))</f>
        <v/>
      </c>
      <c r="H2011" s="35">
        <f>IF(OR(G2011="",G2011="NOT ON LIST"),"",VLOOKUP(G2011,Students!$A:$C,2,FALSE))</f>
        <v/>
      </c>
      <c r="I2011" s="35">
        <f>IF(OR(G2011="",G2011="NOT ON LIST"),"",VLOOKUP(G2011,Students!$A:$C,3,FALSE)&amp;"")</f>
        <v/>
      </c>
    </row>
    <row r="2012">
      <c r="A2012" s="31" t="n"/>
      <c r="B2012" s="32" t="n"/>
      <c r="C2012" s="32" t="n"/>
      <c r="D2012" s="33" t="n"/>
      <c r="E2012" s="32" t="n"/>
      <c r="F2012" s="34">
        <f>IF(A2012="","",IFERROR(INT(A2012),"check date"))</f>
        <v/>
      </c>
      <c r="G2012" s="35">
        <f>IF(B2012="","",IFERROR(INDEX(Students!$A:$A,MATCH(TRIM(B2012),Students!$A:$A,0)),"NOT ON LIST"))</f>
        <v/>
      </c>
      <c r="H2012" s="35">
        <f>IF(OR(G2012="",G2012="NOT ON LIST"),"",VLOOKUP(G2012,Students!$A:$C,2,FALSE))</f>
        <v/>
      </c>
      <c r="I2012" s="35">
        <f>IF(OR(G2012="",G2012="NOT ON LIST"),"",VLOOKUP(G2012,Students!$A:$C,3,FALSE)&amp;"")</f>
        <v/>
      </c>
    </row>
    <row r="2013">
      <c r="A2013" s="31" t="n"/>
      <c r="B2013" s="32" t="n"/>
      <c r="C2013" s="32" t="n"/>
      <c r="D2013" s="33" t="n"/>
      <c r="E2013" s="32" t="n"/>
      <c r="F2013" s="34">
        <f>IF(A2013="","",IFERROR(INT(A2013),"check date"))</f>
        <v/>
      </c>
      <c r="G2013" s="35">
        <f>IF(B2013="","",IFERROR(INDEX(Students!$A:$A,MATCH(TRIM(B2013),Students!$A:$A,0)),"NOT ON LIST"))</f>
        <v/>
      </c>
      <c r="H2013" s="35">
        <f>IF(OR(G2013="",G2013="NOT ON LIST"),"",VLOOKUP(G2013,Students!$A:$C,2,FALSE))</f>
        <v/>
      </c>
      <c r="I2013" s="35">
        <f>IF(OR(G2013="",G2013="NOT ON LIST"),"",VLOOKUP(G2013,Students!$A:$C,3,FALSE)&amp;"")</f>
        <v/>
      </c>
    </row>
    <row r="2014">
      <c r="A2014" s="31" t="n"/>
      <c r="B2014" s="32" t="n"/>
      <c r="C2014" s="32" t="n"/>
      <c r="D2014" s="33" t="n"/>
      <c r="E2014" s="32" t="n"/>
      <c r="F2014" s="34">
        <f>IF(A2014="","",IFERROR(INT(A2014),"check date"))</f>
        <v/>
      </c>
      <c r="G2014" s="35">
        <f>IF(B2014="","",IFERROR(INDEX(Students!$A:$A,MATCH(TRIM(B2014),Students!$A:$A,0)),"NOT ON LIST"))</f>
        <v/>
      </c>
      <c r="H2014" s="35">
        <f>IF(OR(G2014="",G2014="NOT ON LIST"),"",VLOOKUP(G2014,Students!$A:$C,2,FALSE))</f>
        <v/>
      </c>
      <c r="I2014" s="35">
        <f>IF(OR(G2014="",G2014="NOT ON LIST"),"",VLOOKUP(G2014,Students!$A:$C,3,FALSE)&amp;"")</f>
        <v/>
      </c>
    </row>
    <row r="2015">
      <c r="A2015" s="31" t="n"/>
      <c r="B2015" s="32" t="n"/>
      <c r="C2015" s="32" t="n"/>
      <c r="D2015" s="33" t="n"/>
      <c r="E2015" s="32" t="n"/>
      <c r="F2015" s="34">
        <f>IF(A2015="","",IFERROR(INT(A2015),"check date"))</f>
        <v/>
      </c>
      <c r="G2015" s="35">
        <f>IF(B2015="","",IFERROR(INDEX(Students!$A:$A,MATCH(TRIM(B2015),Students!$A:$A,0)),"NOT ON LIST"))</f>
        <v/>
      </c>
      <c r="H2015" s="35">
        <f>IF(OR(G2015="",G2015="NOT ON LIST"),"",VLOOKUP(G2015,Students!$A:$C,2,FALSE))</f>
        <v/>
      </c>
      <c r="I2015" s="35">
        <f>IF(OR(G2015="",G2015="NOT ON LIST"),"",VLOOKUP(G2015,Students!$A:$C,3,FALSE)&amp;"")</f>
        <v/>
      </c>
    </row>
    <row r="2016">
      <c r="A2016" s="31" t="n"/>
      <c r="B2016" s="32" t="n"/>
      <c r="C2016" s="32" t="n"/>
      <c r="D2016" s="33" t="n"/>
      <c r="E2016" s="32" t="n"/>
      <c r="F2016" s="34">
        <f>IF(A2016="","",IFERROR(INT(A2016),"check date"))</f>
        <v/>
      </c>
      <c r="G2016" s="35">
        <f>IF(B2016="","",IFERROR(INDEX(Students!$A:$A,MATCH(TRIM(B2016),Students!$A:$A,0)),"NOT ON LIST"))</f>
        <v/>
      </c>
      <c r="H2016" s="35">
        <f>IF(OR(G2016="",G2016="NOT ON LIST"),"",VLOOKUP(G2016,Students!$A:$C,2,FALSE))</f>
        <v/>
      </c>
      <c r="I2016" s="35">
        <f>IF(OR(G2016="",G2016="NOT ON LIST"),"",VLOOKUP(G2016,Students!$A:$C,3,FALSE)&amp;"")</f>
        <v/>
      </c>
    </row>
    <row r="2017">
      <c r="A2017" s="31" t="n"/>
      <c r="B2017" s="32" t="n"/>
      <c r="C2017" s="32" t="n"/>
      <c r="D2017" s="33" t="n"/>
      <c r="E2017" s="32" t="n"/>
      <c r="F2017" s="34">
        <f>IF(A2017="","",IFERROR(INT(A2017),"check date"))</f>
        <v/>
      </c>
      <c r="G2017" s="35">
        <f>IF(B2017="","",IFERROR(INDEX(Students!$A:$A,MATCH(TRIM(B2017),Students!$A:$A,0)),"NOT ON LIST"))</f>
        <v/>
      </c>
      <c r="H2017" s="35">
        <f>IF(OR(G2017="",G2017="NOT ON LIST"),"",VLOOKUP(G2017,Students!$A:$C,2,FALSE))</f>
        <v/>
      </c>
      <c r="I2017" s="35">
        <f>IF(OR(G2017="",G2017="NOT ON LIST"),"",VLOOKUP(G2017,Students!$A:$C,3,FALSE)&amp;"")</f>
        <v/>
      </c>
    </row>
    <row r="2018">
      <c r="A2018" s="31" t="n"/>
      <c r="B2018" s="32" t="n"/>
      <c r="C2018" s="32" t="n"/>
      <c r="D2018" s="33" t="n"/>
      <c r="E2018" s="32" t="n"/>
      <c r="F2018" s="34">
        <f>IF(A2018="","",IFERROR(INT(A2018),"check date"))</f>
        <v/>
      </c>
      <c r="G2018" s="35">
        <f>IF(B2018="","",IFERROR(INDEX(Students!$A:$A,MATCH(TRIM(B2018),Students!$A:$A,0)),"NOT ON LIST"))</f>
        <v/>
      </c>
      <c r="H2018" s="35">
        <f>IF(OR(G2018="",G2018="NOT ON LIST"),"",VLOOKUP(G2018,Students!$A:$C,2,FALSE))</f>
        <v/>
      </c>
      <c r="I2018" s="35">
        <f>IF(OR(G2018="",G2018="NOT ON LIST"),"",VLOOKUP(G2018,Students!$A:$C,3,FALSE)&amp;"")</f>
        <v/>
      </c>
    </row>
    <row r="2019">
      <c r="A2019" s="31" t="n"/>
      <c r="B2019" s="32" t="n"/>
      <c r="C2019" s="32" t="n"/>
      <c r="D2019" s="33" t="n"/>
      <c r="E2019" s="32" t="n"/>
      <c r="F2019" s="34">
        <f>IF(A2019="","",IFERROR(INT(A2019),"check date"))</f>
        <v/>
      </c>
      <c r="G2019" s="35">
        <f>IF(B2019="","",IFERROR(INDEX(Students!$A:$A,MATCH(TRIM(B2019),Students!$A:$A,0)),"NOT ON LIST"))</f>
        <v/>
      </c>
      <c r="H2019" s="35">
        <f>IF(OR(G2019="",G2019="NOT ON LIST"),"",VLOOKUP(G2019,Students!$A:$C,2,FALSE))</f>
        <v/>
      </c>
      <c r="I2019" s="35">
        <f>IF(OR(G2019="",G2019="NOT ON LIST"),"",VLOOKUP(G2019,Students!$A:$C,3,FALSE)&amp;"")</f>
        <v/>
      </c>
    </row>
    <row r="2020">
      <c r="A2020" s="31" t="n"/>
      <c r="B2020" s="32" t="n"/>
      <c r="C2020" s="32" t="n"/>
      <c r="D2020" s="33" t="n"/>
      <c r="E2020" s="32" t="n"/>
      <c r="F2020" s="34">
        <f>IF(A2020="","",IFERROR(INT(A2020),"check date"))</f>
        <v/>
      </c>
      <c r="G2020" s="35">
        <f>IF(B2020="","",IFERROR(INDEX(Students!$A:$A,MATCH(TRIM(B2020),Students!$A:$A,0)),"NOT ON LIST"))</f>
        <v/>
      </c>
      <c r="H2020" s="35">
        <f>IF(OR(G2020="",G2020="NOT ON LIST"),"",VLOOKUP(G2020,Students!$A:$C,2,FALSE))</f>
        <v/>
      </c>
      <c r="I2020" s="35">
        <f>IF(OR(G2020="",G2020="NOT ON LIST"),"",VLOOKUP(G2020,Students!$A:$C,3,FALSE)&amp;"")</f>
        <v/>
      </c>
    </row>
    <row r="2021">
      <c r="A2021" s="31" t="n"/>
      <c r="B2021" s="32" t="n"/>
      <c r="C2021" s="32" t="n"/>
      <c r="D2021" s="33" t="n"/>
      <c r="E2021" s="32" t="n"/>
      <c r="F2021" s="34">
        <f>IF(A2021="","",IFERROR(INT(A2021),"check date"))</f>
        <v/>
      </c>
      <c r="G2021" s="35">
        <f>IF(B2021="","",IFERROR(INDEX(Students!$A:$A,MATCH(TRIM(B2021),Students!$A:$A,0)),"NOT ON LIST"))</f>
        <v/>
      </c>
      <c r="H2021" s="35">
        <f>IF(OR(G2021="",G2021="NOT ON LIST"),"",VLOOKUP(G2021,Students!$A:$C,2,FALSE))</f>
        <v/>
      </c>
      <c r="I2021" s="35">
        <f>IF(OR(G2021="",G2021="NOT ON LIST"),"",VLOOKUP(G2021,Students!$A:$C,3,FALSE)&amp;"")</f>
        <v/>
      </c>
    </row>
    <row r="2022">
      <c r="A2022" s="31" t="n"/>
      <c r="B2022" s="32" t="n"/>
      <c r="C2022" s="32" t="n"/>
      <c r="D2022" s="33" t="n"/>
      <c r="E2022" s="32" t="n"/>
      <c r="F2022" s="34">
        <f>IF(A2022="","",IFERROR(INT(A2022),"check date"))</f>
        <v/>
      </c>
      <c r="G2022" s="35">
        <f>IF(B2022="","",IFERROR(INDEX(Students!$A:$A,MATCH(TRIM(B2022),Students!$A:$A,0)),"NOT ON LIST"))</f>
        <v/>
      </c>
      <c r="H2022" s="35">
        <f>IF(OR(G2022="",G2022="NOT ON LIST"),"",VLOOKUP(G2022,Students!$A:$C,2,FALSE))</f>
        <v/>
      </c>
      <c r="I2022" s="35">
        <f>IF(OR(G2022="",G2022="NOT ON LIST"),"",VLOOKUP(G2022,Students!$A:$C,3,FALSE)&amp;"")</f>
        <v/>
      </c>
    </row>
    <row r="2023">
      <c r="A2023" s="31" t="n"/>
      <c r="B2023" s="32" t="n"/>
      <c r="C2023" s="32" t="n"/>
      <c r="D2023" s="33" t="n"/>
      <c r="E2023" s="32" t="n"/>
      <c r="F2023" s="34">
        <f>IF(A2023="","",IFERROR(INT(A2023),"check date"))</f>
        <v/>
      </c>
      <c r="G2023" s="35">
        <f>IF(B2023="","",IFERROR(INDEX(Students!$A:$A,MATCH(TRIM(B2023),Students!$A:$A,0)),"NOT ON LIST"))</f>
        <v/>
      </c>
      <c r="H2023" s="35">
        <f>IF(OR(G2023="",G2023="NOT ON LIST"),"",VLOOKUP(G2023,Students!$A:$C,2,FALSE))</f>
        <v/>
      </c>
      <c r="I2023" s="35">
        <f>IF(OR(G2023="",G2023="NOT ON LIST"),"",VLOOKUP(G2023,Students!$A:$C,3,FALSE)&amp;"")</f>
        <v/>
      </c>
    </row>
    <row r="2024">
      <c r="A2024" s="31" t="n"/>
      <c r="B2024" s="32" t="n"/>
      <c r="C2024" s="32" t="n"/>
      <c r="D2024" s="33" t="n"/>
      <c r="E2024" s="32" t="n"/>
      <c r="F2024" s="34">
        <f>IF(A2024="","",IFERROR(INT(A2024),"check date"))</f>
        <v/>
      </c>
      <c r="G2024" s="35">
        <f>IF(B2024="","",IFERROR(INDEX(Students!$A:$A,MATCH(TRIM(B2024),Students!$A:$A,0)),"NOT ON LIST"))</f>
        <v/>
      </c>
      <c r="H2024" s="35">
        <f>IF(OR(G2024="",G2024="NOT ON LIST"),"",VLOOKUP(G2024,Students!$A:$C,2,FALSE))</f>
        <v/>
      </c>
      <c r="I2024" s="35">
        <f>IF(OR(G2024="",G2024="NOT ON LIST"),"",VLOOKUP(G2024,Students!$A:$C,3,FALSE)&amp;"")</f>
        <v/>
      </c>
    </row>
    <row r="2025">
      <c r="A2025" s="31" t="n"/>
      <c r="B2025" s="32" t="n"/>
      <c r="C2025" s="32" t="n"/>
      <c r="D2025" s="33" t="n"/>
      <c r="E2025" s="32" t="n"/>
      <c r="F2025" s="34">
        <f>IF(A2025="","",IFERROR(INT(A2025),"check date"))</f>
        <v/>
      </c>
      <c r="G2025" s="35">
        <f>IF(B2025="","",IFERROR(INDEX(Students!$A:$A,MATCH(TRIM(B2025),Students!$A:$A,0)),"NOT ON LIST"))</f>
        <v/>
      </c>
      <c r="H2025" s="35">
        <f>IF(OR(G2025="",G2025="NOT ON LIST"),"",VLOOKUP(G2025,Students!$A:$C,2,FALSE))</f>
        <v/>
      </c>
      <c r="I2025" s="35">
        <f>IF(OR(G2025="",G2025="NOT ON LIST"),"",VLOOKUP(G2025,Students!$A:$C,3,FALSE)&amp;"")</f>
        <v/>
      </c>
    </row>
    <row r="2026">
      <c r="A2026" s="31" t="n"/>
      <c r="B2026" s="32" t="n"/>
      <c r="C2026" s="32" t="n"/>
      <c r="D2026" s="33" t="n"/>
      <c r="E2026" s="32" t="n"/>
      <c r="F2026" s="34">
        <f>IF(A2026="","",IFERROR(INT(A2026),"check date"))</f>
        <v/>
      </c>
      <c r="G2026" s="35">
        <f>IF(B2026="","",IFERROR(INDEX(Students!$A:$A,MATCH(TRIM(B2026),Students!$A:$A,0)),"NOT ON LIST"))</f>
        <v/>
      </c>
      <c r="H2026" s="35">
        <f>IF(OR(G2026="",G2026="NOT ON LIST"),"",VLOOKUP(G2026,Students!$A:$C,2,FALSE))</f>
        <v/>
      </c>
      <c r="I2026" s="35">
        <f>IF(OR(G2026="",G2026="NOT ON LIST"),"",VLOOKUP(G2026,Students!$A:$C,3,FALSE)&amp;"")</f>
        <v/>
      </c>
    </row>
    <row r="2027">
      <c r="A2027" s="31" t="n"/>
      <c r="B2027" s="32" t="n"/>
      <c r="C2027" s="32" t="n"/>
      <c r="D2027" s="33" t="n"/>
      <c r="E2027" s="32" t="n"/>
      <c r="F2027" s="34">
        <f>IF(A2027="","",IFERROR(INT(A2027),"check date"))</f>
        <v/>
      </c>
      <c r="G2027" s="35">
        <f>IF(B2027="","",IFERROR(INDEX(Students!$A:$A,MATCH(TRIM(B2027),Students!$A:$A,0)),"NOT ON LIST"))</f>
        <v/>
      </c>
      <c r="H2027" s="35">
        <f>IF(OR(G2027="",G2027="NOT ON LIST"),"",VLOOKUP(G2027,Students!$A:$C,2,FALSE))</f>
        <v/>
      </c>
      <c r="I2027" s="35">
        <f>IF(OR(G2027="",G2027="NOT ON LIST"),"",VLOOKUP(G2027,Students!$A:$C,3,FALSE)&amp;"")</f>
        <v/>
      </c>
    </row>
    <row r="2028">
      <c r="A2028" s="31" t="n"/>
      <c r="B2028" s="32" t="n"/>
      <c r="C2028" s="32" t="n"/>
      <c r="D2028" s="33" t="n"/>
      <c r="E2028" s="32" t="n"/>
      <c r="F2028" s="34">
        <f>IF(A2028="","",IFERROR(INT(A2028),"check date"))</f>
        <v/>
      </c>
      <c r="G2028" s="35">
        <f>IF(B2028="","",IFERROR(INDEX(Students!$A:$A,MATCH(TRIM(B2028),Students!$A:$A,0)),"NOT ON LIST"))</f>
        <v/>
      </c>
      <c r="H2028" s="35">
        <f>IF(OR(G2028="",G2028="NOT ON LIST"),"",VLOOKUP(G2028,Students!$A:$C,2,FALSE))</f>
        <v/>
      </c>
      <c r="I2028" s="35">
        <f>IF(OR(G2028="",G2028="NOT ON LIST"),"",VLOOKUP(G2028,Students!$A:$C,3,FALSE)&amp;"")</f>
        <v/>
      </c>
    </row>
    <row r="2029">
      <c r="A2029" s="31" t="n"/>
      <c r="B2029" s="32" t="n"/>
      <c r="C2029" s="32" t="n"/>
      <c r="D2029" s="33" t="n"/>
      <c r="E2029" s="32" t="n"/>
      <c r="F2029" s="34">
        <f>IF(A2029="","",IFERROR(INT(A2029),"check date"))</f>
        <v/>
      </c>
      <c r="G2029" s="35">
        <f>IF(B2029="","",IFERROR(INDEX(Students!$A:$A,MATCH(TRIM(B2029),Students!$A:$A,0)),"NOT ON LIST"))</f>
        <v/>
      </c>
      <c r="H2029" s="35">
        <f>IF(OR(G2029="",G2029="NOT ON LIST"),"",VLOOKUP(G2029,Students!$A:$C,2,FALSE))</f>
        <v/>
      </c>
      <c r="I2029" s="35">
        <f>IF(OR(G2029="",G2029="NOT ON LIST"),"",VLOOKUP(G2029,Students!$A:$C,3,FALSE)&amp;"")</f>
        <v/>
      </c>
    </row>
    <row r="2030">
      <c r="A2030" s="31" t="n"/>
      <c r="B2030" s="32" t="n"/>
      <c r="C2030" s="32" t="n"/>
      <c r="D2030" s="33" t="n"/>
      <c r="E2030" s="32" t="n"/>
      <c r="F2030" s="34">
        <f>IF(A2030="","",IFERROR(INT(A2030),"check date"))</f>
        <v/>
      </c>
      <c r="G2030" s="35">
        <f>IF(B2030="","",IFERROR(INDEX(Students!$A:$A,MATCH(TRIM(B2030),Students!$A:$A,0)),"NOT ON LIST"))</f>
        <v/>
      </c>
      <c r="H2030" s="35">
        <f>IF(OR(G2030="",G2030="NOT ON LIST"),"",VLOOKUP(G2030,Students!$A:$C,2,FALSE))</f>
        <v/>
      </c>
      <c r="I2030" s="35">
        <f>IF(OR(G2030="",G2030="NOT ON LIST"),"",VLOOKUP(G2030,Students!$A:$C,3,FALSE)&amp;"")</f>
        <v/>
      </c>
    </row>
    <row r="2031">
      <c r="A2031" s="31" t="n"/>
      <c r="B2031" s="32" t="n"/>
      <c r="C2031" s="32" t="n"/>
      <c r="D2031" s="33" t="n"/>
      <c r="E2031" s="32" t="n"/>
      <c r="F2031" s="34">
        <f>IF(A2031="","",IFERROR(INT(A2031),"check date"))</f>
        <v/>
      </c>
      <c r="G2031" s="35">
        <f>IF(B2031="","",IFERROR(INDEX(Students!$A:$A,MATCH(TRIM(B2031),Students!$A:$A,0)),"NOT ON LIST"))</f>
        <v/>
      </c>
      <c r="H2031" s="35">
        <f>IF(OR(G2031="",G2031="NOT ON LIST"),"",VLOOKUP(G2031,Students!$A:$C,2,FALSE))</f>
        <v/>
      </c>
      <c r="I2031" s="35">
        <f>IF(OR(G2031="",G2031="NOT ON LIST"),"",VLOOKUP(G2031,Students!$A:$C,3,FALSE)&amp;"")</f>
        <v/>
      </c>
    </row>
    <row r="2032">
      <c r="A2032" s="31" t="n"/>
      <c r="B2032" s="32" t="n"/>
      <c r="C2032" s="32" t="n"/>
      <c r="D2032" s="33" t="n"/>
      <c r="E2032" s="32" t="n"/>
      <c r="F2032" s="34">
        <f>IF(A2032="","",IFERROR(INT(A2032),"check date"))</f>
        <v/>
      </c>
      <c r="G2032" s="35">
        <f>IF(B2032="","",IFERROR(INDEX(Students!$A:$A,MATCH(TRIM(B2032),Students!$A:$A,0)),"NOT ON LIST"))</f>
        <v/>
      </c>
      <c r="H2032" s="35">
        <f>IF(OR(G2032="",G2032="NOT ON LIST"),"",VLOOKUP(G2032,Students!$A:$C,2,FALSE))</f>
        <v/>
      </c>
      <c r="I2032" s="35">
        <f>IF(OR(G2032="",G2032="NOT ON LIST"),"",VLOOKUP(G2032,Students!$A:$C,3,FALSE)&amp;"")</f>
        <v/>
      </c>
    </row>
    <row r="2033">
      <c r="A2033" s="31" t="n"/>
      <c r="B2033" s="32" t="n"/>
      <c r="C2033" s="32" t="n"/>
      <c r="D2033" s="33" t="n"/>
      <c r="E2033" s="32" t="n"/>
      <c r="F2033" s="34">
        <f>IF(A2033="","",IFERROR(INT(A2033),"check date"))</f>
        <v/>
      </c>
      <c r="G2033" s="35">
        <f>IF(B2033="","",IFERROR(INDEX(Students!$A:$A,MATCH(TRIM(B2033),Students!$A:$A,0)),"NOT ON LIST"))</f>
        <v/>
      </c>
      <c r="H2033" s="35">
        <f>IF(OR(G2033="",G2033="NOT ON LIST"),"",VLOOKUP(G2033,Students!$A:$C,2,FALSE))</f>
        <v/>
      </c>
      <c r="I2033" s="35">
        <f>IF(OR(G2033="",G2033="NOT ON LIST"),"",VLOOKUP(G2033,Students!$A:$C,3,FALSE)&amp;"")</f>
        <v/>
      </c>
    </row>
    <row r="2034">
      <c r="A2034" s="31" t="n"/>
      <c r="B2034" s="32" t="n"/>
      <c r="C2034" s="32" t="n"/>
      <c r="D2034" s="33" t="n"/>
      <c r="E2034" s="32" t="n"/>
      <c r="F2034" s="34">
        <f>IF(A2034="","",IFERROR(INT(A2034),"check date"))</f>
        <v/>
      </c>
      <c r="G2034" s="35">
        <f>IF(B2034="","",IFERROR(INDEX(Students!$A:$A,MATCH(TRIM(B2034),Students!$A:$A,0)),"NOT ON LIST"))</f>
        <v/>
      </c>
      <c r="H2034" s="35">
        <f>IF(OR(G2034="",G2034="NOT ON LIST"),"",VLOOKUP(G2034,Students!$A:$C,2,FALSE))</f>
        <v/>
      </c>
      <c r="I2034" s="35">
        <f>IF(OR(G2034="",G2034="NOT ON LIST"),"",VLOOKUP(G2034,Students!$A:$C,3,FALSE)&amp;"")</f>
        <v/>
      </c>
    </row>
    <row r="2035">
      <c r="A2035" s="31" t="n"/>
      <c r="B2035" s="32" t="n"/>
      <c r="C2035" s="32" t="n"/>
      <c r="D2035" s="33" t="n"/>
      <c r="E2035" s="32" t="n"/>
      <c r="F2035" s="34">
        <f>IF(A2035="","",IFERROR(INT(A2035),"check date"))</f>
        <v/>
      </c>
      <c r="G2035" s="35">
        <f>IF(B2035="","",IFERROR(INDEX(Students!$A:$A,MATCH(TRIM(B2035),Students!$A:$A,0)),"NOT ON LIST"))</f>
        <v/>
      </c>
      <c r="H2035" s="35">
        <f>IF(OR(G2035="",G2035="NOT ON LIST"),"",VLOOKUP(G2035,Students!$A:$C,2,FALSE))</f>
        <v/>
      </c>
      <c r="I2035" s="35">
        <f>IF(OR(G2035="",G2035="NOT ON LIST"),"",VLOOKUP(G2035,Students!$A:$C,3,FALSE)&amp;"")</f>
        <v/>
      </c>
    </row>
    <row r="2036">
      <c r="A2036" s="31" t="n"/>
      <c r="B2036" s="32" t="n"/>
      <c r="C2036" s="32" t="n"/>
      <c r="D2036" s="33" t="n"/>
      <c r="E2036" s="32" t="n"/>
      <c r="F2036" s="34">
        <f>IF(A2036="","",IFERROR(INT(A2036),"check date"))</f>
        <v/>
      </c>
      <c r="G2036" s="35">
        <f>IF(B2036="","",IFERROR(INDEX(Students!$A:$A,MATCH(TRIM(B2036),Students!$A:$A,0)),"NOT ON LIST"))</f>
        <v/>
      </c>
      <c r="H2036" s="35">
        <f>IF(OR(G2036="",G2036="NOT ON LIST"),"",VLOOKUP(G2036,Students!$A:$C,2,FALSE))</f>
        <v/>
      </c>
      <c r="I2036" s="35">
        <f>IF(OR(G2036="",G2036="NOT ON LIST"),"",VLOOKUP(G2036,Students!$A:$C,3,FALSE)&amp;"")</f>
        <v/>
      </c>
    </row>
    <row r="2037">
      <c r="A2037" s="31" t="n"/>
      <c r="B2037" s="32" t="n"/>
      <c r="C2037" s="32" t="n"/>
      <c r="D2037" s="33" t="n"/>
      <c r="E2037" s="32" t="n"/>
      <c r="F2037" s="34">
        <f>IF(A2037="","",IFERROR(INT(A2037),"check date"))</f>
        <v/>
      </c>
      <c r="G2037" s="35">
        <f>IF(B2037="","",IFERROR(INDEX(Students!$A:$A,MATCH(TRIM(B2037),Students!$A:$A,0)),"NOT ON LIST"))</f>
        <v/>
      </c>
      <c r="H2037" s="35">
        <f>IF(OR(G2037="",G2037="NOT ON LIST"),"",VLOOKUP(G2037,Students!$A:$C,2,FALSE))</f>
        <v/>
      </c>
      <c r="I2037" s="35">
        <f>IF(OR(G2037="",G2037="NOT ON LIST"),"",VLOOKUP(G2037,Students!$A:$C,3,FALSE)&amp;"")</f>
        <v/>
      </c>
    </row>
    <row r="2038">
      <c r="A2038" s="31" t="n"/>
      <c r="B2038" s="32" t="n"/>
      <c r="C2038" s="32" t="n"/>
      <c r="D2038" s="33" t="n"/>
      <c r="E2038" s="32" t="n"/>
      <c r="F2038" s="34">
        <f>IF(A2038="","",IFERROR(INT(A2038),"check date"))</f>
        <v/>
      </c>
      <c r="G2038" s="35">
        <f>IF(B2038="","",IFERROR(INDEX(Students!$A:$A,MATCH(TRIM(B2038),Students!$A:$A,0)),"NOT ON LIST"))</f>
        <v/>
      </c>
      <c r="H2038" s="35">
        <f>IF(OR(G2038="",G2038="NOT ON LIST"),"",VLOOKUP(G2038,Students!$A:$C,2,FALSE))</f>
        <v/>
      </c>
      <c r="I2038" s="35">
        <f>IF(OR(G2038="",G2038="NOT ON LIST"),"",VLOOKUP(G2038,Students!$A:$C,3,FALSE)&amp;"")</f>
        <v/>
      </c>
    </row>
    <row r="2039">
      <c r="A2039" s="31" t="n"/>
      <c r="B2039" s="32" t="n"/>
      <c r="C2039" s="32" t="n"/>
      <c r="D2039" s="33" t="n"/>
      <c r="E2039" s="32" t="n"/>
      <c r="F2039" s="34">
        <f>IF(A2039="","",IFERROR(INT(A2039),"check date"))</f>
        <v/>
      </c>
      <c r="G2039" s="35">
        <f>IF(B2039="","",IFERROR(INDEX(Students!$A:$A,MATCH(TRIM(B2039),Students!$A:$A,0)),"NOT ON LIST"))</f>
        <v/>
      </c>
      <c r="H2039" s="35">
        <f>IF(OR(G2039="",G2039="NOT ON LIST"),"",VLOOKUP(G2039,Students!$A:$C,2,FALSE))</f>
        <v/>
      </c>
      <c r="I2039" s="35">
        <f>IF(OR(G2039="",G2039="NOT ON LIST"),"",VLOOKUP(G2039,Students!$A:$C,3,FALSE)&amp;"")</f>
        <v/>
      </c>
    </row>
    <row r="2040">
      <c r="A2040" s="31" t="n"/>
      <c r="B2040" s="32" t="n"/>
      <c r="C2040" s="32" t="n"/>
      <c r="D2040" s="33" t="n"/>
      <c r="E2040" s="32" t="n"/>
      <c r="F2040" s="34">
        <f>IF(A2040="","",IFERROR(INT(A2040),"check date"))</f>
        <v/>
      </c>
      <c r="G2040" s="35">
        <f>IF(B2040="","",IFERROR(INDEX(Students!$A:$A,MATCH(TRIM(B2040),Students!$A:$A,0)),"NOT ON LIST"))</f>
        <v/>
      </c>
      <c r="H2040" s="35">
        <f>IF(OR(G2040="",G2040="NOT ON LIST"),"",VLOOKUP(G2040,Students!$A:$C,2,FALSE))</f>
        <v/>
      </c>
      <c r="I2040" s="35">
        <f>IF(OR(G2040="",G2040="NOT ON LIST"),"",VLOOKUP(G2040,Students!$A:$C,3,FALSE)&amp;"")</f>
        <v/>
      </c>
    </row>
    <row r="2041">
      <c r="A2041" s="31" t="n"/>
      <c r="B2041" s="32" t="n"/>
      <c r="C2041" s="32" t="n"/>
      <c r="D2041" s="33" t="n"/>
      <c r="E2041" s="32" t="n"/>
      <c r="F2041" s="34">
        <f>IF(A2041="","",IFERROR(INT(A2041),"check date"))</f>
        <v/>
      </c>
      <c r="G2041" s="35">
        <f>IF(B2041="","",IFERROR(INDEX(Students!$A:$A,MATCH(TRIM(B2041),Students!$A:$A,0)),"NOT ON LIST"))</f>
        <v/>
      </c>
      <c r="H2041" s="35">
        <f>IF(OR(G2041="",G2041="NOT ON LIST"),"",VLOOKUP(G2041,Students!$A:$C,2,FALSE))</f>
        <v/>
      </c>
      <c r="I2041" s="35">
        <f>IF(OR(G2041="",G2041="NOT ON LIST"),"",VLOOKUP(G2041,Students!$A:$C,3,FALSE)&amp;"")</f>
        <v/>
      </c>
    </row>
    <row r="2042">
      <c r="A2042" s="31" t="n"/>
      <c r="B2042" s="32" t="n"/>
      <c r="C2042" s="32" t="n"/>
      <c r="D2042" s="33" t="n"/>
      <c r="E2042" s="32" t="n"/>
      <c r="F2042" s="34">
        <f>IF(A2042="","",IFERROR(INT(A2042),"check date"))</f>
        <v/>
      </c>
      <c r="G2042" s="35">
        <f>IF(B2042="","",IFERROR(INDEX(Students!$A:$A,MATCH(TRIM(B2042),Students!$A:$A,0)),"NOT ON LIST"))</f>
        <v/>
      </c>
      <c r="H2042" s="35">
        <f>IF(OR(G2042="",G2042="NOT ON LIST"),"",VLOOKUP(G2042,Students!$A:$C,2,FALSE))</f>
        <v/>
      </c>
      <c r="I2042" s="35">
        <f>IF(OR(G2042="",G2042="NOT ON LIST"),"",VLOOKUP(G2042,Students!$A:$C,3,FALSE)&amp;"")</f>
        <v/>
      </c>
    </row>
    <row r="2043">
      <c r="A2043" s="31" t="n"/>
      <c r="B2043" s="32" t="n"/>
      <c r="C2043" s="32" t="n"/>
      <c r="D2043" s="33" t="n"/>
      <c r="E2043" s="32" t="n"/>
      <c r="F2043" s="34">
        <f>IF(A2043="","",IFERROR(INT(A2043),"check date"))</f>
        <v/>
      </c>
      <c r="G2043" s="35">
        <f>IF(B2043="","",IFERROR(INDEX(Students!$A:$A,MATCH(TRIM(B2043),Students!$A:$A,0)),"NOT ON LIST"))</f>
        <v/>
      </c>
      <c r="H2043" s="35">
        <f>IF(OR(G2043="",G2043="NOT ON LIST"),"",VLOOKUP(G2043,Students!$A:$C,2,FALSE))</f>
        <v/>
      </c>
      <c r="I2043" s="35">
        <f>IF(OR(G2043="",G2043="NOT ON LIST"),"",VLOOKUP(G2043,Students!$A:$C,3,FALSE)&amp;"")</f>
        <v/>
      </c>
    </row>
    <row r="2044">
      <c r="A2044" s="31" t="n"/>
      <c r="B2044" s="32" t="n"/>
      <c r="C2044" s="32" t="n"/>
      <c r="D2044" s="33" t="n"/>
      <c r="E2044" s="32" t="n"/>
      <c r="F2044" s="34">
        <f>IF(A2044="","",IFERROR(INT(A2044),"check date"))</f>
        <v/>
      </c>
      <c r="G2044" s="35">
        <f>IF(B2044="","",IFERROR(INDEX(Students!$A:$A,MATCH(TRIM(B2044),Students!$A:$A,0)),"NOT ON LIST"))</f>
        <v/>
      </c>
      <c r="H2044" s="35">
        <f>IF(OR(G2044="",G2044="NOT ON LIST"),"",VLOOKUP(G2044,Students!$A:$C,2,FALSE))</f>
        <v/>
      </c>
      <c r="I2044" s="35">
        <f>IF(OR(G2044="",G2044="NOT ON LIST"),"",VLOOKUP(G2044,Students!$A:$C,3,FALSE)&amp;"")</f>
        <v/>
      </c>
    </row>
    <row r="2045">
      <c r="A2045" s="31" t="n"/>
      <c r="B2045" s="32" t="n"/>
      <c r="C2045" s="32" t="n"/>
      <c r="D2045" s="33" t="n"/>
      <c r="E2045" s="32" t="n"/>
      <c r="F2045" s="34">
        <f>IF(A2045="","",IFERROR(INT(A2045),"check date"))</f>
        <v/>
      </c>
      <c r="G2045" s="35">
        <f>IF(B2045="","",IFERROR(INDEX(Students!$A:$A,MATCH(TRIM(B2045),Students!$A:$A,0)),"NOT ON LIST"))</f>
        <v/>
      </c>
      <c r="H2045" s="35">
        <f>IF(OR(G2045="",G2045="NOT ON LIST"),"",VLOOKUP(G2045,Students!$A:$C,2,FALSE))</f>
        <v/>
      </c>
      <c r="I2045" s="35">
        <f>IF(OR(G2045="",G2045="NOT ON LIST"),"",VLOOKUP(G2045,Students!$A:$C,3,FALSE)&amp;"")</f>
        <v/>
      </c>
    </row>
    <row r="2046">
      <c r="A2046" s="31" t="n"/>
      <c r="B2046" s="32" t="n"/>
      <c r="C2046" s="32" t="n"/>
      <c r="D2046" s="33" t="n"/>
      <c r="E2046" s="32" t="n"/>
      <c r="F2046" s="34">
        <f>IF(A2046="","",IFERROR(INT(A2046),"check date"))</f>
        <v/>
      </c>
      <c r="G2046" s="35">
        <f>IF(B2046="","",IFERROR(INDEX(Students!$A:$A,MATCH(TRIM(B2046),Students!$A:$A,0)),"NOT ON LIST"))</f>
        <v/>
      </c>
      <c r="H2046" s="35">
        <f>IF(OR(G2046="",G2046="NOT ON LIST"),"",VLOOKUP(G2046,Students!$A:$C,2,FALSE))</f>
        <v/>
      </c>
      <c r="I2046" s="35">
        <f>IF(OR(G2046="",G2046="NOT ON LIST"),"",VLOOKUP(G2046,Students!$A:$C,3,FALSE)&amp;"")</f>
        <v/>
      </c>
    </row>
    <row r="2047">
      <c r="A2047" s="31" t="n"/>
      <c r="B2047" s="32" t="n"/>
      <c r="C2047" s="32" t="n"/>
      <c r="D2047" s="33" t="n"/>
      <c r="E2047" s="32" t="n"/>
      <c r="F2047" s="34">
        <f>IF(A2047="","",IFERROR(INT(A2047),"check date"))</f>
        <v/>
      </c>
      <c r="G2047" s="35">
        <f>IF(B2047="","",IFERROR(INDEX(Students!$A:$A,MATCH(TRIM(B2047),Students!$A:$A,0)),"NOT ON LIST"))</f>
        <v/>
      </c>
      <c r="H2047" s="35">
        <f>IF(OR(G2047="",G2047="NOT ON LIST"),"",VLOOKUP(G2047,Students!$A:$C,2,FALSE))</f>
        <v/>
      </c>
      <c r="I2047" s="35">
        <f>IF(OR(G2047="",G2047="NOT ON LIST"),"",VLOOKUP(G2047,Students!$A:$C,3,FALSE)&amp;"")</f>
        <v/>
      </c>
    </row>
    <row r="2048">
      <c r="A2048" s="31" t="n"/>
      <c r="B2048" s="32" t="n"/>
      <c r="C2048" s="32" t="n"/>
      <c r="D2048" s="33" t="n"/>
      <c r="E2048" s="32" t="n"/>
      <c r="F2048" s="34">
        <f>IF(A2048="","",IFERROR(INT(A2048),"check date"))</f>
        <v/>
      </c>
      <c r="G2048" s="35">
        <f>IF(B2048="","",IFERROR(INDEX(Students!$A:$A,MATCH(TRIM(B2048),Students!$A:$A,0)),"NOT ON LIST"))</f>
        <v/>
      </c>
      <c r="H2048" s="35">
        <f>IF(OR(G2048="",G2048="NOT ON LIST"),"",VLOOKUP(G2048,Students!$A:$C,2,FALSE))</f>
        <v/>
      </c>
      <c r="I2048" s="35">
        <f>IF(OR(G2048="",G2048="NOT ON LIST"),"",VLOOKUP(G2048,Students!$A:$C,3,FALSE)&amp;"")</f>
        <v/>
      </c>
    </row>
    <row r="2049">
      <c r="A2049" s="31" t="n"/>
      <c r="B2049" s="32" t="n"/>
      <c r="C2049" s="32" t="n"/>
      <c r="D2049" s="33" t="n"/>
      <c r="E2049" s="32" t="n"/>
      <c r="F2049" s="34">
        <f>IF(A2049="","",IFERROR(INT(A2049),"check date"))</f>
        <v/>
      </c>
      <c r="G2049" s="35">
        <f>IF(B2049="","",IFERROR(INDEX(Students!$A:$A,MATCH(TRIM(B2049),Students!$A:$A,0)),"NOT ON LIST"))</f>
        <v/>
      </c>
      <c r="H2049" s="35">
        <f>IF(OR(G2049="",G2049="NOT ON LIST"),"",VLOOKUP(G2049,Students!$A:$C,2,FALSE))</f>
        <v/>
      </c>
      <c r="I2049" s="35">
        <f>IF(OR(G2049="",G2049="NOT ON LIST"),"",VLOOKUP(G2049,Students!$A:$C,3,FALSE)&amp;"")</f>
        <v/>
      </c>
    </row>
    <row r="2050">
      <c r="A2050" s="31" t="n"/>
      <c r="B2050" s="32" t="n"/>
      <c r="C2050" s="32" t="n"/>
      <c r="D2050" s="33" t="n"/>
      <c r="E2050" s="32" t="n"/>
      <c r="F2050" s="34">
        <f>IF(A2050="","",IFERROR(INT(A2050),"check date"))</f>
        <v/>
      </c>
      <c r="G2050" s="35">
        <f>IF(B2050="","",IFERROR(INDEX(Students!$A:$A,MATCH(TRIM(B2050),Students!$A:$A,0)),"NOT ON LIST"))</f>
        <v/>
      </c>
      <c r="H2050" s="35">
        <f>IF(OR(G2050="",G2050="NOT ON LIST"),"",VLOOKUP(G2050,Students!$A:$C,2,FALSE))</f>
        <v/>
      </c>
      <c r="I2050" s="35">
        <f>IF(OR(G2050="",G2050="NOT ON LIST"),"",VLOOKUP(G2050,Students!$A:$C,3,FALSE)&amp;"")</f>
        <v/>
      </c>
    </row>
    <row r="2051">
      <c r="A2051" s="31" t="n"/>
      <c r="B2051" s="32" t="n"/>
      <c r="C2051" s="32" t="n"/>
      <c r="D2051" s="33" t="n"/>
      <c r="E2051" s="32" t="n"/>
      <c r="F2051" s="34">
        <f>IF(A2051="","",IFERROR(INT(A2051),"check date"))</f>
        <v/>
      </c>
      <c r="G2051" s="35">
        <f>IF(B2051="","",IFERROR(INDEX(Students!$A:$A,MATCH(TRIM(B2051),Students!$A:$A,0)),"NOT ON LIST"))</f>
        <v/>
      </c>
      <c r="H2051" s="35">
        <f>IF(OR(G2051="",G2051="NOT ON LIST"),"",VLOOKUP(G2051,Students!$A:$C,2,FALSE))</f>
        <v/>
      </c>
      <c r="I2051" s="35">
        <f>IF(OR(G2051="",G2051="NOT ON LIST"),"",VLOOKUP(G2051,Students!$A:$C,3,FALSE)&amp;"")</f>
        <v/>
      </c>
    </row>
    <row r="2052">
      <c r="A2052" s="31" t="n"/>
      <c r="B2052" s="32" t="n"/>
      <c r="C2052" s="32" t="n"/>
      <c r="D2052" s="33" t="n"/>
      <c r="E2052" s="32" t="n"/>
      <c r="F2052" s="34">
        <f>IF(A2052="","",IFERROR(INT(A2052),"check date"))</f>
        <v/>
      </c>
      <c r="G2052" s="35">
        <f>IF(B2052="","",IFERROR(INDEX(Students!$A:$A,MATCH(TRIM(B2052),Students!$A:$A,0)),"NOT ON LIST"))</f>
        <v/>
      </c>
      <c r="H2052" s="35">
        <f>IF(OR(G2052="",G2052="NOT ON LIST"),"",VLOOKUP(G2052,Students!$A:$C,2,FALSE))</f>
        <v/>
      </c>
      <c r="I2052" s="35">
        <f>IF(OR(G2052="",G2052="NOT ON LIST"),"",VLOOKUP(G2052,Students!$A:$C,3,FALSE)&amp;"")</f>
        <v/>
      </c>
    </row>
    <row r="2053">
      <c r="A2053" s="31" t="n"/>
      <c r="B2053" s="32" t="n"/>
      <c r="C2053" s="32" t="n"/>
      <c r="D2053" s="33" t="n"/>
      <c r="E2053" s="32" t="n"/>
      <c r="F2053" s="34">
        <f>IF(A2053="","",IFERROR(INT(A2053),"check date"))</f>
        <v/>
      </c>
      <c r="G2053" s="35">
        <f>IF(B2053="","",IFERROR(INDEX(Students!$A:$A,MATCH(TRIM(B2053),Students!$A:$A,0)),"NOT ON LIST"))</f>
        <v/>
      </c>
      <c r="H2053" s="35">
        <f>IF(OR(G2053="",G2053="NOT ON LIST"),"",VLOOKUP(G2053,Students!$A:$C,2,FALSE))</f>
        <v/>
      </c>
      <c r="I2053" s="35">
        <f>IF(OR(G2053="",G2053="NOT ON LIST"),"",VLOOKUP(G2053,Students!$A:$C,3,FALSE)&amp;"")</f>
        <v/>
      </c>
    </row>
    <row r="2054">
      <c r="A2054" s="31" t="n"/>
      <c r="B2054" s="32" t="n"/>
      <c r="C2054" s="32" t="n"/>
      <c r="D2054" s="33" t="n"/>
      <c r="E2054" s="32" t="n"/>
      <c r="F2054" s="34">
        <f>IF(A2054="","",IFERROR(INT(A2054),"check date"))</f>
        <v/>
      </c>
      <c r="G2054" s="35">
        <f>IF(B2054="","",IFERROR(INDEX(Students!$A:$A,MATCH(TRIM(B2054),Students!$A:$A,0)),"NOT ON LIST"))</f>
        <v/>
      </c>
      <c r="H2054" s="35">
        <f>IF(OR(G2054="",G2054="NOT ON LIST"),"",VLOOKUP(G2054,Students!$A:$C,2,FALSE))</f>
        <v/>
      </c>
      <c r="I2054" s="35">
        <f>IF(OR(G2054="",G2054="NOT ON LIST"),"",VLOOKUP(G2054,Students!$A:$C,3,FALSE)&amp;"")</f>
        <v/>
      </c>
    </row>
    <row r="2055">
      <c r="A2055" s="31" t="n"/>
      <c r="B2055" s="32" t="n"/>
      <c r="C2055" s="32" t="n"/>
      <c r="D2055" s="33" t="n"/>
      <c r="E2055" s="32" t="n"/>
      <c r="F2055" s="34">
        <f>IF(A2055="","",IFERROR(INT(A2055),"check date"))</f>
        <v/>
      </c>
      <c r="G2055" s="35">
        <f>IF(B2055="","",IFERROR(INDEX(Students!$A:$A,MATCH(TRIM(B2055),Students!$A:$A,0)),"NOT ON LIST"))</f>
        <v/>
      </c>
      <c r="H2055" s="35">
        <f>IF(OR(G2055="",G2055="NOT ON LIST"),"",VLOOKUP(G2055,Students!$A:$C,2,FALSE))</f>
        <v/>
      </c>
      <c r="I2055" s="35">
        <f>IF(OR(G2055="",G2055="NOT ON LIST"),"",VLOOKUP(G2055,Students!$A:$C,3,FALSE)&amp;"")</f>
        <v/>
      </c>
    </row>
    <row r="2056">
      <c r="A2056" s="31" t="n"/>
      <c r="B2056" s="32" t="n"/>
      <c r="C2056" s="32" t="n"/>
      <c r="D2056" s="33" t="n"/>
      <c r="E2056" s="32" t="n"/>
      <c r="F2056" s="34">
        <f>IF(A2056="","",IFERROR(INT(A2056),"check date"))</f>
        <v/>
      </c>
      <c r="G2056" s="35">
        <f>IF(B2056="","",IFERROR(INDEX(Students!$A:$A,MATCH(TRIM(B2056),Students!$A:$A,0)),"NOT ON LIST"))</f>
        <v/>
      </c>
      <c r="H2056" s="35">
        <f>IF(OR(G2056="",G2056="NOT ON LIST"),"",VLOOKUP(G2056,Students!$A:$C,2,FALSE))</f>
        <v/>
      </c>
      <c r="I2056" s="35">
        <f>IF(OR(G2056="",G2056="NOT ON LIST"),"",VLOOKUP(G2056,Students!$A:$C,3,FALSE)&amp;"")</f>
        <v/>
      </c>
    </row>
    <row r="2057">
      <c r="A2057" s="31" t="n"/>
      <c r="B2057" s="32" t="n"/>
      <c r="C2057" s="32" t="n"/>
      <c r="D2057" s="33" t="n"/>
      <c r="E2057" s="32" t="n"/>
      <c r="F2057" s="34">
        <f>IF(A2057="","",IFERROR(INT(A2057),"check date"))</f>
        <v/>
      </c>
      <c r="G2057" s="35">
        <f>IF(B2057="","",IFERROR(INDEX(Students!$A:$A,MATCH(TRIM(B2057),Students!$A:$A,0)),"NOT ON LIST"))</f>
        <v/>
      </c>
      <c r="H2057" s="35">
        <f>IF(OR(G2057="",G2057="NOT ON LIST"),"",VLOOKUP(G2057,Students!$A:$C,2,FALSE))</f>
        <v/>
      </c>
      <c r="I2057" s="35">
        <f>IF(OR(G2057="",G2057="NOT ON LIST"),"",VLOOKUP(G2057,Students!$A:$C,3,FALSE)&amp;"")</f>
        <v/>
      </c>
    </row>
    <row r="2058">
      <c r="A2058" s="31" t="n"/>
      <c r="B2058" s="32" t="n"/>
      <c r="C2058" s="32" t="n"/>
      <c r="D2058" s="33" t="n"/>
      <c r="E2058" s="32" t="n"/>
      <c r="F2058" s="34">
        <f>IF(A2058="","",IFERROR(INT(A2058),"check date"))</f>
        <v/>
      </c>
      <c r="G2058" s="35">
        <f>IF(B2058="","",IFERROR(INDEX(Students!$A:$A,MATCH(TRIM(B2058),Students!$A:$A,0)),"NOT ON LIST"))</f>
        <v/>
      </c>
      <c r="H2058" s="35">
        <f>IF(OR(G2058="",G2058="NOT ON LIST"),"",VLOOKUP(G2058,Students!$A:$C,2,FALSE))</f>
        <v/>
      </c>
      <c r="I2058" s="35">
        <f>IF(OR(G2058="",G2058="NOT ON LIST"),"",VLOOKUP(G2058,Students!$A:$C,3,FALSE)&amp;"")</f>
        <v/>
      </c>
    </row>
    <row r="2059">
      <c r="A2059" s="31" t="n"/>
      <c r="B2059" s="32" t="n"/>
      <c r="C2059" s="32" t="n"/>
      <c r="D2059" s="33" t="n"/>
      <c r="E2059" s="32" t="n"/>
      <c r="F2059" s="34">
        <f>IF(A2059="","",IFERROR(INT(A2059),"check date"))</f>
        <v/>
      </c>
      <c r="G2059" s="35">
        <f>IF(B2059="","",IFERROR(INDEX(Students!$A:$A,MATCH(TRIM(B2059),Students!$A:$A,0)),"NOT ON LIST"))</f>
        <v/>
      </c>
      <c r="H2059" s="35">
        <f>IF(OR(G2059="",G2059="NOT ON LIST"),"",VLOOKUP(G2059,Students!$A:$C,2,FALSE))</f>
        <v/>
      </c>
      <c r="I2059" s="35">
        <f>IF(OR(G2059="",G2059="NOT ON LIST"),"",VLOOKUP(G2059,Students!$A:$C,3,FALSE)&amp;"")</f>
        <v/>
      </c>
    </row>
    <row r="2060">
      <c r="A2060" s="31" t="n"/>
      <c r="B2060" s="32" t="n"/>
      <c r="C2060" s="32" t="n"/>
      <c r="D2060" s="33" t="n"/>
      <c r="E2060" s="32" t="n"/>
      <c r="F2060" s="34">
        <f>IF(A2060="","",IFERROR(INT(A2060),"check date"))</f>
        <v/>
      </c>
      <c r="G2060" s="35">
        <f>IF(B2060="","",IFERROR(INDEX(Students!$A:$A,MATCH(TRIM(B2060),Students!$A:$A,0)),"NOT ON LIST"))</f>
        <v/>
      </c>
      <c r="H2060" s="35">
        <f>IF(OR(G2060="",G2060="NOT ON LIST"),"",VLOOKUP(G2060,Students!$A:$C,2,FALSE))</f>
        <v/>
      </c>
      <c r="I2060" s="35">
        <f>IF(OR(G2060="",G2060="NOT ON LIST"),"",VLOOKUP(G2060,Students!$A:$C,3,FALSE)&amp;"")</f>
        <v/>
      </c>
    </row>
    <row r="2061">
      <c r="A2061" s="31" t="n"/>
      <c r="B2061" s="32" t="n"/>
      <c r="C2061" s="32" t="n"/>
      <c r="D2061" s="33" t="n"/>
      <c r="E2061" s="32" t="n"/>
      <c r="F2061" s="34">
        <f>IF(A2061="","",IFERROR(INT(A2061),"check date"))</f>
        <v/>
      </c>
      <c r="G2061" s="35">
        <f>IF(B2061="","",IFERROR(INDEX(Students!$A:$A,MATCH(TRIM(B2061),Students!$A:$A,0)),"NOT ON LIST"))</f>
        <v/>
      </c>
      <c r="H2061" s="35">
        <f>IF(OR(G2061="",G2061="NOT ON LIST"),"",VLOOKUP(G2061,Students!$A:$C,2,FALSE))</f>
        <v/>
      </c>
      <c r="I2061" s="35">
        <f>IF(OR(G2061="",G2061="NOT ON LIST"),"",VLOOKUP(G2061,Students!$A:$C,3,FALSE)&amp;"")</f>
        <v/>
      </c>
    </row>
    <row r="2062">
      <c r="A2062" s="31" t="n"/>
      <c r="B2062" s="32" t="n"/>
      <c r="C2062" s="32" t="n"/>
      <c r="D2062" s="33" t="n"/>
      <c r="E2062" s="32" t="n"/>
      <c r="F2062" s="34">
        <f>IF(A2062="","",IFERROR(INT(A2062),"check date"))</f>
        <v/>
      </c>
      <c r="G2062" s="35">
        <f>IF(B2062="","",IFERROR(INDEX(Students!$A:$A,MATCH(TRIM(B2062),Students!$A:$A,0)),"NOT ON LIST"))</f>
        <v/>
      </c>
      <c r="H2062" s="35">
        <f>IF(OR(G2062="",G2062="NOT ON LIST"),"",VLOOKUP(G2062,Students!$A:$C,2,FALSE))</f>
        <v/>
      </c>
      <c r="I2062" s="35">
        <f>IF(OR(G2062="",G2062="NOT ON LIST"),"",VLOOKUP(G2062,Students!$A:$C,3,FALSE)&amp;"")</f>
        <v/>
      </c>
    </row>
    <row r="2063">
      <c r="A2063" s="31" t="n"/>
      <c r="B2063" s="32" t="n"/>
      <c r="C2063" s="32" t="n"/>
      <c r="D2063" s="33" t="n"/>
      <c r="E2063" s="32" t="n"/>
      <c r="F2063" s="34">
        <f>IF(A2063="","",IFERROR(INT(A2063),"check date"))</f>
        <v/>
      </c>
      <c r="G2063" s="35">
        <f>IF(B2063="","",IFERROR(INDEX(Students!$A:$A,MATCH(TRIM(B2063),Students!$A:$A,0)),"NOT ON LIST"))</f>
        <v/>
      </c>
      <c r="H2063" s="35">
        <f>IF(OR(G2063="",G2063="NOT ON LIST"),"",VLOOKUP(G2063,Students!$A:$C,2,FALSE))</f>
        <v/>
      </c>
      <c r="I2063" s="35">
        <f>IF(OR(G2063="",G2063="NOT ON LIST"),"",VLOOKUP(G2063,Students!$A:$C,3,FALSE)&amp;"")</f>
        <v/>
      </c>
    </row>
    <row r="2064">
      <c r="A2064" s="31" t="n"/>
      <c r="B2064" s="32" t="n"/>
      <c r="C2064" s="32" t="n"/>
      <c r="D2064" s="33" t="n"/>
      <c r="E2064" s="32" t="n"/>
      <c r="F2064" s="34">
        <f>IF(A2064="","",IFERROR(INT(A2064),"check date"))</f>
        <v/>
      </c>
      <c r="G2064" s="35">
        <f>IF(B2064="","",IFERROR(INDEX(Students!$A:$A,MATCH(TRIM(B2064),Students!$A:$A,0)),"NOT ON LIST"))</f>
        <v/>
      </c>
      <c r="H2064" s="35">
        <f>IF(OR(G2064="",G2064="NOT ON LIST"),"",VLOOKUP(G2064,Students!$A:$C,2,FALSE))</f>
        <v/>
      </c>
      <c r="I2064" s="35">
        <f>IF(OR(G2064="",G2064="NOT ON LIST"),"",VLOOKUP(G2064,Students!$A:$C,3,FALSE)&amp;"")</f>
        <v/>
      </c>
    </row>
    <row r="2065">
      <c r="A2065" s="31" t="n"/>
      <c r="B2065" s="32" t="n"/>
      <c r="C2065" s="32" t="n"/>
      <c r="D2065" s="33" t="n"/>
      <c r="E2065" s="32" t="n"/>
      <c r="F2065" s="34">
        <f>IF(A2065="","",IFERROR(INT(A2065),"check date"))</f>
        <v/>
      </c>
      <c r="G2065" s="35">
        <f>IF(B2065="","",IFERROR(INDEX(Students!$A:$A,MATCH(TRIM(B2065),Students!$A:$A,0)),"NOT ON LIST"))</f>
        <v/>
      </c>
      <c r="H2065" s="35">
        <f>IF(OR(G2065="",G2065="NOT ON LIST"),"",VLOOKUP(G2065,Students!$A:$C,2,FALSE))</f>
        <v/>
      </c>
      <c r="I2065" s="35">
        <f>IF(OR(G2065="",G2065="NOT ON LIST"),"",VLOOKUP(G2065,Students!$A:$C,3,FALSE)&amp;"")</f>
        <v/>
      </c>
    </row>
    <row r="2066">
      <c r="A2066" s="31" t="n"/>
      <c r="B2066" s="32" t="n"/>
      <c r="C2066" s="32" t="n"/>
      <c r="D2066" s="33" t="n"/>
      <c r="E2066" s="32" t="n"/>
      <c r="F2066" s="34">
        <f>IF(A2066="","",IFERROR(INT(A2066),"check date"))</f>
        <v/>
      </c>
      <c r="G2066" s="35">
        <f>IF(B2066="","",IFERROR(INDEX(Students!$A:$A,MATCH(TRIM(B2066),Students!$A:$A,0)),"NOT ON LIST"))</f>
        <v/>
      </c>
      <c r="H2066" s="35">
        <f>IF(OR(G2066="",G2066="NOT ON LIST"),"",VLOOKUP(G2066,Students!$A:$C,2,FALSE))</f>
        <v/>
      </c>
      <c r="I2066" s="35">
        <f>IF(OR(G2066="",G2066="NOT ON LIST"),"",VLOOKUP(G2066,Students!$A:$C,3,FALSE)&amp;"")</f>
        <v/>
      </c>
    </row>
    <row r="2067">
      <c r="A2067" s="31" t="n"/>
      <c r="B2067" s="32" t="n"/>
      <c r="C2067" s="32" t="n"/>
      <c r="D2067" s="33" t="n"/>
      <c r="E2067" s="32" t="n"/>
      <c r="F2067" s="34">
        <f>IF(A2067="","",IFERROR(INT(A2067),"check date"))</f>
        <v/>
      </c>
      <c r="G2067" s="35">
        <f>IF(B2067="","",IFERROR(INDEX(Students!$A:$A,MATCH(TRIM(B2067),Students!$A:$A,0)),"NOT ON LIST"))</f>
        <v/>
      </c>
      <c r="H2067" s="35">
        <f>IF(OR(G2067="",G2067="NOT ON LIST"),"",VLOOKUP(G2067,Students!$A:$C,2,FALSE))</f>
        <v/>
      </c>
      <c r="I2067" s="35">
        <f>IF(OR(G2067="",G2067="NOT ON LIST"),"",VLOOKUP(G2067,Students!$A:$C,3,FALSE)&amp;"")</f>
        <v/>
      </c>
    </row>
    <row r="2068">
      <c r="A2068" s="31" t="n"/>
      <c r="B2068" s="32" t="n"/>
      <c r="C2068" s="32" t="n"/>
      <c r="D2068" s="33" t="n"/>
      <c r="E2068" s="32" t="n"/>
      <c r="F2068" s="34">
        <f>IF(A2068="","",IFERROR(INT(A2068),"check date"))</f>
        <v/>
      </c>
      <c r="G2068" s="35">
        <f>IF(B2068="","",IFERROR(INDEX(Students!$A:$A,MATCH(TRIM(B2068),Students!$A:$A,0)),"NOT ON LIST"))</f>
        <v/>
      </c>
      <c r="H2068" s="35">
        <f>IF(OR(G2068="",G2068="NOT ON LIST"),"",VLOOKUP(G2068,Students!$A:$C,2,FALSE))</f>
        <v/>
      </c>
      <c r="I2068" s="35">
        <f>IF(OR(G2068="",G2068="NOT ON LIST"),"",VLOOKUP(G2068,Students!$A:$C,3,FALSE)&amp;"")</f>
        <v/>
      </c>
    </row>
    <row r="2069">
      <c r="A2069" s="31" t="n"/>
      <c r="B2069" s="32" t="n"/>
      <c r="C2069" s="32" t="n"/>
      <c r="D2069" s="33" t="n"/>
      <c r="E2069" s="32" t="n"/>
      <c r="F2069" s="34">
        <f>IF(A2069="","",IFERROR(INT(A2069),"check date"))</f>
        <v/>
      </c>
      <c r="G2069" s="35">
        <f>IF(B2069="","",IFERROR(INDEX(Students!$A:$A,MATCH(TRIM(B2069),Students!$A:$A,0)),"NOT ON LIST"))</f>
        <v/>
      </c>
      <c r="H2069" s="35">
        <f>IF(OR(G2069="",G2069="NOT ON LIST"),"",VLOOKUP(G2069,Students!$A:$C,2,FALSE))</f>
        <v/>
      </c>
      <c r="I2069" s="35">
        <f>IF(OR(G2069="",G2069="NOT ON LIST"),"",VLOOKUP(G2069,Students!$A:$C,3,FALSE)&amp;"")</f>
        <v/>
      </c>
    </row>
    <row r="2070">
      <c r="A2070" s="31" t="n"/>
      <c r="B2070" s="32" t="n"/>
      <c r="C2070" s="32" t="n"/>
      <c r="D2070" s="33" t="n"/>
      <c r="E2070" s="32" t="n"/>
      <c r="F2070" s="34">
        <f>IF(A2070="","",IFERROR(INT(A2070),"check date"))</f>
        <v/>
      </c>
      <c r="G2070" s="35">
        <f>IF(B2070="","",IFERROR(INDEX(Students!$A:$A,MATCH(TRIM(B2070),Students!$A:$A,0)),"NOT ON LIST"))</f>
        <v/>
      </c>
      <c r="H2070" s="35">
        <f>IF(OR(G2070="",G2070="NOT ON LIST"),"",VLOOKUP(G2070,Students!$A:$C,2,FALSE))</f>
        <v/>
      </c>
      <c r="I2070" s="35">
        <f>IF(OR(G2070="",G2070="NOT ON LIST"),"",VLOOKUP(G2070,Students!$A:$C,3,FALSE)&amp;"")</f>
        <v/>
      </c>
    </row>
    <row r="2071">
      <c r="A2071" s="31" t="n"/>
      <c r="B2071" s="32" t="n"/>
      <c r="C2071" s="32" t="n"/>
      <c r="D2071" s="33" t="n"/>
      <c r="E2071" s="32" t="n"/>
      <c r="F2071" s="34">
        <f>IF(A2071="","",IFERROR(INT(A2071),"check date"))</f>
        <v/>
      </c>
      <c r="G2071" s="35">
        <f>IF(B2071="","",IFERROR(INDEX(Students!$A:$A,MATCH(TRIM(B2071),Students!$A:$A,0)),"NOT ON LIST"))</f>
        <v/>
      </c>
      <c r="H2071" s="35">
        <f>IF(OR(G2071="",G2071="NOT ON LIST"),"",VLOOKUP(G2071,Students!$A:$C,2,FALSE))</f>
        <v/>
      </c>
      <c r="I2071" s="35">
        <f>IF(OR(G2071="",G2071="NOT ON LIST"),"",VLOOKUP(G2071,Students!$A:$C,3,FALSE)&amp;"")</f>
        <v/>
      </c>
    </row>
    <row r="2072">
      <c r="A2072" s="31" t="n"/>
      <c r="B2072" s="32" t="n"/>
      <c r="C2072" s="32" t="n"/>
      <c r="D2072" s="33" t="n"/>
      <c r="E2072" s="32" t="n"/>
      <c r="F2072" s="34">
        <f>IF(A2072="","",IFERROR(INT(A2072),"check date"))</f>
        <v/>
      </c>
      <c r="G2072" s="35">
        <f>IF(B2072="","",IFERROR(INDEX(Students!$A:$A,MATCH(TRIM(B2072),Students!$A:$A,0)),"NOT ON LIST"))</f>
        <v/>
      </c>
      <c r="H2072" s="35">
        <f>IF(OR(G2072="",G2072="NOT ON LIST"),"",VLOOKUP(G2072,Students!$A:$C,2,FALSE))</f>
        <v/>
      </c>
      <c r="I2072" s="35">
        <f>IF(OR(G2072="",G2072="NOT ON LIST"),"",VLOOKUP(G2072,Students!$A:$C,3,FALSE)&amp;"")</f>
        <v/>
      </c>
    </row>
    <row r="2073">
      <c r="A2073" s="31" t="n"/>
      <c r="B2073" s="32" t="n"/>
      <c r="C2073" s="32" t="n"/>
      <c r="D2073" s="33" t="n"/>
      <c r="E2073" s="32" t="n"/>
      <c r="F2073" s="34">
        <f>IF(A2073="","",IFERROR(INT(A2073),"check date"))</f>
        <v/>
      </c>
      <c r="G2073" s="35">
        <f>IF(B2073="","",IFERROR(INDEX(Students!$A:$A,MATCH(TRIM(B2073),Students!$A:$A,0)),"NOT ON LIST"))</f>
        <v/>
      </c>
      <c r="H2073" s="35">
        <f>IF(OR(G2073="",G2073="NOT ON LIST"),"",VLOOKUP(G2073,Students!$A:$C,2,FALSE))</f>
        <v/>
      </c>
      <c r="I2073" s="35">
        <f>IF(OR(G2073="",G2073="NOT ON LIST"),"",VLOOKUP(G2073,Students!$A:$C,3,FALSE)&amp;"")</f>
        <v/>
      </c>
    </row>
    <row r="2074">
      <c r="A2074" s="31" t="n"/>
      <c r="B2074" s="32" t="n"/>
      <c r="C2074" s="32" t="n"/>
      <c r="D2074" s="33" t="n"/>
      <c r="E2074" s="32" t="n"/>
      <c r="F2074" s="34">
        <f>IF(A2074="","",IFERROR(INT(A2074),"check date"))</f>
        <v/>
      </c>
      <c r="G2074" s="35">
        <f>IF(B2074="","",IFERROR(INDEX(Students!$A:$A,MATCH(TRIM(B2074),Students!$A:$A,0)),"NOT ON LIST"))</f>
        <v/>
      </c>
      <c r="H2074" s="35">
        <f>IF(OR(G2074="",G2074="NOT ON LIST"),"",VLOOKUP(G2074,Students!$A:$C,2,FALSE))</f>
        <v/>
      </c>
      <c r="I2074" s="35">
        <f>IF(OR(G2074="",G2074="NOT ON LIST"),"",VLOOKUP(G2074,Students!$A:$C,3,FALSE)&amp;"")</f>
        <v/>
      </c>
    </row>
    <row r="2075">
      <c r="A2075" s="31" t="n"/>
      <c r="B2075" s="32" t="n"/>
      <c r="C2075" s="32" t="n"/>
      <c r="D2075" s="33" t="n"/>
      <c r="E2075" s="32" t="n"/>
      <c r="F2075" s="34">
        <f>IF(A2075="","",IFERROR(INT(A2075),"check date"))</f>
        <v/>
      </c>
      <c r="G2075" s="35">
        <f>IF(B2075="","",IFERROR(INDEX(Students!$A:$A,MATCH(TRIM(B2075),Students!$A:$A,0)),"NOT ON LIST"))</f>
        <v/>
      </c>
      <c r="H2075" s="35">
        <f>IF(OR(G2075="",G2075="NOT ON LIST"),"",VLOOKUP(G2075,Students!$A:$C,2,FALSE))</f>
        <v/>
      </c>
      <c r="I2075" s="35">
        <f>IF(OR(G2075="",G2075="NOT ON LIST"),"",VLOOKUP(G2075,Students!$A:$C,3,FALSE)&amp;"")</f>
        <v/>
      </c>
    </row>
    <row r="2076">
      <c r="A2076" s="31" t="n"/>
      <c r="B2076" s="32" t="n"/>
      <c r="C2076" s="32" t="n"/>
      <c r="D2076" s="33" t="n"/>
      <c r="E2076" s="32" t="n"/>
      <c r="F2076" s="34">
        <f>IF(A2076="","",IFERROR(INT(A2076),"check date"))</f>
        <v/>
      </c>
      <c r="G2076" s="35">
        <f>IF(B2076="","",IFERROR(INDEX(Students!$A:$A,MATCH(TRIM(B2076),Students!$A:$A,0)),"NOT ON LIST"))</f>
        <v/>
      </c>
      <c r="H2076" s="35">
        <f>IF(OR(G2076="",G2076="NOT ON LIST"),"",VLOOKUP(G2076,Students!$A:$C,2,FALSE))</f>
        <v/>
      </c>
      <c r="I2076" s="35">
        <f>IF(OR(G2076="",G2076="NOT ON LIST"),"",VLOOKUP(G2076,Students!$A:$C,3,FALSE)&amp;"")</f>
        <v/>
      </c>
    </row>
    <row r="2077">
      <c r="A2077" s="31" t="n"/>
      <c r="B2077" s="32" t="n"/>
      <c r="C2077" s="32" t="n"/>
      <c r="D2077" s="33" t="n"/>
      <c r="E2077" s="32" t="n"/>
      <c r="F2077" s="34">
        <f>IF(A2077="","",IFERROR(INT(A2077),"check date"))</f>
        <v/>
      </c>
      <c r="G2077" s="35">
        <f>IF(B2077="","",IFERROR(INDEX(Students!$A:$A,MATCH(TRIM(B2077),Students!$A:$A,0)),"NOT ON LIST"))</f>
        <v/>
      </c>
      <c r="H2077" s="35">
        <f>IF(OR(G2077="",G2077="NOT ON LIST"),"",VLOOKUP(G2077,Students!$A:$C,2,FALSE))</f>
        <v/>
      </c>
      <c r="I2077" s="35">
        <f>IF(OR(G2077="",G2077="NOT ON LIST"),"",VLOOKUP(G2077,Students!$A:$C,3,FALSE)&amp;"")</f>
        <v/>
      </c>
    </row>
    <row r="2078">
      <c r="A2078" s="31" t="n"/>
      <c r="B2078" s="32" t="n"/>
      <c r="C2078" s="32" t="n"/>
      <c r="D2078" s="33" t="n"/>
      <c r="E2078" s="32" t="n"/>
      <c r="F2078" s="34">
        <f>IF(A2078="","",IFERROR(INT(A2078),"check date"))</f>
        <v/>
      </c>
      <c r="G2078" s="35">
        <f>IF(B2078="","",IFERROR(INDEX(Students!$A:$A,MATCH(TRIM(B2078),Students!$A:$A,0)),"NOT ON LIST"))</f>
        <v/>
      </c>
      <c r="H2078" s="35">
        <f>IF(OR(G2078="",G2078="NOT ON LIST"),"",VLOOKUP(G2078,Students!$A:$C,2,FALSE))</f>
        <v/>
      </c>
      <c r="I2078" s="35">
        <f>IF(OR(G2078="",G2078="NOT ON LIST"),"",VLOOKUP(G2078,Students!$A:$C,3,FALSE)&amp;"")</f>
        <v/>
      </c>
    </row>
    <row r="2079">
      <c r="A2079" s="31" t="n"/>
      <c r="B2079" s="32" t="n"/>
      <c r="C2079" s="32" t="n"/>
      <c r="D2079" s="33" t="n"/>
      <c r="E2079" s="32" t="n"/>
      <c r="F2079" s="34">
        <f>IF(A2079="","",IFERROR(INT(A2079),"check date"))</f>
        <v/>
      </c>
      <c r="G2079" s="35">
        <f>IF(B2079="","",IFERROR(INDEX(Students!$A:$A,MATCH(TRIM(B2079),Students!$A:$A,0)),"NOT ON LIST"))</f>
        <v/>
      </c>
      <c r="H2079" s="35">
        <f>IF(OR(G2079="",G2079="NOT ON LIST"),"",VLOOKUP(G2079,Students!$A:$C,2,FALSE))</f>
        <v/>
      </c>
      <c r="I2079" s="35">
        <f>IF(OR(G2079="",G2079="NOT ON LIST"),"",VLOOKUP(G2079,Students!$A:$C,3,FALSE)&amp;"")</f>
        <v/>
      </c>
    </row>
    <row r="2080">
      <c r="A2080" s="31" t="n"/>
      <c r="B2080" s="32" t="n"/>
      <c r="C2080" s="32" t="n"/>
      <c r="D2080" s="33" t="n"/>
      <c r="E2080" s="32" t="n"/>
      <c r="F2080" s="34">
        <f>IF(A2080="","",IFERROR(INT(A2080),"check date"))</f>
        <v/>
      </c>
      <c r="G2080" s="35">
        <f>IF(B2080="","",IFERROR(INDEX(Students!$A:$A,MATCH(TRIM(B2080),Students!$A:$A,0)),"NOT ON LIST"))</f>
        <v/>
      </c>
      <c r="H2080" s="35">
        <f>IF(OR(G2080="",G2080="NOT ON LIST"),"",VLOOKUP(G2080,Students!$A:$C,2,FALSE))</f>
        <v/>
      </c>
      <c r="I2080" s="35">
        <f>IF(OR(G2080="",G2080="NOT ON LIST"),"",VLOOKUP(G2080,Students!$A:$C,3,FALSE)&amp;"")</f>
        <v/>
      </c>
    </row>
    <row r="2081">
      <c r="A2081" s="31" t="n"/>
      <c r="B2081" s="32" t="n"/>
      <c r="C2081" s="32" t="n"/>
      <c r="D2081" s="33" t="n"/>
      <c r="E2081" s="32" t="n"/>
      <c r="F2081" s="34">
        <f>IF(A2081="","",IFERROR(INT(A2081),"check date"))</f>
        <v/>
      </c>
      <c r="G2081" s="35">
        <f>IF(B2081="","",IFERROR(INDEX(Students!$A:$A,MATCH(TRIM(B2081),Students!$A:$A,0)),"NOT ON LIST"))</f>
        <v/>
      </c>
      <c r="H2081" s="35">
        <f>IF(OR(G2081="",G2081="NOT ON LIST"),"",VLOOKUP(G2081,Students!$A:$C,2,FALSE))</f>
        <v/>
      </c>
      <c r="I2081" s="35">
        <f>IF(OR(G2081="",G2081="NOT ON LIST"),"",VLOOKUP(G2081,Students!$A:$C,3,FALSE)&amp;"")</f>
        <v/>
      </c>
    </row>
    <row r="2082">
      <c r="A2082" s="31" t="n"/>
      <c r="B2082" s="32" t="n"/>
      <c r="C2082" s="32" t="n"/>
      <c r="D2082" s="33" t="n"/>
      <c r="E2082" s="32" t="n"/>
      <c r="F2082" s="34">
        <f>IF(A2082="","",IFERROR(INT(A2082),"check date"))</f>
        <v/>
      </c>
      <c r="G2082" s="35">
        <f>IF(B2082="","",IFERROR(INDEX(Students!$A:$A,MATCH(TRIM(B2082),Students!$A:$A,0)),"NOT ON LIST"))</f>
        <v/>
      </c>
      <c r="H2082" s="35">
        <f>IF(OR(G2082="",G2082="NOT ON LIST"),"",VLOOKUP(G2082,Students!$A:$C,2,FALSE))</f>
        <v/>
      </c>
      <c r="I2082" s="35">
        <f>IF(OR(G2082="",G2082="NOT ON LIST"),"",VLOOKUP(G2082,Students!$A:$C,3,FALSE)&amp;"")</f>
        <v/>
      </c>
    </row>
    <row r="2083">
      <c r="A2083" s="31" t="n"/>
      <c r="B2083" s="32" t="n"/>
      <c r="C2083" s="32" t="n"/>
      <c r="D2083" s="33" t="n"/>
      <c r="E2083" s="32" t="n"/>
      <c r="F2083" s="34">
        <f>IF(A2083="","",IFERROR(INT(A2083),"check date"))</f>
        <v/>
      </c>
      <c r="G2083" s="35">
        <f>IF(B2083="","",IFERROR(INDEX(Students!$A:$A,MATCH(TRIM(B2083),Students!$A:$A,0)),"NOT ON LIST"))</f>
        <v/>
      </c>
      <c r="H2083" s="35">
        <f>IF(OR(G2083="",G2083="NOT ON LIST"),"",VLOOKUP(G2083,Students!$A:$C,2,FALSE))</f>
        <v/>
      </c>
      <c r="I2083" s="35">
        <f>IF(OR(G2083="",G2083="NOT ON LIST"),"",VLOOKUP(G2083,Students!$A:$C,3,FALSE)&amp;"")</f>
        <v/>
      </c>
    </row>
    <row r="2084">
      <c r="A2084" s="31" t="n"/>
      <c r="B2084" s="32" t="n"/>
      <c r="C2084" s="32" t="n"/>
      <c r="D2084" s="33" t="n"/>
      <c r="E2084" s="32" t="n"/>
      <c r="F2084" s="34">
        <f>IF(A2084="","",IFERROR(INT(A2084),"check date"))</f>
        <v/>
      </c>
      <c r="G2084" s="35">
        <f>IF(B2084="","",IFERROR(INDEX(Students!$A:$A,MATCH(TRIM(B2084),Students!$A:$A,0)),"NOT ON LIST"))</f>
        <v/>
      </c>
      <c r="H2084" s="35">
        <f>IF(OR(G2084="",G2084="NOT ON LIST"),"",VLOOKUP(G2084,Students!$A:$C,2,FALSE))</f>
        <v/>
      </c>
      <c r="I2084" s="35">
        <f>IF(OR(G2084="",G2084="NOT ON LIST"),"",VLOOKUP(G2084,Students!$A:$C,3,FALSE)&amp;"")</f>
        <v/>
      </c>
    </row>
    <row r="2085">
      <c r="A2085" s="31" t="n"/>
      <c r="B2085" s="32" t="n"/>
      <c r="C2085" s="32" t="n"/>
      <c r="D2085" s="33" t="n"/>
      <c r="E2085" s="32" t="n"/>
      <c r="F2085" s="34">
        <f>IF(A2085="","",IFERROR(INT(A2085),"check date"))</f>
        <v/>
      </c>
      <c r="G2085" s="35">
        <f>IF(B2085="","",IFERROR(INDEX(Students!$A:$A,MATCH(TRIM(B2085),Students!$A:$A,0)),"NOT ON LIST"))</f>
        <v/>
      </c>
      <c r="H2085" s="35">
        <f>IF(OR(G2085="",G2085="NOT ON LIST"),"",VLOOKUP(G2085,Students!$A:$C,2,FALSE))</f>
        <v/>
      </c>
      <c r="I2085" s="35">
        <f>IF(OR(G2085="",G2085="NOT ON LIST"),"",VLOOKUP(G2085,Students!$A:$C,3,FALSE)&amp;"")</f>
        <v/>
      </c>
    </row>
    <row r="2086">
      <c r="A2086" s="31" t="n"/>
      <c r="B2086" s="32" t="n"/>
      <c r="C2086" s="32" t="n"/>
      <c r="D2086" s="33" t="n"/>
      <c r="E2086" s="32" t="n"/>
      <c r="F2086" s="34">
        <f>IF(A2086="","",IFERROR(INT(A2086),"check date"))</f>
        <v/>
      </c>
      <c r="G2086" s="35">
        <f>IF(B2086="","",IFERROR(INDEX(Students!$A:$A,MATCH(TRIM(B2086),Students!$A:$A,0)),"NOT ON LIST"))</f>
        <v/>
      </c>
      <c r="H2086" s="35">
        <f>IF(OR(G2086="",G2086="NOT ON LIST"),"",VLOOKUP(G2086,Students!$A:$C,2,FALSE))</f>
        <v/>
      </c>
      <c r="I2086" s="35">
        <f>IF(OR(G2086="",G2086="NOT ON LIST"),"",VLOOKUP(G2086,Students!$A:$C,3,FALSE)&amp;"")</f>
        <v/>
      </c>
    </row>
    <row r="2087">
      <c r="A2087" s="31" t="n"/>
      <c r="B2087" s="32" t="n"/>
      <c r="C2087" s="32" t="n"/>
      <c r="D2087" s="33" t="n"/>
      <c r="E2087" s="32" t="n"/>
      <c r="F2087" s="34">
        <f>IF(A2087="","",IFERROR(INT(A2087),"check date"))</f>
        <v/>
      </c>
      <c r="G2087" s="35">
        <f>IF(B2087="","",IFERROR(INDEX(Students!$A:$A,MATCH(TRIM(B2087),Students!$A:$A,0)),"NOT ON LIST"))</f>
        <v/>
      </c>
      <c r="H2087" s="35">
        <f>IF(OR(G2087="",G2087="NOT ON LIST"),"",VLOOKUP(G2087,Students!$A:$C,2,FALSE))</f>
        <v/>
      </c>
      <c r="I2087" s="35">
        <f>IF(OR(G2087="",G2087="NOT ON LIST"),"",VLOOKUP(G2087,Students!$A:$C,3,FALSE)&amp;"")</f>
        <v/>
      </c>
    </row>
    <row r="2088">
      <c r="A2088" s="31" t="n"/>
      <c r="B2088" s="32" t="n"/>
      <c r="C2088" s="32" t="n"/>
      <c r="D2088" s="33" t="n"/>
      <c r="E2088" s="32" t="n"/>
      <c r="F2088" s="34">
        <f>IF(A2088="","",IFERROR(INT(A2088),"check date"))</f>
        <v/>
      </c>
      <c r="G2088" s="35">
        <f>IF(B2088="","",IFERROR(INDEX(Students!$A:$A,MATCH(TRIM(B2088),Students!$A:$A,0)),"NOT ON LIST"))</f>
        <v/>
      </c>
      <c r="H2088" s="35">
        <f>IF(OR(G2088="",G2088="NOT ON LIST"),"",VLOOKUP(G2088,Students!$A:$C,2,FALSE))</f>
        <v/>
      </c>
      <c r="I2088" s="35">
        <f>IF(OR(G2088="",G2088="NOT ON LIST"),"",VLOOKUP(G2088,Students!$A:$C,3,FALSE)&amp;"")</f>
        <v/>
      </c>
    </row>
    <row r="2089">
      <c r="A2089" s="31" t="n"/>
      <c r="B2089" s="32" t="n"/>
      <c r="C2089" s="32" t="n"/>
      <c r="D2089" s="33" t="n"/>
      <c r="E2089" s="32" t="n"/>
      <c r="F2089" s="34">
        <f>IF(A2089="","",IFERROR(INT(A2089),"check date"))</f>
        <v/>
      </c>
      <c r="G2089" s="35">
        <f>IF(B2089="","",IFERROR(INDEX(Students!$A:$A,MATCH(TRIM(B2089),Students!$A:$A,0)),"NOT ON LIST"))</f>
        <v/>
      </c>
      <c r="H2089" s="35">
        <f>IF(OR(G2089="",G2089="NOT ON LIST"),"",VLOOKUP(G2089,Students!$A:$C,2,FALSE))</f>
        <v/>
      </c>
      <c r="I2089" s="35">
        <f>IF(OR(G2089="",G2089="NOT ON LIST"),"",VLOOKUP(G2089,Students!$A:$C,3,FALSE)&amp;"")</f>
        <v/>
      </c>
    </row>
    <row r="2090">
      <c r="A2090" s="31" t="n"/>
      <c r="B2090" s="32" t="n"/>
      <c r="C2090" s="32" t="n"/>
      <c r="D2090" s="33" t="n"/>
      <c r="E2090" s="32" t="n"/>
      <c r="F2090" s="34">
        <f>IF(A2090="","",IFERROR(INT(A2090),"check date"))</f>
        <v/>
      </c>
      <c r="G2090" s="35">
        <f>IF(B2090="","",IFERROR(INDEX(Students!$A:$A,MATCH(TRIM(B2090),Students!$A:$A,0)),"NOT ON LIST"))</f>
        <v/>
      </c>
      <c r="H2090" s="35">
        <f>IF(OR(G2090="",G2090="NOT ON LIST"),"",VLOOKUP(G2090,Students!$A:$C,2,FALSE))</f>
        <v/>
      </c>
      <c r="I2090" s="35">
        <f>IF(OR(G2090="",G2090="NOT ON LIST"),"",VLOOKUP(G2090,Students!$A:$C,3,FALSE)&amp;"")</f>
        <v/>
      </c>
    </row>
    <row r="2091">
      <c r="A2091" s="31" t="n"/>
      <c r="B2091" s="32" t="n"/>
      <c r="C2091" s="32" t="n"/>
      <c r="D2091" s="33" t="n"/>
      <c r="E2091" s="32" t="n"/>
      <c r="F2091" s="34">
        <f>IF(A2091="","",IFERROR(INT(A2091),"check date"))</f>
        <v/>
      </c>
      <c r="G2091" s="35">
        <f>IF(B2091="","",IFERROR(INDEX(Students!$A:$A,MATCH(TRIM(B2091),Students!$A:$A,0)),"NOT ON LIST"))</f>
        <v/>
      </c>
      <c r="H2091" s="35">
        <f>IF(OR(G2091="",G2091="NOT ON LIST"),"",VLOOKUP(G2091,Students!$A:$C,2,FALSE))</f>
        <v/>
      </c>
      <c r="I2091" s="35">
        <f>IF(OR(G2091="",G2091="NOT ON LIST"),"",VLOOKUP(G2091,Students!$A:$C,3,FALSE)&amp;"")</f>
        <v/>
      </c>
    </row>
    <row r="2092">
      <c r="A2092" s="31" t="n"/>
      <c r="B2092" s="32" t="n"/>
      <c r="C2092" s="32" t="n"/>
      <c r="D2092" s="33" t="n"/>
      <c r="E2092" s="32" t="n"/>
      <c r="F2092" s="34">
        <f>IF(A2092="","",IFERROR(INT(A2092),"check date"))</f>
        <v/>
      </c>
      <c r="G2092" s="35">
        <f>IF(B2092="","",IFERROR(INDEX(Students!$A:$A,MATCH(TRIM(B2092),Students!$A:$A,0)),"NOT ON LIST"))</f>
        <v/>
      </c>
      <c r="H2092" s="35">
        <f>IF(OR(G2092="",G2092="NOT ON LIST"),"",VLOOKUP(G2092,Students!$A:$C,2,FALSE))</f>
        <v/>
      </c>
      <c r="I2092" s="35">
        <f>IF(OR(G2092="",G2092="NOT ON LIST"),"",VLOOKUP(G2092,Students!$A:$C,3,FALSE)&amp;"")</f>
        <v/>
      </c>
    </row>
    <row r="2093">
      <c r="A2093" s="31" t="n"/>
      <c r="B2093" s="32" t="n"/>
      <c r="C2093" s="32" t="n"/>
      <c r="D2093" s="33" t="n"/>
      <c r="E2093" s="32" t="n"/>
      <c r="F2093" s="34">
        <f>IF(A2093="","",IFERROR(INT(A2093),"check date"))</f>
        <v/>
      </c>
      <c r="G2093" s="35">
        <f>IF(B2093="","",IFERROR(INDEX(Students!$A:$A,MATCH(TRIM(B2093),Students!$A:$A,0)),"NOT ON LIST"))</f>
        <v/>
      </c>
      <c r="H2093" s="35">
        <f>IF(OR(G2093="",G2093="NOT ON LIST"),"",VLOOKUP(G2093,Students!$A:$C,2,FALSE))</f>
        <v/>
      </c>
      <c r="I2093" s="35">
        <f>IF(OR(G2093="",G2093="NOT ON LIST"),"",VLOOKUP(G2093,Students!$A:$C,3,FALSE)&amp;"")</f>
        <v/>
      </c>
    </row>
    <row r="2094">
      <c r="A2094" s="31" t="n"/>
      <c r="B2094" s="32" t="n"/>
      <c r="C2094" s="32" t="n"/>
      <c r="D2094" s="33" t="n"/>
      <c r="E2094" s="32" t="n"/>
      <c r="F2094" s="34">
        <f>IF(A2094="","",IFERROR(INT(A2094),"check date"))</f>
        <v/>
      </c>
      <c r="G2094" s="35">
        <f>IF(B2094="","",IFERROR(INDEX(Students!$A:$A,MATCH(TRIM(B2094),Students!$A:$A,0)),"NOT ON LIST"))</f>
        <v/>
      </c>
      <c r="H2094" s="35">
        <f>IF(OR(G2094="",G2094="NOT ON LIST"),"",VLOOKUP(G2094,Students!$A:$C,2,FALSE))</f>
        <v/>
      </c>
      <c r="I2094" s="35">
        <f>IF(OR(G2094="",G2094="NOT ON LIST"),"",VLOOKUP(G2094,Students!$A:$C,3,FALSE)&amp;"")</f>
        <v/>
      </c>
    </row>
    <row r="2095">
      <c r="A2095" s="31" t="n"/>
      <c r="B2095" s="32" t="n"/>
      <c r="C2095" s="32" t="n"/>
      <c r="D2095" s="33" t="n"/>
      <c r="E2095" s="32" t="n"/>
      <c r="F2095" s="34">
        <f>IF(A2095="","",IFERROR(INT(A2095),"check date"))</f>
        <v/>
      </c>
      <c r="G2095" s="35">
        <f>IF(B2095="","",IFERROR(INDEX(Students!$A:$A,MATCH(TRIM(B2095),Students!$A:$A,0)),"NOT ON LIST"))</f>
        <v/>
      </c>
      <c r="H2095" s="35">
        <f>IF(OR(G2095="",G2095="NOT ON LIST"),"",VLOOKUP(G2095,Students!$A:$C,2,FALSE))</f>
        <v/>
      </c>
      <c r="I2095" s="35">
        <f>IF(OR(G2095="",G2095="NOT ON LIST"),"",VLOOKUP(G2095,Students!$A:$C,3,FALSE)&amp;"")</f>
        <v/>
      </c>
    </row>
    <row r="2096">
      <c r="A2096" s="31" t="n"/>
      <c r="B2096" s="32" t="n"/>
      <c r="C2096" s="32" t="n"/>
      <c r="D2096" s="33" t="n"/>
      <c r="E2096" s="32" t="n"/>
      <c r="F2096" s="34">
        <f>IF(A2096="","",IFERROR(INT(A2096),"check date"))</f>
        <v/>
      </c>
      <c r="G2096" s="35">
        <f>IF(B2096="","",IFERROR(INDEX(Students!$A:$A,MATCH(TRIM(B2096),Students!$A:$A,0)),"NOT ON LIST"))</f>
        <v/>
      </c>
      <c r="H2096" s="35">
        <f>IF(OR(G2096="",G2096="NOT ON LIST"),"",VLOOKUP(G2096,Students!$A:$C,2,FALSE))</f>
        <v/>
      </c>
      <c r="I2096" s="35">
        <f>IF(OR(G2096="",G2096="NOT ON LIST"),"",VLOOKUP(G2096,Students!$A:$C,3,FALSE)&amp;"")</f>
        <v/>
      </c>
    </row>
    <row r="2097">
      <c r="A2097" s="31" t="n"/>
      <c r="B2097" s="32" t="n"/>
      <c r="C2097" s="32" t="n"/>
      <c r="D2097" s="33" t="n"/>
      <c r="E2097" s="32" t="n"/>
      <c r="F2097" s="34">
        <f>IF(A2097="","",IFERROR(INT(A2097),"check date"))</f>
        <v/>
      </c>
      <c r="G2097" s="35">
        <f>IF(B2097="","",IFERROR(INDEX(Students!$A:$A,MATCH(TRIM(B2097),Students!$A:$A,0)),"NOT ON LIST"))</f>
        <v/>
      </c>
      <c r="H2097" s="35">
        <f>IF(OR(G2097="",G2097="NOT ON LIST"),"",VLOOKUP(G2097,Students!$A:$C,2,FALSE))</f>
        <v/>
      </c>
      <c r="I2097" s="35">
        <f>IF(OR(G2097="",G2097="NOT ON LIST"),"",VLOOKUP(G2097,Students!$A:$C,3,FALSE)&amp;"")</f>
        <v/>
      </c>
    </row>
    <row r="2098">
      <c r="A2098" s="31" t="n"/>
      <c r="B2098" s="32" t="n"/>
      <c r="C2098" s="32" t="n"/>
      <c r="D2098" s="33" t="n"/>
      <c r="E2098" s="32" t="n"/>
      <c r="F2098" s="34">
        <f>IF(A2098="","",IFERROR(INT(A2098),"check date"))</f>
        <v/>
      </c>
      <c r="G2098" s="35">
        <f>IF(B2098="","",IFERROR(INDEX(Students!$A:$A,MATCH(TRIM(B2098),Students!$A:$A,0)),"NOT ON LIST"))</f>
        <v/>
      </c>
      <c r="H2098" s="35">
        <f>IF(OR(G2098="",G2098="NOT ON LIST"),"",VLOOKUP(G2098,Students!$A:$C,2,FALSE))</f>
        <v/>
      </c>
      <c r="I2098" s="35">
        <f>IF(OR(G2098="",G2098="NOT ON LIST"),"",VLOOKUP(G2098,Students!$A:$C,3,FALSE)&amp;"")</f>
        <v/>
      </c>
    </row>
    <row r="2099">
      <c r="A2099" s="31" t="n"/>
      <c r="B2099" s="32" t="n"/>
      <c r="C2099" s="32" t="n"/>
      <c r="D2099" s="33" t="n"/>
      <c r="E2099" s="32" t="n"/>
      <c r="F2099" s="34">
        <f>IF(A2099="","",IFERROR(INT(A2099),"check date"))</f>
        <v/>
      </c>
      <c r="G2099" s="35">
        <f>IF(B2099="","",IFERROR(INDEX(Students!$A:$A,MATCH(TRIM(B2099),Students!$A:$A,0)),"NOT ON LIST"))</f>
        <v/>
      </c>
      <c r="H2099" s="35">
        <f>IF(OR(G2099="",G2099="NOT ON LIST"),"",VLOOKUP(G2099,Students!$A:$C,2,FALSE))</f>
        <v/>
      </c>
      <c r="I2099" s="35">
        <f>IF(OR(G2099="",G2099="NOT ON LIST"),"",VLOOKUP(G2099,Students!$A:$C,3,FALSE)&amp;"")</f>
        <v/>
      </c>
    </row>
    <row r="2100">
      <c r="A2100" s="31" t="n"/>
      <c r="B2100" s="32" t="n"/>
      <c r="C2100" s="32" t="n"/>
      <c r="D2100" s="33" t="n"/>
      <c r="E2100" s="32" t="n"/>
      <c r="F2100" s="34">
        <f>IF(A2100="","",IFERROR(INT(A2100),"check date"))</f>
        <v/>
      </c>
      <c r="G2100" s="35">
        <f>IF(B2100="","",IFERROR(INDEX(Students!$A:$A,MATCH(TRIM(B2100),Students!$A:$A,0)),"NOT ON LIST"))</f>
        <v/>
      </c>
      <c r="H2100" s="35">
        <f>IF(OR(G2100="",G2100="NOT ON LIST"),"",VLOOKUP(G2100,Students!$A:$C,2,FALSE))</f>
        <v/>
      </c>
      <c r="I2100" s="35">
        <f>IF(OR(G2100="",G2100="NOT ON LIST"),"",VLOOKUP(G2100,Students!$A:$C,3,FALSE)&amp;"")</f>
        <v/>
      </c>
    </row>
    <row r="2101">
      <c r="A2101" s="31" t="n"/>
      <c r="B2101" s="32" t="n"/>
      <c r="C2101" s="32" t="n"/>
      <c r="D2101" s="33" t="n"/>
      <c r="E2101" s="32" t="n"/>
      <c r="F2101" s="34">
        <f>IF(A2101="","",IFERROR(INT(A2101),"check date"))</f>
        <v/>
      </c>
      <c r="G2101" s="35">
        <f>IF(B2101="","",IFERROR(INDEX(Students!$A:$A,MATCH(TRIM(B2101),Students!$A:$A,0)),"NOT ON LIST"))</f>
        <v/>
      </c>
      <c r="H2101" s="35">
        <f>IF(OR(G2101="",G2101="NOT ON LIST"),"",VLOOKUP(G2101,Students!$A:$C,2,FALSE))</f>
        <v/>
      </c>
      <c r="I2101" s="35">
        <f>IF(OR(G2101="",G2101="NOT ON LIST"),"",VLOOKUP(G2101,Students!$A:$C,3,FALSE)&amp;"")</f>
        <v/>
      </c>
    </row>
    <row r="2102">
      <c r="A2102" s="31" t="n"/>
      <c r="B2102" s="32" t="n"/>
      <c r="C2102" s="32" t="n"/>
      <c r="D2102" s="33" t="n"/>
      <c r="E2102" s="32" t="n"/>
      <c r="F2102" s="34">
        <f>IF(A2102="","",IFERROR(INT(A2102),"check date"))</f>
        <v/>
      </c>
      <c r="G2102" s="35">
        <f>IF(B2102="","",IFERROR(INDEX(Students!$A:$A,MATCH(TRIM(B2102),Students!$A:$A,0)),"NOT ON LIST"))</f>
        <v/>
      </c>
      <c r="H2102" s="35">
        <f>IF(OR(G2102="",G2102="NOT ON LIST"),"",VLOOKUP(G2102,Students!$A:$C,2,FALSE))</f>
        <v/>
      </c>
      <c r="I2102" s="35">
        <f>IF(OR(G2102="",G2102="NOT ON LIST"),"",VLOOKUP(G2102,Students!$A:$C,3,FALSE)&amp;"")</f>
        <v/>
      </c>
    </row>
    <row r="2103">
      <c r="A2103" s="31" t="n"/>
      <c r="B2103" s="32" t="n"/>
      <c r="C2103" s="32" t="n"/>
      <c r="D2103" s="33" t="n"/>
      <c r="E2103" s="32" t="n"/>
      <c r="F2103" s="34">
        <f>IF(A2103="","",IFERROR(INT(A2103),"check date"))</f>
        <v/>
      </c>
      <c r="G2103" s="35">
        <f>IF(B2103="","",IFERROR(INDEX(Students!$A:$A,MATCH(TRIM(B2103),Students!$A:$A,0)),"NOT ON LIST"))</f>
        <v/>
      </c>
      <c r="H2103" s="35">
        <f>IF(OR(G2103="",G2103="NOT ON LIST"),"",VLOOKUP(G2103,Students!$A:$C,2,FALSE))</f>
        <v/>
      </c>
      <c r="I2103" s="35">
        <f>IF(OR(G2103="",G2103="NOT ON LIST"),"",VLOOKUP(G2103,Students!$A:$C,3,FALSE)&amp;"")</f>
        <v/>
      </c>
    </row>
    <row r="2104">
      <c r="A2104" s="31" t="n"/>
      <c r="B2104" s="32" t="n"/>
      <c r="C2104" s="32" t="n"/>
      <c r="D2104" s="33" t="n"/>
      <c r="E2104" s="32" t="n"/>
      <c r="F2104" s="34">
        <f>IF(A2104="","",IFERROR(INT(A2104),"check date"))</f>
        <v/>
      </c>
      <c r="G2104" s="35">
        <f>IF(B2104="","",IFERROR(INDEX(Students!$A:$A,MATCH(TRIM(B2104),Students!$A:$A,0)),"NOT ON LIST"))</f>
        <v/>
      </c>
      <c r="H2104" s="35">
        <f>IF(OR(G2104="",G2104="NOT ON LIST"),"",VLOOKUP(G2104,Students!$A:$C,2,FALSE))</f>
        <v/>
      </c>
      <c r="I2104" s="35">
        <f>IF(OR(G2104="",G2104="NOT ON LIST"),"",VLOOKUP(G2104,Students!$A:$C,3,FALSE)&amp;"")</f>
        <v/>
      </c>
    </row>
    <row r="2105">
      <c r="A2105" s="31" t="n"/>
      <c r="B2105" s="32" t="n"/>
      <c r="C2105" s="32" t="n"/>
      <c r="D2105" s="33" t="n"/>
      <c r="E2105" s="32" t="n"/>
      <c r="F2105" s="34">
        <f>IF(A2105="","",IFERROR(INT(A2105),"check date"))</f>
        <v/>
      </c>
      <c r="G2105" s="35">
        <f>IF(B2105="","",IFERROR(INDEX(Students!$A:$A,MATCH(TRIM(B2105),Students!$A:$A,0)),"NOT ON LIST"))</f>
        <v/>
      </c>
      <c r="H2105" s="35">
        <f>IF(OR(G2105="",G2105="NOT ON LIST"),"",VLOOKUP(G2105,Students!$A:$C,2,FALSE))</f>
        <v/>
      </c>
      <c r="I2105" s="35">
        <f>IF(OR(G2105="",G2105="NOT ON LIST"),"",VLOOKUP(G2105,Students!$A:$C,3,FALSE)&amp;"")</f>
        <v/>
      </c>
    </row>
    <row r="2106">
      <c r="A2106" s="31" t="n"/>
      <c r="B2106" s="32" t="n"/>
      <c r="C2106" s="32" t="n"/>
      <c r="D2106" s="33" t="n"/>
      <c r="E2106" s="32" t="n"/>
      <c r="F2106" s="34">
        <f>IF(A2106="","",IFERROR(INT(A2106),"check date"))</f>
        <v/>
      </c>
      <c r="G2106" s="35">
        <f>IF(B2106="","",IFERROR(INDEX(Students!$A:$A,MATCH(TRIM(B2106),Students!$A:$A,0)),"NOT ON LIST"))</f>
        <v/>
      </c>
      <c r="H2106" s="35">
        <f>IF(OR(G2106="",G2106="NOT ON LIST"),"",VLOOKUP(G2106,Students!$A:$C,2,FALSE))</f>
        <v/>
      </c>
      <c r="I2106" s="35">
        <f>IF(OR(G2106="",G2106="NOT ON LIST"),"",VLOOKUP(G2106,Students!$A:$C,3,FALSE)&amp;"")</f>
        <v/>
      </c>
    </row>
    <row r="2107">
      <c r="A2107" s="31" t="n"/>
      <c r="B2107" s="32" t="n"/>
      <c r="C2107" s="32" t="n"/>
      <c r="D2107" s="33" t="n"/>
      <c r="E2107" s="32" t="n"/>
      <c r="F2107" s="34">
        <f>IF(A2107="","",IFERROR(INT(A2107),"check date"))</f>
        <v/>
      </c>
      <c r="G2107" s="35">
        <f>IF(B2107="","",IFERROR(INDEX(Students!$A:$A,MATCH(TRIM(B2107),Students!$A:$A,0)),"NOT ON LIST"))</f>
        <v/>
      </c>
      <c r="H2107" s="35">
        <f>IF(OR(G2107="",G2107="NOT ON LIST"),"",VLOOKUP(G2107,Students!$A:$C,2,FALSE))</f>
        <v/>
      </c>
      <c r="I2107" s="35">
        <f>IF(OR(G2107="",G2107="NOT ON LIST"),"",VLOOKUP(G2107,Students!$A:$C,3,FALSE)&amp;"")</f>
        <v/>
      </c>
    </row>
    <row r="2108">
      <c r="A2108" s="31" t="n"/>
      <c r="B2108" s="32" t="n"/>
      <c r="C2108" s="32" t="n"/>
      <c r="D2108" s="33" t="n"/>
      <c r="E2108" s="32" t="n"/>
      <c r="F2108" s="34">
        <f>IF(A2108="","",IFERROR(INT(A2108),"check date"))</f>
        <v/>
      </c>
      <c r="G2108" s="35">
        <f>IF(B2108="","",IFERROR(INDEX(Students!$A:$A,MATCH(TRIM(B2108),Students!$A:$A,0)),"NOT ON LIST"))</f>
        <v/>
      </c>
      <c r="H2108" s="35">
        <f>IF(OR(G2108="",G2108="NOT ON LIST"),"",VLOOKUP(G2108,Students!$A:$C,2,FALSE))</f>
        <v/>
      </c>
      <c r="I2108" s="35">
        <f>IF(OR(G2108="",G2108="NOT ON LIST"),"",VLOOKUP(G2108,Students!$A:$C,3,FALSE)&amp;"")</f>
        <v/>
      </c>
    </row>
    <row r="2109">
      <c r="A2109" s="31" t="n"/>
      <c r="B2109" s="32" t="n"/>
      <c r="C2109" s="32" t="n"/>
      <c r="D2109" s="33" t="n"/>
      <c r="E2109" s="32" t="n"/>
      <c r="F2109" s="34">
        <f>IF(A2109="","",IFERROR(INT(A2109),"check date"))</f>
        <v/>
      </c>
      <c r="G2109" s="35">
        <f>IF(B2109="","",IFERROR(INDEX(Students!$A:$A,MATCH(TRIM(B2109),Students!$A:$A,0)),"NOT ON LIST"))</f>
        <v/>
      </c>
      <c r="H2109" s="35">
        <f>IF(OR(G2109="",G2109="NOT ON LIST"),"",VLOOKUP(G2109,Students!$A:$C,2,FALSE))</f>
        <v/>
      </c>
      <c r="I2109" s="35">
        <f>IF(OR(G2109="",G2109="NOT ON LIST"),"",VLOOKUP(G2109,Students!$A:$C,3,FALSE)&amp;"")</f>
        <v/>
      </c>
    </row>
    <row r="2110">
      <c r="A2110" s="31" t="n"/>
      <c r="B2110" s="32" t="n"/>
      <c r="C2110" s="32" t="n"/>
      <c r="D2110" s="33" t="n"/>
      <c r="E2110" s="32" t="n"/>
      <c r="F2110" s="34">
        <f>IF(A2110="","",IFERROR(INT(A2110),"check date"))</f>
        <v/>
      </c>
      <c r="G2110" s="35">
        <f>IF(B2110="","",IFERROR(INDEX(Students!$A:$A,MATCH(TRIM(B2110),Students!$A:$A,0)),"NOT ON LIST"))</f>
        <v/>
      </c>
      <c r="H2110" s="35">
        <f>IF(OR(G2110="",G2110="NOT ON LIST"),"",VLOOKUP(G2110,Students!$A:$C,2,FALSE))</f>
        <v/>
      </c>
      <c r="I2110" s="35">
        <f>IF(OR(G2110="",G2110="NOT ON LIST"),"",VLOOKUP(G2110,Students!$A:$C,3,FALSE)&amp;"")</f>
        <v/>
      </c>
    </row>
    <row r="2111">
      <c r="A2111" s="31" t="n"/>
      <c r="B2111" s="32" t="n"/>
      <c r="C2111" s="32" t="n"/>
      <c r="D2111" s="33" t="n"/>
      <c r="E2111" s="32" t="n"/>
      <c r="F2111" s="34">
        <f>IF(A2111="","",IFERROR(INT(A2111),"check date"))</f>
        <v/>
      </c>
      <c r="G2111" s="35">
        <f>IF(B2111="","",IFERROR(INDEX(Students!$A:$A,MATCH(TRIM(B2111),Students!$A:$A,0)),"NOT ON LIST"))</f>
        <v/>
      </c>
      <c r="H2111" s="35">
        <f>IF(OR(G2111="",G2111="NOT ON LIST"),"",VLOOKUP(G2111,Students!$A:$C,2,FALSE))</f>
        <v/>
      </c>
      <c r="I2111" s="35">
        <f>IF(OR(G2111="",G2111="NOT ON LIST"),"",VLOOKUP(G2111,Students!$A:$C,3,FALSE)&amp;"")</f>
        <v/>
      </c>
    </row>
    <row r="2112">
      <c r="A2112" s="31" t="n"/>
      <c r="B2112" s="32" t="n"/>
      <c r="C2112" s="32" t="n"/>
      <c r="D2112" s="33" t="n"/>
      <c r="E2112" s="32" t="n"/>
      <c r="F2112" s="34">
        <f>IF(A2112="","",IFERROR(INT(A2112),"check date"))</f>
        <v/>
      </c>
      <c r="G2112" s="35">
        <f>IF(B2112="","",IFERROR(INDEX(Students!$A:$A,MATCH(TRIM(B2112),Students!$A:$A,0)),"NOT ON LIST"))</f>
        <v/>
      </c>
      <c r="H2112" s="35">
        <f>IF(OR(G2112="",G2112="NOT ON LIST"),"",VLOOKUP(G2112,Students!$A:$C,2,FALSE))</f>
        <v/>
      </c>
      <c r="I2112" s="35">
        <f>IF(OR(G2112="",G2112="NOT ON LIST"),"",VLOOKUP(G2112,Students!$A:$C,3,FALSE)&amp;"")</f>
        <v/>
      </c>
    </row>
    <row r="2113">
      <c r="A2113" s="31" t="n"/>
      <c r="B2113" s="32" t="n"/>
      <c r="C2113" s="32" t="n"/>
      <c r="D2113" s="33" t="n"/>
      <c r="E2113" s="32" t="n"/>
      <c r="F2113" s="34">
        <f>IF(A2113="","",IFERROR(INT(A2113),"check date"))</f>
        <v/>
      </c>
      <c r="G2113" s="35">
        <f>IF(B2113="","",IFERROR(INDEX(Students!$A:$A,MATCH(TRIM(B2113),Students!$A:$A,0)),"NOT ON LIST"))</f>
        <v/>
      </c>
      <c r="H2113" s="35">
        <f>IF(OR(G2113="",G2113="NOT ON LIST"),"",VLOOKUP(G2113,Students!$A:$C,2,FALSE))</f>
        <v/>
      </c>
      <c r="I2113" s="35">
        <f>IF(OR(G2113="",G2113="NOT ON LIST"),"",VLOOKUP(G2113,Students!$A:$C,3,FALSE)&amp;"")</f>
        <v/>
      </c>
    </row>
    <row r="2114">
      <c r="A2114" s="31" t="n"/>
      <c r="B2114" s="32" t="n"/>
      <c r="C2114" s="32" t="n"/>
      <c r="D2114" s="33" t="n"/>
      <c r="E2114" s="32" t="n"/>
      <c r="F2114" s="34">
        <f>IF(A2114="","",IFERROR(INT(A2114),"check date"))</f>
        <v/>
      </c>
      <c r="G2114" s="35">
        <f>IF(B2114="","",IFERROR(INDEX(Students!$A:$A,MATCH(TRIM(B2114),Students!$A:$A,0)),"NOT ON LIST"))</f>
        <v/>
      </c>
      <c r="H2114" s="35">
        <f>IF(OR(G2114="",G2114="NOT ON LIST"),"",VLOOKUP(G2114,Students!$A:$C,2,FALSE))</f>
        <v/>
      </c>
      <c r="I2114" s="35">
        <f>IF(OR(G2114="",G2114="NOT ON LIST"),"",VLOOKUP(G2114,Students!$A:$C,3,FALSE)&amp;"")</f>
        <v/>
      </c>
    </row>
    <row r="2115">
      <c r="A2115" s="31" t="n"/>
      <c r="B2115" s="32" t="n"/>
      <c r="C2115" s="32" t="n"/>
      <c r="D2115" s="33" t="n"/>
      <c r="E2115" s="32" t="n"/>
      <c r="F2115" s="34">
        <f>IF(A2115="","",IFERROR(INT(A2115),"check date"))</f>
        <v/>
      </c>
      <c r="G2115" s="35">
        <f>IF(B2115="","",IFERROR(INDEX(Students!$A:$A,MATCH(TRIM(B2115),Students!$A:$A,0)),"NOT ON LIST"))</f>
        <v/>
      </c>
      <c r="H2115" s="35">
        <f>IF(OR(G2115="",G2115="NOT ON LIST"),"",VLOOKUP(G2115,Students!$A:$C,2,FALSE))</f>
        <v/>
      </c>
      <c r="I2115" s="35">
        <f>IF(OR(G2115="",G2115="NOT ON LIST"),"",VLOOKUP(G2115,Students!$A:$C,3,FALSE)&amp;"")</f>
        <v/>
      </c>
    </row>
    <row r="2116">
      <c r="A2116" s="31" t="n"/>
      <c r="B2116" s="32" t="n"/>
      <c r="C2116" s="32" t="n"/>
      <c r="D2116" s="33" t="n"/>
      <c r="E2116" s="32" t="n"/>
      <c r="F2116" s="34">
        <f>IF(A2116="","",IFERROR(INT(A2116),"check date"))</f>
        <v/>
      </c>
      <c r="G2116" s="35">
        <f>IF(B2116="","",IFERROR(INDEX(Students!$A:$A,MATCH(TRIM(B2116),Students!$A:$A,0)),"NOT ON LIST"))</f>
        <v/>
      </c>
      <c r="H2116" s="35">
        <f>IF(OR(G2116="",G2116="NOT ON LIST"),"",VLOOKUP(G2116,Students!$A:$C,2,FALSE))</f>
        <v/>
      </c>
      <c r="I2116" s="35">
        <f>IF(OR(G2116="",G2116="NOT ON LIST"),"",VLOOKUP(G2116,Students!$A:$C,3,FALSE)&amp;"")</f>
        <v/>
      </c>
    </row>
    <row r="2117">
      <c r="A2117" s="31" t="n"/>
      <c r="B2117" s="32" t="n"/>
      <c r="C2117" s="32" t="n"/>
      <c r="D2117" s="33" t="n"/>
      <c r="E2117" s="32" t="n"/>
      <c r="F2117" s="34">
        <f>IF(A2117="","",IFERROR(INT(A2117),"check date"))</f>
        <v/>
      </c>
      <c r="G2117" s="35">
        <f>IF(B2117="","",IFERROR(INDEX(Students!$A:$A,MATCH(TRIM(B2117),Students!$A:$A,0)),"NOT ON LIST"))</f>
        <v/>
      </c>
      <c r="H2117" s="35">
        <f>IF(OR(G2117="",G2117="NOT ON LIST"),"",VLOOKUP(G2117,Students!$A:$C,2,FALSE))</f>
        <v/>
      </c>
      <c r="I2117" s="35">
        <f>IF(OR(G2117="",G2117="NOT ON LIST"),"",VLOOKUP(G2117,Students!$A:$C,3,FALSE)&amp;"")</f>
        <v/>
      </c>
    </row>
    <row r="2118">
      <c r="A2118" s="31" t="n"/>
      <c r="B2118" s="32" t="n"/>
      <c r="C2118" s="32" t="n"/>
      <c r="D2118" s="33" t="n"/>
      <c r="E2118" s="32" t="n"/>
      <c r="F2118" s="34">
        <f>IF(A2118="","",IFERROR(INT(A2118),"check date"))</f>
        <v/>
      </c>
      <c r="G2118" s="35">
        <f>IF(B2118="","",IFERROR(INDEX(Students!$A:$A,MATCH(TRIM(B2118),Students!$A:$A,0)),"NOT ON LIST"))</f>
        <v/>
      </c>
      <c r="H2118" s="35">
        <f>IF(OR(G2118="",G2118="NOT ON LIST"),"",VLOOKUP(G2118,Students!$A:$C,2,FALSE))</f>
        <v/>
      </c>
      <c r="I2118" s="35">
        <f>IF(OR(G2118="",G2118="NOT ON LIST"),"",VLOOKUP(G2118,Students!$A:$C,3,FALSE)&amp;"")</f>
        <v/>
      </c>
    </row>
    <row r="2119">
      <c r="A2119" s="31" t="n"/>
      <c r="B2119" s="32" t="n"/>
      <c r="C2119" s="32" t="n"/>
      <c r="D2119" s="33" t="n"/>
      <c r="E2119" s="32" t="n"/>
      <c r="F2119" s="34">
        <f>IF(A2119="","",IFERROR(INT(A2119),"check date"))</f>
        <v/>
      </c>
      <c r="G2119" s="35">
        <f>IF(B2119="","",IFERROR(INDEX(Students!$A:$A,MATCH(TRIM(B2119),Students!$A:$A,0)),"NOT ON LIST"))</f>
        <v/>
      </c>
      <c r="H2119" s="35">
        <f>IF(OR(G2119="",G2119="NOT ON LIST"),"",VLOOKUP(G2119,Students!$A:$C,2,FALSE))</f>
        <v/>
      </c>
      <c r="I2119" s="35">
        <f>IF(OR(G2119="",G2119="NOT ON LIST"),"",VLOOKUP(G2119,Students!$A:$C,3,FALSE)&amp;"")</f>
        <v/>
      </c>
    </row>
    <row r="2120">
      <c r="A2120" s="31" t="n"/>
      <c r="B2120" s="32" t="n"/>
      <c r="C2120" s="32" t="n"/>
      <c r="D2120" s="33" t="n"/>
      <c r="E2120" s="32" t="n"/>
      <c r="F2120" s="34">
        <f>IF(A2120="","",IFERROR(INT(A2120),"check date"))</f>
        <v/>
      </c>
      <c r="G2120" s="35">
        <f>IF(B2120="","",IFERROR(INDEX(Students!$A:$A,MATCH(TRIM(B2120),Students!$A:$A,0)),"NOT ON LIST"))</f>
        <v/>
      </c>
      <c r="H2120" s="35">
        <f>IF(OR(G2120="",G2120="NOT ON LIST"),"",VLOOKUP(G2120,Students!$A:$C,2,FALSE))</f>
        <v/>
      </c>
      <c r="I2120" s="35">
        <f>IF(OR(G2120="",G2120="NOT ON LIST"),"",VLOOKUP(G2120,Students!$A:$C,3,FALSE)&amp;"")</f>
        <v/>
      </c>
    </row>
    <row r="2121">
      <c r="A2121" s="31" t="n"/>
      <c r="B2121" s="32" t="n"/>
      <c r="C2121" s="32" t="n"/>
      <c r="D2121" s="33" t="n"/>
      <c r="E2121" s="32" t="n"/>
      <c r="F2121" s="34">
        <f>IF(A2121="","",IFERROR(INT(A2121),"check date"))</f>
        <v/>
      </c>
      <c r="G2121" s="35">
        <f>IF(B2121="","",IFERROR(INDEX(Students!$A:$A,MATCH(TRIM(B2121),Students!$A:$A,0)),"NOT ON LIST"))</f>
        <v/>
      </c>
      <c r="H2121" s="35">
        <f>IF(OR(G2121="",G2121="NOT ON LIST"),"",VLOOKUP(G2121,Students!$A:$C,2,FALSE))</f>
        <v/>
      </c>
      <c r="I2121" s="35">
        <f>IF(OR(G2121="",G2121="NOT ON LIST"),"",VLOOKUP(G2121,Students!$A:$C,3,FALSE)&amp;"")</f>
        <v/>
      </c>
    </row>
    <row r="2122">
      <c r="A2122" s="31" t="n"/>
      <c r="B2122" s="32" t="n"/>
      <c r="C2122" s="32" t="n"/>
      <c r="D2122" s="33" t="n"/>
      <c r="E2122" s="32" t="n"/>
      <c r="F2122" s="34">
        <f>IF(A2122="","",IFERROR(INT(A2122),"check date"))</f>
        <v/>
      </c>
      <c r="G2122" s="35">
        <f>IF(B2122="","",IFERROR(INDEX(Students!$A:$A,MATCH(TRIM(B2122),Students!$A:$A,0)),"NOT ON LIST"))</f>
        <v/>
      </c>
      <c r="H2122" s="35">
        <f>IF(OR(G2122="",G2122="NOT ON LIST"),"",VLOOKUP(G2122,Students!$A:$C,2,FALSE))</f>
        <v/>
      </c>
      <c r="I2122" s="35">
        <f>IF(OR(G2122="",G2122="NOT ON LIST"),"",VLOOKUP(G2122,Students!$A:$C,3,FALSE)&amp;"")</f>
        <v/>
      </c>
    </row>
    <row r="2123">
      <c r="A2123" s="31" t="n"/>
      <c r="B2123" s="32" t="n"/>
      <c r="C2123" s="32" t="n"/>
      <c r="D2123" s="33" t="n"/>
      <c r="E2123" s="32" t="n"/>
      <c r="F2123" s="34">
        <f>IF(A2123="","",IFERROR(INT(A2123),"check date"))</f>
        <v/>
      </c>
      <c r="G2123" s="35">
        <f>IF(B2123="","",IFERROR(INDEX(Students!$A:$A,MATCH(TRIM(B2123),Students!$A:$A,0)),"NOT ON LIST"))</f>
        <v/>
      </c>
      <c r="H2123" s="35">
        <f>IF(OR(G2123="",G2123="NOT ON LIST"),"",VLOOKUP(G2123,Students!$A:$C,2,FALSE))</f>
        <v/>
      </c>
      <c r="I2123" s="35">
        <f>IF(OR(G2123="",G2123="NOT ON LIST"),"",VLOOKUP(G2123,Students!$A:$C,3,FALSE)&amp;"")</f>
        <v/>
      </c>
    </row>
    <row r="2124">
      <c r="A2124" s="31" t="n"/>
      <c r="B2124" s="32" t="n"/>
      <c r="C2124" s="32" t="n"/>
      <c r="D2124" s="33" t="n"/>
      <c r="E2124" s="32" t="n"/>
      <c r="F2124" s="34">
        <f>IF(A2124="","",IFERROR(INT(A2124),"check date"))</f>
        <v/>
      </c>
      <c r="G2124" s="35">
        <f>IF(B2124="","",IFERROR(INDEX(Students!$A:$A,MATCH(TRIM(B2124),Students!$A:$A,0)),"NOT ON LIST"))</f>
        <v/>
      </c>
      <c r="H2124" s="35">
        <f>IF(OR(G2124="",G2124="NOT ON LIST"),"",VLOOKUP(G2124,Students!$A:$C,2,FALSE))</f>
        <v/>
      </c>
      <c r="I2124" s="35">
        <f>IF(OR(G2124="",G2124="NOT ON LIST"),"",VLOOKUP(G2124,Students!$A:$C,3,FALSE)&amp;"")</f>
        <v/>
      </c>
    </row>
    <row r="2125">
      <c r="A2125" s="31" t="n"/>
      <c r="B2125" s="32" t="n"/>
      <c r="C2125" s="32" t="n"/>
      <c r="D2125" s="33" t="n"/>
      <c r="E2125" s="32" t="n"/>
      <c r="F2125" s="34">
        <f>IF(A2125="","",IFERROR(INT(A2125),"check date"))</f>
        <v/>
      </c>
      <c r="G2125" s="35">
        <f>IF(B2125="","",IFERROR(INDEX(Students!$A:$A,MATCH(TRIM(B2125),Students!$A:$A,0)),"NOT ON LIST"))</f>
        <v/>
      </c>
      <c r="H2125" s="35">
        <f>IF(OR(G2125="",G2125="NOT ON LIST"),"",VLOOKUP(G2125,Students!$A:$C,2,FALSE))</f>
        <v/>
      </c>
      <c r="I2125" s="35">
        <f>IF(OR(G2125="",G2125="NOT ON LIST"),"",VLOOKUP(G2125,Students!$A:$C,3,FALSE)&amp;"")</f>
        <v/>
      </c>
    </row>
    <row r="2126">
      <c r="A2126" s="31" t="n"/>
      <c r="B2126" s="32" t="n"/>
      <c r="C2126" s="32" t="n"/>
      <c r="D2126" s="33" t="n"/>
      <c r="E2126" s="32" t="n"/>
      <c r="F2126" s="34">
        <f>IF(A2126="","",IFERROR(INT(A2126),"check date"))</f>
        <v/>
      </c>
      <c r="G2126" s="35">
        <f>IF(B2126="","",IFERROR(INDEX(Students!$A:$A,MATCH(TRIM(B2126),Students!$A:$A,0)),"NOT ON LIST"))</f>
        <v/>
      </c>
      <c r="H2126" s="35">
        <f>IF(OR(G2126="",G2126="NOT ON LIST"),"",VLOOKUP(G2126,Students!$A:$C,2,FALSE))</f>
        <v/>
      </c>
      <c r="I2126" s="35">
        <f>IF(OR(G2126="",G2126="NOT ON LIST"),"",VLOOKUP(G2126,Students!$A:$C,3,FALSE)&amp;"")</f>
        <v/>
      </c>
    </row>
    <row r="2127">
      <c r="A2127" s="31" t="n"/>
      <c r="B2127" s="32" t="n"/>
      <c r="C2127" s="32" t="n"/>
      <c r="D2127" s="33" t="n"/>
      <c r="E2127" s="32" t="n"/>
      <c r="F2127" s="34">
        <f>IF(A2127="","",IFERROR(INT(A2127),"check date"))</f>
        <v/>
      </c>
      <c r="G2127" s="35">
        <f>IF(B2127="","",IFERROR(INDEX(Students!$A:$A,MATCH(TRIM(B2127),Students!$A:$A,0)),"NOT ON LIST"))</f>
        <v/>
      </c>
      <c r="H2127" s="35">
        <f>IF(OR(G2127="",G2127="NOT ON LIST"),"",VLOOKUP(G2127,Students!$A:$C,2,FALSE))</f>
        <v/>
      </c>
      <c r="I2127" s="35">
        <f>IF(OR(G2127="",G2127="NOT ON LIST"),"",VLOOKUP(G2127,Students!$A:$C,3,FALSE)&amp;"")</f>
        <v/>
      </c>
    </row>
    <row r="2128">
      <c r="A2128" s="31" t="n"/>
      <c r="B2128" s="32" t="n"/>
      <c r="C2128" s="32" t="n"/>
      <c r="D2128" s="33" t="n"/>
      <c r="E2128" s="32" t="n"/>
      <c r="F2128" s="34">
        <f>IF(A2128="","",IFERROR(INT(A2128),"check date"))</f>
        <v/>
      </c>
      <c r="G2128" s="35">
        <f>IF(B2128="","",IFERROR(INDEX(Students!$A:$A,MATCH(TRIM(B2128),Students!$A:$A,0)),"NOT ON LIST"))</f>
        <v/>
      </c>
      <c r="H2128" s="35">
        <f>IF(OR(G2128="",G2128="NOT ON LIST"),"",VLOOKUP(G2128,Students!$A:$C,2,FALSE))</f>
        <v/>
      </c>
      <c r="I2128" s="35">
        <f>IF(OR(G2128="",G2128="NOT ON LIST"),"",VLOOKUP(G2128,Students!$A:$C,3,FALSE)&amp;"")</f>
        <v/>
      </c>
    </row>
    <row r="2129">
      <c r="A2129" s="31" t="n"/>
      <c r="B2129" s="32" t="n"/>
      <c r="C2129" s="32" t="n"/>
      <c r="D2129" s="33" t="n"/>
      <c r="E2129" s="32" t="n"/>
      <c r="F2129" s="34">
        <f>IF(A2129="","",IFERROR(INT(A2129),"check date"))</f>
        <v/>
      </c>
      <c r="G2129" s="35">
        <f>IF(B2129="","",IFERROR(INDEX(Students!$A:$A,MATCH(TRIM(B2129),Students!$A:$A,0)),"NOT ON LIST"))</f>
        <v/>
      </c>
      <c r="H2129" s="35">
        <f>IF(OR(G2129="",G2129="NOT ON LIST"),"",VLOOKUP(G2129,Students!$A:$C,2,FALSE))</f>
        <v/>
      </c>
      <c r="I2129" s="35">
        <f>IF(OR(G2129="",G2129="NOT ON LIST"),"",VLOOKUP(G2129,Students!$A:$C,3,FALSE)&amp;"")</f>
        <v/>
      </c>
    </row>
    <row r="2130">
      <c r="A2130" s="31" t="n"/>
      <c r="B2130" s="32" t="n"/>
      <c r="C2130" s="32" t="n"/>
      <c r="D2130" s="33" t="n"/>
      <c r="E2130" s="32" t="n"/>
      <c r="F2130" s="34">
        <f>IF(A2130="","",IFERROR(INT(A2130),"check date"))</f>
        <v/>
      </c>
      <c r="G2130" s="35">
        <f>IF(B2130="","",IFERROR(INDEX(Students!$A:$A,MATCH(TRIM(B2130),Students!$A:$A,0)),"NOT ON LIST"))</f>
        <v/>
      </c>
      <c r="H2130" s="35">
        <f>IF(OR(G2130="",G2130="NOT ON LIST"),"",VLOOKUP(G2130,Students!$A:$C,2,FALSE))</f>
        <v/>
      </c>
      <c r="I2130" s="35">
        <f>IF(OR(G2130="",G2130="NOT ON LIST"),"",VLOOKUP(G2130,Students!$A:$C,3,FALSE)&amp;"")</f>
        <v/>
      </c>
    </row>
    <row r="2131">
      <c r="A2131" s="31" t="n"/>
      <c r="B2131" s="32" t="n"/>
      <c r="C2131" s="32" t="n"/>
      <c r="D2131" s="33" t="n"/>
      <c r="E2131" s="32" t="n"/>
      <c r="F2131" s="34">
        <f>IF(A2131="","",IFERROR(INT(A2131),"check date"))</f>
        <v/>
      </c>
      <c r="G2131" s="35">
        <f>IF(B2131="","",IFERROR(INDEX(Students!$A:$A,MATCH(TRIM(B2131),Students!$A:$A,0)),"NOT ON LIST"))</f>
        <v/>
      </c>
      <c r="H2131" s="35">
        <f>IF(OR(G2131="",G2131="NOT ON LIST"),"",VLOOKUP(G2131,Students!$A:$C,2,FALSE))</f>
        <v/>
      </c>
      <c r="I2131" s="35">
        <f>IF(OR(G2131="",G2131="NOT ON LIST"),"",VLOOKUP(G2131,Students!$A:$C,3,FALSE)&amp;"")</f>
        <v/>
      </c>
    </row>
    <row r="2132">
      <c r="A2132" s="31" t="n"/>
      <c r="B2132" s="32" t="n"/>
      <c r="C2132" s="32" t="n"/>
      <c r="D2132" s="33" t="n"/>
      <c r="E2132" s="32" t="n"/>
      <c r="F2132" s="34">
        <f>IF(A2132="","",IFERROR(INT(A2132),"check date"))</f>
        <v/>
      </c>
      <c r="G2132" s="35">
        <f>IF(B2132="","",IFERROR(INDEX(Students!$A:$A,MATCH(TRIM(B2132),Students!$A:$A,0)),"NOT ON LIST"))</f>
        <v/>
      </c>
      <c r="H2132" s="35">
        <f>IF(OR(G2132="",G2132="NOT ON LIST"),"",VLOOKUP(G2132,Students!$A:$C,2,FALSE))</f>
        <v/>
      </c>
      <c r="I2132" s="35">
        <f>IF(OR(G2132="",G2132="NOT ON LIST"),"",VLOOKUP(G2132,Students!$A:$C,3,FALSE)&amp;"")</f>
        <v/>
      </c>
    </row>
    <row r="2133">
      <c r="A2133" s="31" t="n"/>
      <c r="B2133" s="32" t="n"/>
      <c r="C2133" s="32" t="n"/>
      <c r="D2133" s="33" t="n"/>
      <c r="E2133" s="32" t="n"/>
      <c r="F2133" s="34">
        <f>IF(A2133="","",IFERROR(INT(A2133),"check date"))</f>
        <v/>
      </c>
      <c r="G2133" s="35">
        <f>IF(B2133="","",IFERROR(INDEX(Students!$A:$A,MATCH(TRIM(B2133),Students!$A:$A,0)),"NOT ON LIST"))</f>
        <v/>
      </c>
      <c r="H2133" s="35">
        <f>IF(OR(G2133="",G2133="NOT ON LIST"),"",VLOOKUP(G2133,Students!$A:$C,2,FALSE))</f>
        <v/>
      </c>
      <c r="I2133" s="35">
        <f>IF(OR(G2133="",G2133="NOT ON LIST"),"",VLOOKUP(G2133,Students!$A:$C,3,FALSE)&amp;"")</f>
        <v/>
      </c>
    </row>
    <row r="2134">
      <c r="A2134" s="31" t="n"/>
      <c r="B2134" s="32" t="n"/>
      <c r="C2134" s="32" t="n"/>
      <c r="D2134" s="33" t="n"/>
      <c r="E2134" s="32" t="n"/>
      <c r="F2134" s="34">
        <f>IF(A2134="","",IFERROR(INT(A2134),"check date"))</f>
        <v/>
      </c>
      <c r="G2134" s="35">
        <f>IF(B2134="","",IFERROR(INDEX(Students!$A:$A,MATCH(TRIM(B2134),Students!$A:$A,0)),"NOT ON LIST"))</f>
        <v/>
      </c>
      <c r="H2134" s="35">
        <f>IF(OR(G2134="",G2134="NOT ON LIST"),"",VLOOKUP(G2134,Students!$A:$C,2,FALSE))</f>
        <v/>
      </c>
      <c r="I2134" s="35">
        <f>IF(OR(G2134="",G2134="NOT ON LIST"),"",VLOOKUP(G2134,Students!$A:$C,3,FALSE)&amp;"")</f>
        <v/>
      </c>
    </row>
    <row r="2135">
      <c r="A2135" s="31" t="n"/>
      <c r="B2135" s="32" t="n"/>
      <c r="C2135" s="32" t="n"/>
      <c r="D2135" s="33" t="n"/>
      <c r="E2135" s="32" t="n"/>
      <c r="F2135" s="34">
        <f>IF(A2135="","",IFERROR(INT(A2135),"check date"))</f>
        <v/>
      </c>
      <c r="G2135" s="35">
        <f>IF(B2135="","",IFERROR(INDEX(Students!$A:$A,MATCH(TRIM(B2135),Students!$A:$A,0)),"NOT ON LIST"))</f>
        <v/>
      </c>
      <c r="H2135" s="35">
        <f>IF(OR(G2135="",G2135="NOT ON LIST"),"",VLOOKUP(G2135,Students!$A:$C,2,FALSE))</f>
        <v/>
      </c>
      <c r="I2135" s="35">
        <f>IF(OR(G2135="",G2135="NOT ON LIST"),"",VLOOKUP(G2135,Students!$A:$C,3,FALSE)&amp;"")</f>
        <v/>
      </c>
    </row>
    <row r="2136">
      <c r="A2136" s="31" t="n"/>
      <c r="B2136" s="32" t="n"/>
      <c r="C2136" s="32" t="n"/>
      <c r="D2136" s="33" t="n"/>
      <c r="E2136" s="32" t="n"/>
      <c r="F2136" s="34">
        <f>IF(A2136="","",IFERROR(INT(A2136),"check date"))</f>
        <v/>
      </c>
      <c r="G2136" s="35">
        <f>IF(B2136="","",IFERROR(INDEX(Students!$A:$A,MATCH(TRIM(B2136),Students!$A:$A,0)),"NOT ON LIST"))</f>
        <v/>
      </c>
      <c r="H2136" s="35">
        <f>IF(OR(G2136="",G2136="NOT ON LIST"),"",VLOOKUP(G2136,Students!$A:$C,2,FALSE))</f>
        <v/>
      </c>
      <c r="I2136" s="35">
        <f>IF(OR(G2136="",G2136="NOT ON LIST"),"",VLOOKUP(G2136,Students!$A:$C,3,FALSE)&amp;"")</f>
        <v/>
      </c>
    </row>
    <row r="2137">
      <c r="A2137" s="31" t="n"/>
      <c r="B2137" s="32" t="n"/>
      <c r="C2137" s="32" t="n"/>
      <c r="D2137" s="33" t="n"/>
      <c r="E2137" s="32" t="n"/>
      <c r="F2137" s="34">
        <f>IF(A2137="","",IFERROR(INT(A2137),"check date"))</f>
        <v/>
      </c>
      <c r="G2137" s="35">
        <f>IF(B2137="","",IFERROR(INDEX(Students!$A:$A,MATCH(TRIM(B2137),Students!$A:$A,0)),"NOT ON LIST"))</f>
        <v/>
      </c>
      <c r="H2137" s="35">
        <f>IF(OR(G2137="",G2137="NOT ON LIST"),"",VLOOKUP(G2137,Students!$A:$C,2,FALSE))</f>
        <v/>
      </c>
      <c r="I2137" s="35">
        <f>IF(OR(G2137="",G2137="NOT ON LIST"),"",VLOOKUP(G2137,Students!$A:$C,3,FALSE)&amp;"")</f>
        <v/>
      </c>
    </row>
    <row r="2138">
      <c r="A2138" s="31" t="n"/>
      <c r="B2138" s="32" t="n"/>
      <c r="C2138" s="32" t="n"/>
      <c r="D2138" s="33" t="n"/>
      <c r="E2138" s="32" t="n"/>
      <c r="F2138" s="34">
        <f>IF(A2138="","",IFERROR(INT(A2138),"check date"))</f>
        <v/>
      </c>
      <c r="G2138" s="35">
        <f>IF(B2138="","",IFERROR(INDEX(Students!$A:$A,MATCH(TRIM(B2138),Students!$A:$A,0)),"NOT ON LIST"))</f>
        <v/>
      </c>
      <c r="H2138" s="35">
        <f>IF(OR(G2138="",G2138="NOT ON LIST"),"",VLOOKUP(G2138,Students!$A:$C,2,FALSE))</f>
        <v/>
      </c>
      <c r="I2138" s="35">
        <f>IF(OR(G2138="",G2138="NOT ON LIST"),"",VLOOKUP(G2138,Students!$A:$C,3,FALSE)&amp;"")</f>
        <v/>
      </c>
    </row>
    <row r="2139">
      <c r="A2139" s="31" t="n"/>
      <c r="B2139" s="32" t="n"/>
      <c r="C2139" s="32" t="n"/>
      <c r="D2139" s="33" t="n"/>
      <c r="E2139" s="32" t="n"/>
      <c r="F2139" s="34">
        <f>IF(A2139="","",IFERROR(INT(A2139),"check date"))</f>
        <v/>
      </c>
      <c r="G2139" s="35">
        <f>IF(B2139="","",IFERROR(INDEX(Students!$A:$A,MATCH(TRIM(B2139),Students!$A:$A,0)),"NOT ON LIST"))</f>
        <v/>
      </c>
      <c r="H2139" s="35">
        <f>IF(OR(G2139="",G2139="NOT ON LIST"),"",VLOOKUP(G2139,Students!$A:$C,2,FALSE))</f>
        <v/>
      </c>
      <c r="I2139" s="35">
        <f>IF(OR(G2139="",G2139="NOT ON LIST"),"",VLOOKUP(G2139,Students!$A:$C,3,FALSE)&amp;"")</f>
        <v/>
      </c>
    </row>
    <row r="2140">
      <c r="A2140" s="31" t="n"/>
      <c r="B2140" s="32" t="n"/>
      <c r="C2140" s="32" t="n"/>
      <c r="D2140" s="33" t="n"/>
      <c r="E2140" s="32" t="n"/>
      <c r="F2140" s="34">
        <f>IF(A2140="","",IFERROR(INT(A2140),"check date"))</f>
        <v/>
      </c>
      <c r="G2140" s="35">
        <f>IF(B2140="","",IFERROR(INDEX(Students!$A:$A,MATCH(TRIM(B2140),Students!$A:$A,0)),"NOT ON LIST"))</f>
        <v/>
      </c>
      <c r="H2140" s="35">
        <f>IF(OR(G2140="",G2140="NOT ON LIST"),"",VLOOKUP(G2140,Students!$A:$C,2,FALSE))</f>
        <v/>
      </c>
      <c r="I2140" s="35">
        <f>IF(OR(G2140="",G2140="NOT ON LIST"),"",VLOOKUP(G2140,Students!$A:$C,3,FALSE)&amp;"")</f>
        <v/>
      </c>
    </row>
    <row r="2141">
      <c r="A2141" s="31" t="n"/>
      <c r="B2141" s="32" t="n"/>
      <c r="C2141" s="32" t="n"/>
      <c r="D2141" s="33" t="n"/>
      <c r="E2141" s="32" t="n"/>
      <c r="F2141" s="34">
        <f>IF(A2141="","",IFERROR(INT(A2141),"check date"))</f>
        <v/>
      </c>
      <c r="G2141" s="35">
        <f>IF(B2141="","",IFERROR(INDEX(Students!$A:$A,MATCH(TRIM(B2141),Students!$A:$A,0)),"NOT ON LIST"))</f>
        <v/>
      </c>
      <c r="H2141" s="35">
        <f>IF(OR(G2141="",G2141="NOT ON LIST"),"",VLOOKUP(G2141,Students!$A:$C,2,FALSE))</f>
        <v/>
      </c>
      <c r="I2141" s="35">
        <f>IF(OR(G2141="",G2141="NOT ON LIST"),"",VLOOKUP(G2141,Students!$A:$C,3,FALSE)&amp;"")</f>
        <v/>
      </c>
    </row>
    <row r="2142">
      <c r="A2142" s="31" t="n"/>
      <c r="B2142" s="32" t="n"/>
      <c r="C2142" s="32" t="n"/>
      <c r="D2142" s="33" t="n"/>
      <c r="E2142" s="32" t="n"/>
      <c r="F2142" s="34">
        <f>IF(A2142="","",IFERROR(INT(A2142),"check date"))</f>
        <v/>
      </c>
      <c r="G2142" s="35">
        <f>IF(B2142="","",IFERROR(INDEX(Students!$A:$A,MATCH(TRIM(B2142),Students!$A:$A,0)),"NOT ON LIST"))</f>
        <v/>
      </c>
      <c r="H2142" s="35">
        <f>IF(OR(G2142="",G2142="NOT ON LIST"),"",VLOOKUP(G2142,Students!$A:$C,2,FALSE))</f>
        <v/>
      </c>
      <c r="I2142" s="35">
        <f>IF(OR(G2142="",G2142="NOT ON LIST"),"",VLOOKUP(G2142,Students!$A:$C,3,FALSE)&amp;"")</f>
        <v/>
      </c>
    </row>
    <row r="2143">
      <c r="A2143" s="31" t="n"/>
      <c r="B2143" s="32" t="n"/>
      <c r="C2143" s="32" t="n"/>
      <c r="D2143" s="33" t="n"/>
      <c r="E2143" s="32" t="n"/>
      <c r="F2143" s="34">
        <f>IF(A2143="","",IFERROR(INT(A2143),"check date"))</f>
        <v/>
      </c>
      <c r="G2143" s="35">
        <f>IF(B2143="","",IFERROR(INDEX(Students!$A:$A,MATCH(TRIM(B2143),Students!$A:$A,0)),"NOT ON LIST"))</f>
        <v/>
      </c>
      <c r="H2143" s="35">
        <f>IF(OR(G2143="",G2143="NOT ON LIST"),"",VLOOKUP(G2143,Students!$A:$C,2,FALSE))</f>
        <v/>
      </c>
      <c r="I2143" s="35">
        <f>IF(OR(G2143="",G2143="NOT ON LIST"),"",VLOOKUP(G2143,Students!$A:$C,3,FALSE)&amp;"")</f>
        <v/>
      </c>
    </row>
    <row r="2144">
      <c r="A2144" s="31" t="n"/>
      <c r="B2144" s="32" t="n"/>
      <c r="C2144" s="32" t="n"/>
      <c r="D2144" s="33" t="n"/>
      <c r="E2144" s="32" t="n"/>
      <c r="F2144" s="34">
        <f>IF(A2144="","",IFERROR(INT(A2144),"check date"))</f>
        <v/>
      </c>
      <c r="G2144" s="35">
        <f>IF(B2144="","",IFERROR(INDEX(Students!$A:$A,MATCH(TRIM(B2144),Students!$A:$A,0)),"NOT ON LIST"))</f>
        <v/>
      </c>
      <c r="H2144" s="35">
        <f>IF(OR(G2144="",G2144="NOT ON LIST"),"",VLOOKUP(G2144,Students!$A:$C,2,FALSE))</f>
        <v/>
      </c>
      <c r="I2144" s="35">
        <f>IF(OR(G2144="",G2144="NOT ON LIST"),"",VLOOKUP(G2144,Students!$A:$C,3,FALSE)&amp;"")</f>
        <v/>
      </c>
    </row>
    <row r="2145">
      <c r="A2145" s="31" t="n"/>
      <c r="B2145" s="32" t="n"/>
      <c r="C2145" s="32" t="n"/>
      <c r="D2145" s="33" t="n"/>
      <c r="E2145" s="32" t="n"/>
      <c r="F2145" s="34">
        <f>IF(A2145="","",IFERROR(INT(A2145),"check date"))</f>
        <v/>
      </c>
      <c r="G2145" s="35">
        <f>IF(B2145="","",IFERROR(INDEX(Students!$A:$A,MATCH(TRIM(B2145),Students!$A:$A,0)),"NOT ON LIST"))</f>
        <v/>
      </c>
      <c r="H2145" s="35">
        <f>IF(OR(G2145="",G2145="NOT ON LIST"),"",VLOOKUP(G2145,Students!$A:$C,2,FALSE))</f>
        <v/>
      </c>
      <c r="I2145" s="35">
        <f>IF(OR(G2145="",G2145="NOT ON LIST"),"",VLOOKUP(G2145,Students!$A:$C,3,FALSE)&amp;"")</f>
        <v/>
      </c>
    </row>
    <row r="2146">
      <c r="A2146" s="31" t="n"/>
      <c r="B2146" s="32" t="n"/>
      <c r="C2146" s="32" t="n"/>
      <c r="D2146" s="33" t="n"/>
      <c r="E2146" s="32" t="n"/>
      <c r="F2146" s="34">
        <f>IF(A2146="","",IFERROR(INT(A2146),"check date"))</f>
        <v/>
      </c>
      <c r="G2146" s="35">
        <f>IF(B2146="","",IFERROR(INDEX(Students!$A:$A,MATCH(TRIM(B2146),Students!$A:$A,0)),"NOT ON LIST"))</f>
        <v/>
      </c>
      <c r="H2146" s="35">
        <f>IF(OR(G2146="",G2146="NOT ON LIST"),"",VLOOKUP(G2146,Students!$A:$C,2,FALSE))</f>
        <v/>
      </c>
      <c r="I2146" s="35">
        <f>IF(OR(G2146="",G2146="NOT ON LIST"),"",VLOOKUP(G2146,Students!$A:$C,3,FALSE)&amp;"")</f>
        <v/>
      </c>
    </row>
    <row r="2147">
      <c r="A2147" s="31" t="n"/>
      <c r="B2147" s="32" t="n"/>
      <c r="C2147" s="32" t="n"/>
      <c r="D2147" s="33" t="n"/>
      <c r="E2147" s="32" t="n"/>
      <c r="F2147" s="34">
        <f>IF(A2147="","",IFERROR(INT(A2147),"check date"))</f>
        <v/>
      </c>
      <c r="G2147" s="35">
        <f>IF(B2147="","",IFERROR(INDEX(Students!$A:$A,MATCH(TRIM(B2147),Students!$A:$A,0)),"NOT ON LIST"))</f>
        <v/>
      </c>
      <c r="H2147" s="35">
        <f>IF(OR(G2147="",G2147="NOT ON LIST"),"",VLOOKUP(G2147,Students!$A:$C,2,FALSE))</f>
        <v/>
      </c>
      <c r="I2147" s="35">
        <f>IF(OR(G2147="",G2147="NOT ON LIST"),"",VLOOKUP(G2147,Students!$A:$C,3,FALSE)&amp;"")</f>
        <v/>
      </c>
    </row>
    <row r="2148">
      <c r="A2148" s="31" t="n"/>
      <c r="B2148" s="32" t="n"/>
      <c r="C2148" s="32" t="n"/>
      <c r="D2148" s="33" t="n"/>
      <c r="E2148" s="32" t="n"/>
      <c r="F2148" s="34">
        <f>IF(A2148="","",IFERROR(INT(A2148),"check date"))</f>
        <v/>
      </c>
      <c r="G2148" s="35">
        <f>IF(B2148="","",IFERROR(INDEX(Students!$A:$A,MATCH(TRIM(B2148),Students!$A:$A,0)),"NOT ON LIST"))</f>
        <v/>
      </c>
      <c r="H2148" s="35">
        <f>IF(OR(G2148="",G2148="NOT ON LIST"),"",VLOOKUP(G2148,Students!$A:$C,2,FALSE))</f>
        <v/>
      </c>
      <c r="I2148" s="35">
        <f>IF(OR(G2148="",G2148="NOT ON LIST"),"",VLOOKUP(G2148,Students!$A:$C,3,FALSE)&amp;"")</f>
        <v/>
      </c>
    </row>
    <row r="2149">
      <c r="A2149" s="31" t="n"/>
      <c r="B2149" s="32" t="n"/>
      <c r="C2149" s="32" t="n"/>
      <c r="D2149" s="33" t="n"/>
      <c r="E2149" s="32" t="n"/>
      <c r="F2149" s="34">
        <f>IF(A2149="","",IFERROR(INT(A2149),"check date"))</f>
        <v/>
      </c>
      <c r="G2149" s="35">
        <f>IF(B2149="","",IFERROR(INDEX(Students!$A:$A,MATCH(TRIM(B2149),Students!$A:$A,0)),"NOT ON LIST"))</f>
        <v/>
      </c>
      <c r="H2149" s="35">
        <f>IF(OR(G2149="",G2149="NOT ON LIST"),"",VLOOKUP(G2149,Students!$A:$C,2,FALSE))</f>
        <v/>
      </c>
      <c r="I2149" s="35">
        <f>IF(OR(G2149="",G2149="NOT ON LIST"),"",VLOOKUP(G2149,Students!$A:$C,3,FALSE)&amp;"")</f>
        <v/>
      </c>
    </row>
    <row r="2150">
      <c r="A2150" s="31" t="n"/>
      <c r="B2150" s="32" t="n"/>
      <c r="C2150" s="32" t="n"/>
      <c r="D2150" s="33" t="n"/>
      <c r="E2150" s="32" t="n"/>
      <c r="F2150" s="34">
        <f>IF(A2150="","",IFERROR(INT(A2150),"check date"))</f>
        <v/>
      </c>
      <c r="G2150" s="35">
        <f>IF(B2150="","",IFERROR(INDEX(Students!$A:$A,MATCH(TRIM(B2150),Students!$A:$A,0)),"NOT ON LIST"))</f>
        <v/>
      </c>
      <c r="H2150" s="35">
        <f>IF(OR(G2150="",G2150="NOT ON LIST"),"",VLOOKUP(G2150,Students!$A:$C,2,FALSE))</f>
        <v/>
      </c>
      <c r="I2150" s="35">
        <f>IF(OR(G2150="",G2150="NOT ON LIST"),"",VLOOKUP(G2150,Students!$A:$C,3,FALSE)&amp;"")</f>
        <v/>
      </c>
    </row>
    <row r="2151">
      <c r="A2151" s="31" t="n"/>
      <c r="B2151" s="32" t="n"/>
      <c r="C2151" s="32" t="n"/>
      <c r="D2151" s="33" t="n"/>
      <c r="E2151" s="32" t="n"/>
      <c r="F2151" s="34">
        <f>IF(A2151="","",IFERROR(INT(A2151),"check date"))</f>
        <v/>
      </c>
      <c r="G2151" s="35">
        <f>IF(B2151="","",IFERROR(INDEX(Students!$A:$A,MATCH(TRIM(B2151),Students!$A:$A,0)),"NOT ON LIST"))</f>
        <v/>
      </c>
      <c r="H2151" s="35">
        <f>IF(OR(G2151="",G2151="NOT ON LIST"),"",VLOOKUP(G2151,Students!$A:$C,2,FALSE))</f>
        <v/>
      </c>
      <c r="I2151" s="35">
        <f>IF(OR(G2151="",G2151="NOT ON LIST"),"",VLOOKUP(G2151,Students!$A:$C,3,FALSE)&amp;"")</f>
        <v/>
      </c>
    </row>
    <row r="2152">
      <c r="A2152" s="31" t="n"/>
      <c r="B2152" s="32" t="n"/>
      <c r="C2152" s="32" t="n"/>
      <c r="D2152" s="33" t="n"/>
      <c r="E2152" s="32" t="n"/>
      <c r="F2152" s="34">
        <f>IF(A2152="","",IFERROR(INT(A2152),"check date"))</f>
        <v/>
      </c>
      <c r="G2152" s="35">
        <f>IF(B2152="","",IFERROR(INDEX(Students!$A:$A,MATCH(TRIM(B2152),Students!$A:$A,0)),"NOT ON LIST"))</f>
        <v/>
      </c>
      <c r="H2152" s="35">
        <f>IF(OR(G2152="",G2152="NOT ON LIST"),"",VLOOKUP(G2152,Students!$A:$C,2,FALSE))</f>
        <v/>
      </c>
      <c r="I2152" s="35">
        <f>IF(OR(G2152="",G2152="NOT ON LIST"),"",VLOOKUP(G2152,Students!$A:$C,3,FALSE)&amp;"")</f>
        <v/>
      </c>
    </row>
    <row r="2153">
      <c r="A2153" s="31" t="n"/>
      <c r="B2153" s="32" t="n"/>
      <c r="C2153" s="32" t="n"/>
      <c r="D2153" s="33" t="n"/>
      <c r="E2153" s="32" t="n"/>
      <c r="F2153" s="34">
        <f>IF(A2153="","",IFERROR(INT(A2153),"check date"))</f>
        <v/>
      </c>
      <c r="G2153" s="35">
        <f>IF(B2153="","",IFERROR(INDEX(Students!$A:$A,MATCH(TRIM(B2153),Students!$A:$A,0)),"NOT ON LIST"))</f>
        <v/>
      </c>
      <c r="H2153" s="35">
        <f>IF(OR(G2153="",G2153="NOT ON LIST"),"",VLOOKUP(G2153,Students!$A:$C,2,FALSE))</f>
        <v/>
      </c>
      <c r="I2153" s="35">
        <f>IF(OR(G2153="",G2153="NOT ON LIST"),"",VLOOKUP(G2153,Students!$A:$C,3,FALSE)&amp;"")</f>
        <v/>
      </c>
    </row>
    <row r="2154">
      <c r="A2154" s="31" t="n"/>
      <c r="B2154" s="32" t="n"/>
      <c r="C2154" s="32" t="n"/>
      <c r="D2154" s="33" t="n"/>
      <c r="E2154" s="32" t="n"/>
      <c r="F2154" s="34">
        <f>IF(A2154="","",IFERROR(INT(A2154),"check date"))</f>
        <v/>
      </c>
      <c r="G2154" s="35">
        <f>IF(B2154="","",IFERROR(INDEX(Students!$A:$A,MATCH(TRIM(B2154),Students!$A:$A,0)),"NOT ON LIST"))</f>
        <v/>
      </c>
      <c r="H2154" s="35">
        <f>IF(OR(G2154="",G2154="NOT ON LIST"),"",VLOOKUP(G2154,Students!$A:$C,2,FALSE))</f>
        <v/>
      </c>
      <c r="I2154" s="35">
        <f>IF(OR(G2154="",G2154="NOT ON LIST"),"",VLOOKUP(G2154,Students!$A:$C,3,FALSE)&amp;"")</f>
        <v/>
      </c>
    </row>
    <row r="2155">
      <c r="A2155" s="31" t="n"/>
      <c r="B2155" s="32" t="n"/>
      <c r="C2155" s="32" t="n"/>
      <c r="D2155" s="33" t="n"/>
      <c r="E2155" s="32" t="n"/>
      <c r="F2155" s="34">
        <f>IF(A2155="","",IFERROR(INT(A2155),"check date"))</f>
        <v/>
      </c>
      <c r="G2155" s="35">
        <f>IF(B2155="","",IFERROR(INDEX(Students!$A:$A,MATCH(TRIM(B2155),Students!$A:$A,0)),"NOT ON LIST"))</f>
        <v/>
      </c>
      <c r="H2155" s="35">
        <f>IF(OR(G2155="",G2155="NOT ON LIST"),"",VLOOKUP(G2155,Students!$A:$C,2,FALSE))</f>
        <v/>
      </c>
      <c r="I2155" s="35">
        <f>IF(OR(G2155="",G2155="NOT ON LIST"),"",VLOOKUP(G2155,Students!$A:$C,3,FALSE)&amp;"")</f>
        <v/>
      </c>
    </row>
    <row r="2156">
      <c r="A2156" s="31" t="n"/>
      <c r="B2156" s="32" t="n"/>
      <c r="C2156" s="32" t="n"/>
      <c r="D2156" s="33" t="n"/>
      <c r="E2156" s="32" t="n"/>
      <c r="F2156" s="34">
        <f>IF(A2156="","",IFERROR(INT(A2156),"check date"))</f>
        <v/>
      </c>
      <c r="G2156" s="35">
        <f>IF(B2156="","",IFERROR(INDEX(Students!$A:$A,MATCH(TRIM(B2156),Students!$A:$A,0)),"NOT ON LIST"))</f>
        <v/>
      </c>
      <c r="H2156" s="35">
        <f>IF(OR(G2156="",G2156="NOT ON LIST"),"",VLOOKUP(G2156,Students!$A:$C,2,FALSE))</f>
        <v/>
      </c>
      <c r="I2156" s="35">
        <f>IF(OR(G2156="",G2156="NOT ON LIST"),"",VLOOKUP(G2156,Students!$A:$C,3,FALSE)&amp;"")</f>
        <v/>
      </c>
    </row>
    <row r="2157">
      <c r="A2157" s="31" t="n"/>
      <c r="B2157" s="32" t="n"/>
      <c r="C2157" s="32" t="n"/>
      <c r="D2157" s="33" t="n"/>
      <c r="E2157" s="32" t="n"/>
      <c r="F2157" s="34">
        <f>IF(A2157="","",IFERROR(INT(A2157),"check date"))</f>
        <v/>
      </c>
      <c r="G2157" s="35">
        <f>IF(B2157="","",IFERROR(INDEX(Students!$A:$A,MATCH(TRIM(B2157),Students!$A:$A,0)),"NOT ON LIST"))</f>
        <v/>
      </c>
      <c r="H2157" s="35">
        <f>IF(OR(G2157="",G2157="NOT ON LIST"),"",VLOOKUP(G2157,Students!$A:$C,2,FALSE))</f>
        <v/>
      </c>
      <c r="I2157" s="35">
        <f>IF(OR(G2157="",G2157="NOT ON LIST"),"",VLOOKUP(G2157,Students!$A:$C,3,FALSE)&amp;"")</f>
        <v/>
      </c>
    </row>
    <row r="2158">
      <c r="A2158" s="31" t="n"/>
      <c r="B2158" s="32" t="n"/>
      <c r="C2158" s="32" t="n"/>
      <c r="D2158" s="33" t="n"/>
      <c r="E2158" s="32" t="n"/>
      <c r="F2158" s="34">
        <f>IF(A2158="","",IFERROR(INT(A2158),"check date"))</f>
        <v/>
      </c>
      <c r="G2158" s="35">
        <f>IF(B2158="","",IFERROR(INDEX(Students!$A:$A,MATCH(TRIM(B2158),Students!$A:$A,0)),"NOT ON LIST"))</f>
        <v/>
      </c>
      <c r="H2158" s="35">
        <f>IF(OR(G2158="",G2158="NOT ON LIST"),"",VLOOKUP(G2158,Students!$A:$C,2,FALSE))</f>
        <v/>
      </c>
      <c r="I2158" s="35">
        <f>IF(OR(G2158="",G2158="NOT ON LIST"),"",VLOOKUP(G2158,Students!$A:$C,3,FALSE)&amp;"")</f>
        <v/>
      </c>
    </row>
    <row r="2159">
      <c r="A2159" s="31" t="n"/>
      <c r="B2159" s="32" t="n"/>
      <c r="C2159" s="32" t="n"/>
      <c r="D2159" s="33" t="n"/>
      <c r="E2159" s="32" t="n"/>
      <c r="F2159" s="34">
        <f>IF(A2159="","",IFERROR(INT(A2159),"check date"))</f>
        <v/>
      </c>
      <c r="G2159" s="35">
        <f>IF(B2159="","",IFERROR(INDEX(Students!$A:$A,MATCH(TRIM(B2159),Students!$A:$A,0)),"NOT ON LIST"))</f>
        <v/>
      </c>
      <c r="H2159" s="35">
        <f>IF(OR(G2159="",G2159="NOT ON LIST"),"",VLOOKUP(G2159,Students!$A:$C,2,FALSE))</f>
        <v/>
      </c>
      <c r="I2159" s="35">
        <f>IF(OR(G2159="",G2159="NOT ON LIST"),"",VLOOKUP(G2159,Students!$A:$C,3,FALSE)&amp;"")</f>
        <v/>
      </c>
    </row>
    <row r="2160">
      <c r="A2160" s="31" t="n"/>
      <c r="B2160" s="32" t="n"/>
      <c r="C2160" s="32" t="n"/>
      <c r="D2160" s="33" t="n"/>
      <c r="E2160" s="32" t="n"/>
      <c r="F2160" s="34">
        <f>IF(A2160="","",IFERROR(INT(A2160),"check date"))</f>
        <v/>
      </c>
      <c r="G2160" s="35">
        <f>IF(B2160="","",IFERROR(INDEX(Students!$A:$A,MATCH(TRIM(B2160),Students!$A:$A,0)),"NOT ON LIST"))</f>
        <v/>
      </c>
      <c r="H2160" s="35">
        <f>IF(OR(G2160="",G2160="NOT ON LIST"),"",VLOOKUP(G2160,Students!$A:$C,2,FALSE))</f>
        <v/>
      </c>
      <c r="I2160" s="35">
        <f>IF(OR(G2160="",G2160="NOT ON LIST"),"",VLOOKUP(G2160,Students!$A:$C,3,FALSE)&amp;"")</f>
        <v/>
      </c>
    </row>
    <row r="2161">
      <c r="A2161" s="31" t="n"/>
      <c r="B2161" s="32" t="n"/>
      <c r="C2161" s="32" t="n"/>
      <c r="D2161" s="33" t="n"/>
      <c r="E2161" s="32" t="n"/>
      <c r="F2161" s="34">
        <f>IF(A2161="","",IFERROR(INT(A2161),"check date"))</f>
        <v/>
      </c>
      <c r="G2161" s="35">
        <f>IF(B2161="","",IFERROR(INDEX(Students!$A:$A,MATCH(TRIM(B2161),Students!$A:$A,0)),"NOT ON LIST"))</f>
        <v/>
      </c>
      <c r="H2161" s="35">
        <f>IF(OR(G2161="",G2161="NOT ON LIST"),"",VLOOKUP(G2161,Students!$A:$C,2,FALSE))</f>
        <v/>
      </c>
      <c r="I2161" s="35">
        <f>IF(OR(G2161="",G2161="NOT ON LIST"),"",VLOOKUP(G2161,Students!$A:$C,3,FALSE)&amp;"")</f>
        <v/>
      </c>
    </row>
    <row r="2162">
      <c r="A2162" s="31" t="n"/>
      <c r="B2162" s="32" t="n"/>
      <c r="C2162" s="32" t="n"/>
      <c r="D2162" s="33" t="n"/>
      <c r="E2162" s="32" t="n"/>
      <c r="F2162" s="34">
        <f>IF(A2162="","",IFERROR(INT(A2162),"check date"))</f>
        <v/>
      </c>
      <c r="G2162" s="35">
        <f>IF(B2162="","",IFERROR(INDEX(Students!$A:$A,MATCH(TRIM(B2162),Students!$A:$A,0)),"NOT ON LIST"))</f>
        <v/>
      </c>
      <c r="H2162" s="35">
        <f>IF(OR(G2162="",G2162="NOT ON LIST"),"",VLOOKUP(G2162,Students!$A:$C,2,FALSE))</f>
        <v/>
      </c>
      <c r="I2162" s="35">
        <f>IF(OR(G2162="",G2162="NOT ON LIST"),"",VLOOKUP(G2162,Students!$A:$C,3,FALSE)&amp;"")</f>
        <v/>
      </c>
    </row>
    <row r="2163">
      <c r="A2163" s="31" t="n"/>
      <c r="B2163" s="32" t="n"/>
      <c r="C2163" s="32" t="n"/>
      <c r="D2163" s="33" t="n"/>
      <c r="E2163" s="32" t="n"/>
      <c r="F2163" s="34">
        <f>IF(A2163="","",IFERROR(INT(A2163),"check date"))</f>
        <v/>
      </c>
      <c r="G2163" s="35">
        <f>IF(B2163="","",IFERROR(INDEX(Students!$A:$A,MATCH(TRIM(B2163),Students!$A:$A,0)),"NOT ON LIST"))</f>
        <v/>
      </c>
      <c r="H2163" s="35">
        <f>IF(OR(G2163="",G2163="NOT ON LIST"),"",VLOOKUP(G2163,Students!$A:$C,2,FALSE))</f>
        <v/>
      </c>
      <c r="I2163" s="35">
        <f>IF(OR(G2163="",G2163="NOT ON LIST"),"",VLOOKUP(G2163,Students!$A:$C,3,FALSE)&amp;"")</f>
        <v/>
      </c>
    </row>
    <row r="2164">
      <c r="A2164" s="31" t="n"/>
      <c r="B2164" s="32" t="n"/>
      <c r="C2164" s="32" t="n"/>
      <c r="D2164" s="33" t="n"/>
      <c r="E2164" s="32" t="n"/>
      <c r="F2164" s="34">
        <f>IF(A2164="","",IFERROR(INT(A2164),"check date"))</f>
        <v/>
      </c>
      <c r="G2164" s="35">
        <f>IF(B2164="","",IFERROR(INDEX(Students!$A:$A,MATCH(TRIM(B2164),Students!$A:$A,0)),"NOT ON LIST"))</f>
        <v/>
      </c>
      <c r="H2164" s="35">
        <f>IF(OR(G2164="",G2164="NOT ON LIST"),"",VLOOKUP(G2164,Students!$A:$C,2,FALSE))</f>
        <v/>
      </c>
      <c r="I2164" s="35">
        <f>IF(OR(G2164="",G2164="NOT ON LIST"),"",VLOOKUP(G2164,Students!$A:$C,3,FALSE)&amp;"")</f>
        <v/>
      </c>
    </row>
    <row r="2165">
      <c r="A2165" s="31" t="n"/>
      <c r="B2165" s="32" t="n"/>
      <c r="C2165" s="32" t="n"/>
      <c r="D2165" s="33" t="n"/>
      <c r="E2165" s="32" t="n"/>
      <c r="F2165" s="34">
        <f>IF(A2165="","",IFERROR(INT(A2165),"check date"))</f>
        <v/>
      </c>
      <c r="G2165" s="35">
        <f>IF(B2165="","",IFERROR(INDEX(Students!$A:$A,MATCH(TRIM(B2165),Students!$A:$A,0)),"NOT ON LIST"))</f>
        <v/>
      </c>
      <c r="H2165" s="35">
        <f>IF(OR(G2165="",G2165="NOT ON LIST"),"",VLOOKUP(G2165,Students!$A:$C,2,FALSE))</f>
        <v/>
      </c>
      <c r="I2165" s="35">
        <f>IF(OR(G2165="",G2165="NOT ON LIST"),"",VLOOKUP(G2165,Students!$A:$C,3,FALSE)&amp;"")</f>
        <v/>
      </c>
    </row>
    <row r="2166">
      <c r="A2166" s="31" t="n"/>
      <c r="B2166" s="32" t="n"/>
      <c r="C2166" s="32" t="n"/>
      <c r="D2166" s="33" t="n"/>
      <c r="E2166" s="32" t="n"/>
      <c r="F2166" s="34">
        <f>IF(A2166="","",IFERROR(INT(A2166),"check date"))</f>
        <v/>
      </c>
      <c r="G2166" s="35">
        <f>IF(B2166="","",IFERROR(INDEX(Students!$A:$A,MATCH(TRIM(B2166),Students!$A:$A,0)),"NOT ON LIST"))</f>
        <v/>
      </c>
      <c r="H2166" s="35">
        <f>IF(OR(G2166="",G2166="NOT ON LIST"),"",VLOOKUP(G2166,Students!$A:$C,2,FALSE))</f>
        <v/>
      </c>
      <c r="I2166" s="35">
        <f>IF(OR(G2166="",G2166="NOT ON LIST"),"",VLOOKUP(G2166,Students!$A:$C,3,FALSE)&amp;"")</f>
        <v/>
      </c>
    </row>
    <row r="2167">
      <c r="A2167" s="31" t="n"/>
      <c r="B2167" s="32" t="n"/>
      <c r="C2167" s="32" t="n"/>
      <c r="D2167" s="33" t="n"/>
      <c r="E2167" s="32" t="n"/>
      <c r="F2167" s="34">
        <f>IF(A2167="","",IFERROR(INT(A2167),"check date"))</f>
        <v/>
      </c>
      <c r="G2167" s="35">
        <f>IF(B2167="","",IFERROR(INDEX(Students!$A:$A,MATCH(TRIM(B2167),Students!$A:$A,0)),"NOT ON LIST"))</f>
        <v/>
      </c>
      <c r="H2167" s="35">
        <f>IF(OR(G2167="",G2167="NOT ON LIST"),"",VLOOKUP(G2167,Students!$A:$C,2,FALSE))</f>
        <v/>
      </c>
      <c r="I2167" s="35">
        <f>IF(OR(G2167="",G2167="NOT ON LIST"),"",VLOOKUP(G2167,Students!$A:$C,3,FALSE)&amp;"")</f>
        <v/>
      </c>
    </row>
    <row r="2168">
      <c r="A2168" s="31" t="n"/>
      <c r="B2168" s="32" t="n"/>
      <c r="C2168" s="32" t="n"/>
      <c r="D2168" s="33" t="n"/>
      <c r="E2168" s="32" t="n"/>
      <c r="F2168" s="34">
        <f>IF(A2168="","",IFERROR(INT(A2168),"check date"))</f>
        <v/>
      </c>
      <c r="G2168" s="35">
        <f>IF(B2168="","",IFERROR(INDEX(Students!$A:$A,MATCH(TRIM(B2168),Students!$A:$A,0)),"NOT ON LIST"))</f>
        <v/>
      </c>
      <c r="H2168" s="35">
        <f>IF(OR(G2168="",G2168="NOT ON LIST"),"",VLOOKUP(G2168,Students!$A:$C,2,FALSE))</f>
        <v/>
      </c>
      <c r="I2168" s="35">
        <f>IF(OR(G2168="",G2168="NOT ON LIST"),"",VLOOKUP(G2168,Students!$A:$C,3,FALSE)&amp;"")</f>
        <v/>
      </c>
    </row>
    <row r="2169">
      <c r="A2169" s="31" t="n"/>
      <c r="B2169" s="32" t="n"/>
      <c r="C2169" s="32" t="n"/>
      <c r="D2169" s="33" t="n"/>
      <c r="E2169" s="32" t="n"/>
      <c r="F2169" s="34">
        <f>IF(A2169="","",IFERROR(INT(A2169),"check date"))</f>
        <v/>
      </c>
      <c r="G2169" s="35">
        <f>IF(B2169="","",IFERROR(INDEX(Students!$A:$A,MATCH(TRIM(B2169),Students!$A:$A,0)),"NOT ON LIST"))</f>
        <v/>
      </c>
      <c r="H2169" s="35">
        <f>IF(OR(G2169="",G2169="NOT ON LIST"),"",VLOOKUP(G2169,Students!$A:$C,2,FALSE))</f>
        <v/>
      </c>
      <c r="I2169" s="35">
        <f>IF(OR(G2169="",G2169="NOT ON LIST"),"",VLOOKUP(G2169,Students!$A:$C,3,FALSE)&amp;"")</f>
        <v/>
      </c>
    </row>
    <row r="2170">
      <c r="A2170" s="31" t="n"/>
      <c r="B2170" s="32" t="n"/>
      <c r="C2170" s="32" t="n"/>
      <c r="D2170" s="33" t="n"/>
      <c r="E2170" s="32" t="n"/>
      <c r="F2170" s="34">
        <f>IF(A2170="","",IFERROR(INT(A2170),"check date"))</f>
        <v/>
      </c>
      <c r="G2170" s="35">
        <f>IF(B2170="","",IFERROR(INDEX(Students!$A:$A,MATCH(TRIM(B2170),Students!$A:$A,0)),"NOT ON LIST"))</f>
        <v/>
      </c>
      <c r="H2170" s="35">
        <f>IF(OR(G2170="",G2170="NOT ON LIST"),"",VLOOKUP(G2170,Students!$A:$C,2,FALSE))</f>
        <v/>
      </c>
      <c r="I2170" s="35">
        <f>IF(OR(G2170="",G2170="NOT ON LIST"),"",VLOOKUP(G2170,Students!$A:$C,3,FALSE)&amp;"")</f>
        <v/>
      </c>
    </row>
    <row r="2171">
      <c r="A2171" s="31" t="n"/>
      <c r="B2171" s="32" t="n"/>
      <c r="C2171" s="32" t="n"/>
      <c r="D2171" s="33" t="n"/>
      <c r="E2171" s="32" t="n"/>
      <c r="F2171" s="34">
        <f>IF(A2171="","",IFERROR(INT(A2171),"check date"))</f>
        <v/>
      </c>
      <c r="G2171" s="35">
        <f>IF(B2171="","",IFERROR(INDEX(Students!$A:$A,MATCH(TRIM(B2171),Students!$A:$A,0)),"NOT ON LIST"))</f>
        <v/>
      </c>
      <c r="H2171" s="35">
        <f>IF(OR(G2171="",G2171="NOT ON LIST"),"",VLOOKUP(G2171,Students!$A:$C,2,FALSE))</f>
        <v/>
      </c>
      <c r="I2171" s="35">
        <f>IF(OR(G2171="",G2171="NOT ON LIST"),"",VLOOKUP(G2171,Students!$A:$C,3,FALSE)&amp;"")</f>
        <v/>
      </c>
    </row>
    <row r="2172">
      <c r="A2172" s="31" t="n"/>
      <c r="B2172" s="32" t="n"/>
      <c r="C2172" s="32" t="n"/>
      <c r="D2172" s="33" t="n"/>
      <c r="E2172" s="32" t="n"/>
      <c r="F2172" s="34">
        <f>IF(A2172="","",IFERROR(INT(A2172),"check date"))</f>
        <v/>
      </c>
      <c r="G2172" s="35">
        <f>IF(B2172="","",IFERROR(INDEX(Students!$A:$A,MATCH(TRIM(B2172),Students!$A:$A,0)),"NOT ON LIST"))</f>
        <v/>
      </c>
      <c r="H2172" s="35">
        <f>IF(OR(G2172="",G2172="NOT ON LIST"),"",VLOOKUP(G2172,Students!$A:$C,2,FALSE))</f>
        <v/>
      </c>
      <c r="I2172" s="35">
        <f>IF(OR(G2172="",G2172="NOT ON LIST"),"",VLOOKUP(G2172,Students!$A:$C,3,FALSE)&amp;"")</f>
        <v/>
      </c>
    </row>
    <row r="2173">
      <c r="A2173" s="31" t="n"/>
      <c r="B2173" s="32" t="n"/>
      <c r="C2173" s="32" t="n"/>
      <c r="D2173" s="33" t="n"/>
      <c r="E2173" s="32" t="n"/>
      <c r="F2173" s="34">
        <f>IF(A2173="","",IFERROR(INT(A2173),"check date"))</f>
        <v/>
      </c>
      <c r="G2173" s="35">
        <f>IF(B2173="","",IFERROR(INDEX(Students!$A:$A,MATCH(TRIM(B2173),Students!$A:$A,0)),"NOT ON LIST"))</f>
        <v/>
      </c>
      <c r="H2173" s="35">
        <f>IF(OR(G2173="",G2173="NOT ON LIST"),"",VLOOKUP(G2173,Students!$A:$C,2,FALSE))</f>
        <v/>
      </c>
      <c r="I2173" s="35">
        <f>IF(OR(G2173="",G2173="NOT ON LIST"),"",VLOOKUP(G2173,Students!$A:$C,3,FALSE)&amp;"")</f>
        <v/>
      </c>
    </row>
    <row r="2174">
      <c r="A2174" s="31" t="n"/>
      <c r="B2174" s="32" t="n"/>
      <c r="C2174" s="32" t="n"/>
      <c r="D2174" s="33" t="n"/>
      <c r="E2174" s="32" t="n"/>
      <c r="F2174" s="34">
        <f>IF(A2174="","",IFERROR(INT(A2174),"check date"))</f>
        <v/>
      </c>
      <c r="G2174" s="35">
        <f>IF(B2174="","",IFERROR(INDEX(Students!$A:$A,MATCH(TRIM(B2174),Students!$A:$A,0)),"NOT ON LIST"))</f>
        <v/>
      </c>
      <c r="H2174" s="35">
        <f>IF(OR(G2174="",G2174="NOT ON LIST"),"",VLOOKUP(G2174,Students!$A:$C,2,FALSE))</f>
        <v/>
      </c>
      <c r="I2174" s="35">
        <f>IF(OR(G2174="",G2174="NOT ON LIST"),"",VLOOKUP(G2174,Students!$A:$C,3,FALSE)&amp;"")</f>
        <v/>
      </c>
    </row>
    <row r="2175">
      <c r="A2175" s="31" t="n"/>
      <c r="B2175" s="32" t="n"/>
      <c r="C2175" s="32" t="n"/>
      <c r="D2175" s="33" t="n"/>
      <c r="E2175" s="32" t="n"/>
      <c r="F2175" s="34">
        <f>IF(A2175="","",IFERROR(INT(A2175),"check date"))</f>
        <v/>
      </c>
      <c r="G2175" s="35">
        <f>IF(B2175="","",IFERROR(INDEX(Students!$A:$A,MATCH(TRIM(B2175),Students!$A:$A,0)),"NOT ON LIST"))</f>
        <v/>
      </c>
      <c r="H2175" s="35">
        <f>IF(OR(G2175="",G2175="NOT ON LIST"),"",VLOOKUP(G2175,Students!$A:$C,2,FALSE))</f>
        <v/>
      </c>
      <c r="I2175" s="35">
        <f>IF(OR(G2175="",G2175="NOT ON LIST"),"",VLOOKUP(G2175,Students!$A:$C,3,FALSE)&amp;"")</f>
        <v/>
      </c>
    </row>
    <row r="2176">
      <c r="A2176" s="31" t="n"/>
      <c r="B2176" s="32" t="n"/>
      <c r="C2176" s="32" t="n"/>
      <c r="D2176" s="33" t="n"/>
      <c r="E2176" s="32" t="n"/>
      <c r="F2176" s="34">
        <f>IF(A2176="","",IFERROR(INT(A2176),"check date"))</f>
        <v/>
      </c>
      <c r="G2176" s="35">
        <f>IF(B2176="","",IFERROR(INDEX(Students!$A:$A,MATCH(TRIM(B2176),Students!$A:$A,0)),"NOT ON LIST"))</f>
        <v/>
      </c>
      <c r="H2176" s="35">
        <f>IF(OR(G2176="",G2176="NOT ON LIST"),"",VLOOKUP(G2176,Students!$A:$C,2,FALSE))</f>
        <v/>
      </c>
      <c r="I2176" s="35">
        <f>IF(OR(G2176="",G2176="NOT ON LIST"),"",VLOOKUP(G2176,Students!$A:$C,3,FALSE)&amp;"")</f>
        <v/>
      </c>
    </row>
    <row r="2177">
      <c r="A2177" s="31" t="n"/>
      <c r="B2177" s="32" t="n"/>
      <c r="C2177" s="32" t="n"/>
      <c r="D2177" s="33" t="n"/>
      <c r="E2177" s="32" t="n"/>
      <c r="F2177" s="34">
        <f>IF(A2177="","",IFERROR(INT(A2177),"check date"))</f>
        <v/>
      </c>
      <c r="G2177" s="35">
        <f>IF(B2177="","",IFERROR(INDEX(Students!$A:$A,MATCH(TRIM(B2177),Students!$A:$A,0)),"NOT ON LIST"))</f>
        <v/>
      </c>
      <c r="H2177" s="35">
        <f>IF(OR(G2177="",G2177="NOT ON LIST"),"",VLOOKUP(G2177,Students!$A:$C,2,FALSE))</f>
        <v/>
      </c>
      <c r="I2177" s="35">
        <f>IF(OR(G2177="",G2177="NOT ON LIST"),"",VLOOKUP(G2177,Students!$A:$C,3,FALSE)&amp;"")</f>
        <v/>
      </c>
    </row>
    <row r="2178">
      <c r="A2178" s="31" t="n"/>
      <c r="B2178" s="32" t="n"/>
      <c r="C2178" s="32" t="n"/>
      <c r="D2178" s="33" t="n"/>
      <c r="E2178" s="32" t="n"/>
      <c r="F2178" s="34">
        <f>IF(A2178="","",IFERROR(INT(A2178),"check date"))</f>
        <v/>
      </c>
      <c r="G2178" s="35">
        <f>IF(B2178="","",IFERROR(INDEX(Students!$A:$A,MATCH(TRIM(B2178),Students!$A:$A,0)),"NOT ON LIST"))</f>
        <v/>
      </c>
      <c r="H2178" s="35">
        <f>IF(OR(G2178="",G2178="NOT ON LIST"),"",VLOOKUP(G2178,Students!$A:$C,2,FALSE))</f>
        <v/>
      </c>
      <c r="I2178" s="35">
        <f>IF(OR(G2178="",G2178="NOT ON LIST"),"",VLOOKUP(G2178,Students!$A:$C,3,FALSE)&amp;"")</f>
        <v/>
      </c>
    </row>
    <row r="2179">
      <c r="A2179" s="31" t="n"/>
      <c r="B2179" s="32" t="n"/>
      <c r="C2179" s="32" t="n"/>
      <c r="D2179" s="33" t="n"/>
      <c r="E2179" s="32" t="n"/>
      <c r="F2179" s="34">
        <f>IF(A2179="","",IFERROR(INT(A2179),"check date"))</f>
        <v/>
      </c>
      <c r="G2179" s="35">
        <f>IF(B2179="","",IFERROR(INDEX(Students!$A:$A,MATCH(TRIM(B2179),Students!$A:$A,0)),"NOT ON LIST"))</f>
        <v/>
      </c>
      <c r="H2179" s="35">
        <f>IF(OR(G2179="",G2179="NOT ON LIST"),"",VLOOKUP(G2179,Students!$A:$C,2,FALSE))</f>
        <v/>
      </c>
      <c r="I2179" s="35">
        <f>IF(OR(G2179="",G2179="NOT ON LIST"),"",VLOOKUP(G2179,Students!$A:$C,3,FALSE)&amp;"")</f>
        <v/>
      </c>
    </row>
    <row r="2180">
      <c r="A2180" s="31" t="n"/>
      <c r="B2180" s="32" t="n"/>
      <c r="C2180" s="32" t="n"/>
      <c r="D2180" s="33" t="n"/>
      <c r="E2180" s="32" t="n"/>
      <c r="F2180" s="34">
        <f>IF(A2180="","",IFERROR(INT(A2180),"check date"))</f>
        <v/>
      </c>
      <c r="G2180" s="35">
        <f>IF(B2180="","",IFERROR(INDEX(Students!$A:$A,MATCH(TRIM(B2180),Students!$A:$A,0)),"NOT ON LIST"))</f>
        <v/>
      </c>
      <c r="H2180" s="35">
        <f>IF(OR(G2180="",G2180="NOT ON LIST"),"",VLOOKUP(G2180,Students!$A:$C,2,FALSE))</f>
        <v/>
      </c>
      <c r="I2180" s="35">
        <f>IF(OR(G2180="",G2180="NOT ON LIST"),"",VLOOKUP(G2180,Students!$A:$C,3,FALSE)&amp;"")</f>
        <v/>
      </c>
    </row>
    <row r="2181">
      <c r="A2181" s="31" t="n"/>
      <c r="B2181" s="32" t="n"/>
      <c r="C2181" s="32" t="n"/>
      <c r="D2181" s="33" t="n"/>
      <c r="E2181" s="32" t="n"/>
      <c r="F2181" s="34">
        <f>IF(A2181="","",IFERROR(INT(A2181),"check date"))</f>
        <v/>
      </c>
      <c r="G2181" s="35">
        <f>IF(B2181="","",IFERROR(INDEX(Students!$A:$A,MATCH(TRIM(B2181),Students!$A:$A,0)),"NOT ON LIST"))</f>
        <v/>
      </c>
      <c r="H2181" s="35">
        <f>IF(OR(G2181="",G2181="NOT ON LIST"),"",VLOOKUP(G2181,Students!$A:$C,2,FALSE))</f>
        <v/>
      </c>
      <c r="I2181" s="35">
        <f>IF(OR(G2181="",G2181="NOT ON LIST"),"",VLOOKUP(G2181,Students!$A:$C,3,FALSE)&amp;"")</f>
        <v/>
      </c>
    </row>
    <row r="2182">
      <c r="A2182" s="31" t="n"/>
      <c r="B2182" s="32" t="n"/>
      <c r="C2182" s="32" t="n"/>
      <c r="D2182" s="33" t="n"/>
      <c r="E2182" s="32" t="n"/>
      <c r="F2182" s="34">
        <f>IF(A2182="","",IFERROR(INT(A2182),"check date"))</f>
        <v/>
      </c>
      <c r="G2182" s="35">
        <f>IF(B2182="","",IFERROR(INDEX(Students!$A:$A,MATCH(TRIM(B2182),Students!$A:$A,0)),"NOT ON LIST"))</f>
        <v/>
      </c>
      <c r="H2182" s="35">
        <f>IF(OR(G2182="",G2182="NOT ON LIST"),"",VLOOKUP(G2182,Students!$A:$C,2,FALSE))</f>
        <v/>
      </c>
      <c r="I2182" s="35">
        <f>IF(OR(G2182="",G2182="NOT ON LIST"),"",VLOOKUP(G2182,Students!$A:$C,3,FALSE)&amp;"")</f>
        <v/>
      </c>
    </row>
    <row r="2183">
      <c r="A2183" s="31" t="n"/>
      <c r="B2183" s="32" t="n"/>
      <c r="C2183" s="32" t="n"/>
      <c r="D2183" s="33" t="n"/>
      <c r="E2183" s="32" t="n"/>
      <c r="F2183" s="34">
        <f>IF(A2183="","",IFERROR(INT(A2183),"check date"))</f>
        <v/>
      </c>
      <c r="G2183" s="35">
        <f>IF(B2183="","",IFERROR(INDEX(Students!$A:$A,MATCH(TRIM(B2183),Students!$A:$A,0)),"NOT ON LIST"))</f>
        <v/>
      </c>
      <c r="H2183" s="35">
        <f>IF(OR(G2183="",G2183="NOT ON LIST"),"",VLOOKUP(G2183,Students!$A:$C,2,FALSE))</f>
        <v/>
      </c>
      <c r="I2183" s="35">
        <f>IF(OR(G2183="",G2183="NOT ON LIST"),"",VLOOKUP(G2183,Students!$A:$C,3,FALSE)&amp;"")</f>
        <v/>
      </c>
    </row>
    <row r="2184">
      <c r="A2184" s="31" t="n"/>
      <c r="B2184" s="32" t="n"/>
      <c r="C2184" s="32" t="n"/>
      <c r="D2184" s="33" t="n"/>
      <c r="E2184" s="32" t="n"/>
      <c r="F2184" s="34">
        <f>IF(A2184="","",IFERROR(INT(A2184),"check date"))</f>
        <v/>
      </c>
      <c r="G2184" s="35">
        <f>IF(B2184="","",IFERROR(INDEX(Students!$A:$A,MATCH(TRIM(B2184),Students!$A:$A,0)),"NOT ON LIST"))</f>
        <v/>
      </c>
      <c r="H2184" s="35">
        <f>IF(OR(G2184="",G2184="NOT ON LIST"),"",VLOOKUP(G2184,Students!$A:$C,2,FALSE))</f>
        <v/>
      </c>
      <c r="I2184" s="35">
        <f>IF(OR(G2184="",G2184="NOT ON LIST"),"",VLOOKUP(G2184,Students!$A:$C,3,FALSE)&amp;"")</f>
        <v/>
      </c>
    </row>
    <row r="2185">
      <c r="A2185" s="31" t="n"/>
      <c r="B2185" s="32" t="n"/>
      <c r="C2185" s="32" t="n"/>
      <c r="D2185" s="33" t="n"/>
      <c r="E2185" s="32" t="n"/>
      <c r="F2185" s="34">
        <f>IF(A2185="","",IFERROR(INT(A2185),"check date"))</f>
        <v/>
      </c>
      <c r="G2185" s="35">
        <f>IF(B2185="","",IFERROR(INDEX(Students!$A:$A,MATCH(TRIM(B2185),Students!$A:$A,0)),"NOT ON LIST"))</f>
        <v/>
      </c>
      <c r="H2185" s="35">
        <f>IF(OR(G2185="",G2185="NOT ON LIST"),"",VLOOKUP(G2185,Students!$A:$C,2,FALSE))</f>
        <v/>
      </c>
      <c r="I2185" s="35">
        <f>IF(OR(G2185="",G2185="NOT ON LIST"),"",VLOOKUP(G2185,Students!$A:$C,3,FALSE)&amp;"")</f>
        <v/>
      </c>
    </row>
    <row r="2186">
      <c r="A2186" s="31" t="n"/>
      <c r="B2186" s="32" t="n"/>
      <c r="C2186" s="32" t="n"/>
      <c r="D2186" s="33" t="n"/>
      <c r="E2186" s="32" t="n"/>
      <c r="F2186" s="34">
        <f>IF(A2186="","",IFERROR(INT(A2186),"check date"))</f>
        <v/>
      </c>
      <c r="G2186" s="35">
        <f>IF(B2186="","",IFERROR(INDEX(Students!$A:$A,MATCH(TRIM(B2186),Students!$A:$A,0)),"NOT ON LIST"))</f>
        <v/>
      </c>
      <c r="H2186" s="35">
        <f>IF(OR(G2186="",G2186="NOT ON LIST"),"",VLOOKUP(G2186,Students!$A:$C,2,FALSE))</f>
        <v/>
      </c>
      <c r="I2186" s="35">
        <f>IF(OR(G2186="",G2186="NOT ON LIST"),"",VLOOKUP(G2186,Students!$A:$C,3,FALSE)&amp;"")</f>
        <v/>
      </c>
    </row>
    <row r="2187">
      <c r="A2187" s="31" t="n"/>
      <c r="B2187" s="32" t="n"/>
      <c r="C2187" s="32" t="n"/>
      <c r="D2187" s="33" t="n"/>
      <c r="E2187" s="32" t="n"/>
      <c r="F2187" s="34">
        <f>IF(A2187="","",IFERROR(INT(A2187),"check date"))</f>
        <v/>
      </c>
      <c r="G2187" s="35">
        <f>IF(B2187="","",IFERROR(INDEX(Students!$A:$A,MATCH(TRIM(B2187),Students!$A:$A,0)),"NOT ON LIST"))</f>
        <v/>
      </c>
      <c r="H2187" s="35">
        <f>IF(OR(G2187="",G2187="NOT ON LIST"),"",VLOOKUP(G2187,Students!$A:$C,2,FALSE))</f>
        <v/>
      </c>
      <c r="I2187" s="35">
        <f>IF(OR(G2187="",G2187="NOT ON LIST"),"",VLOOKUP(G2187,Students!$A:$C,3,FALSE)&amp;"")</f>
        <v/>
      </c>
    </row>
    <row r="2188">
      <c r="A2188" s="31" t="n"/>
      <c r="B2188" s="32" t="n"/>
      <c r="C2188" s="32" t="n"/>
      <c r="D2188" s="33" t="n"/>
      <c r="E2188" s="32" t="n"/>
      <c r="F2188" s="34">
        <f>IF(A2188="","",IFERROR(INT(A2188),"check date"))</f>
        <v/>
      </c>
      <c r="G2188" s="35">
        <f>IF(B2188="","",IFERROR(INDEX(Students!$A:$A,MATCH(TRIM(B2188),Students!$A:$A,0)),"NOT ON LIST"))</f>
        <v/>
      </c>
      <c r="H2188" s="35">
        <f>IF(OR(G2188="",G2188="NOT ON LIST"),"",VLOOKUP(G2188,Students!$A:$C,2,FALSE))</f>
        <v/>
      </c>
      <c r="I2188" s="35">
        <f>IF(OR(G2188="",G2188="NOT ON LIST"),"",VLOOKUP(G2188,Students!$A:$C,3,FALSE)&amp;"")</f>
        <v/>
      </c>
    </row>
    <row r="2189">
      <c r="A2189" s="31" t="n"/>
      <c r="B2189" s="32" t="n"/>
      <c r="C2189" s="32" t="n"/>
      <c r="D2189" s="33" t="n"/>
      <c r="E2189" s="32" t="n"/>
      <c r="F2189" s="34">
        <f>IF(A2189="","",IFERROR(INT(A2189),"check date"))</f>
        <v/>
      </c>
      <c r="G2189" s="35">
        <f>IF(B2189="","",IFERROR(INDEX(Students!$A:$A,MATCH(TRIM(B2189),Students!$A:$A,0)),"NOT ON LIST"))</f>
        <v/>
      </c>
      <c r="H2189" s="35">
        <f>IF(OR(G2189="",G2189="NOT ON LIST"),"",VLOOKUP(G2189,Students!$A:$C,2,FALSE))</f>
        <v/>
      </c>
      <c r="I2189" s="35">
        <f>IF(OR(G2189="",G2189="NOT ON LIST"),"",VLOOKUP(G2189,Students!$A:$C,3,FALSE)&amp;"")</f>
        <v/>
      </c>
    </row>
    <row r="2190">
      <c r="A2190" s="31" t="n"/>
      <c r="B2190" s="32" t="n"/>
      <c r="C2190" s="32" t="n"/>
      <c r="D2190" s="33" t="n"/>
      <c r="E2190" s="32" t="n"/>
      <c r="F2190" s="34">
        <f>IF(A2190="","",IFERROR(INT(A2190),"check date"))</f>
        <v/>
      </c>
      <c r="G2190" s="35">
        <f>IF(B2190="","",IFERROR(INDEX(Students!$A:$A,MATCH(TRIM(B2190),Students!$A:$A,0)),"NOT ON LIST"))</f>
        <v/>
      </c>
      <c r="H2190" s="35">
        <f>IF(OR(G2190="",G2190="NOT ON LIST"),"",VLOOKUP(G2190,Students!$A:$C,2,FALSE))</f>
        <v/>
      </c>
      <c r="I2190" s="35">
        <f>IF(OR(G2190="",G2190="NOT ON LIST"),"",VLOOKUP(G2190,Students!$A:$C,3,FALSE)&amp;"")</f>
        <v/>
      </c>
    </row>
    <row r="2191">
      <c r="A2191" s="31" t="n"/>
      <c r="B2191" s="32" t="n"/>
      <c r="C2191" s="32" t="n"/>
      <c r="D2191" s="33" t="n"/>
      <c r="E2191" s="32" t="n"/>
      <c r="F2191" s="34">
        <f>IF(A2191="","",IFERROR(INT(A2191),"check date"))</f>
        <v/>
      </c>
      <c r="G2191" s="35">
        <f>IF(B2191="","",IFERROR(INDEX(Students!$A:$A,MATCH(TRIM(B2191),Students!$A:$A,0)),"NOT ON LIST"))</f>
        <v/>
      </c>
      <c r="H2191" s="35">
        <f>IF(OR(G2191="",G2191="NOT ON LIST"),"",VLOOKUP(G2191,Students!$A:$C,2,FALSE))</f>
        <v/>
      </c>
      <c r="I2191" s="35">
        <f>IF(OR(G2191="",G2191="NOT ON LIST"),"",VLOOKUP(G2191,Students!$A:$C,3,FALSE)&amp;"")</f>
        <v/>
      </c>
    </row>
    <row r="2192">
      <c r="A2192" s="31" t="n"/>
      <c r="B2192" s="32" t="n"/>
      <c r="C2192" s="32" t="n"/>
      <c r="D2192" s="33" t="n"/>
      <c r="E2192" s="32" t="n"/>
      <c r="F2192" s="34">
        <f>IF(A2192="","",IFERROR(INT(A2192),"check date"))</f>
        <v/>
      </c>
      <c r="G2192" s="35">
        <f>IF(B2192="","",IFERROR(INDEX(Students!$A:$A,MATCH(TRIM(B2192),Students!$A:$A,0)),"NOT ON LIST"))</f>
        <v/>
      </c>
      <c r="H2192" s="35">
        <f>IF(OR(G2192="",G2192="NOT ON LIST"),"",VLOOKUP(G2192,Students!$A:$C,2,FALSE))</f>
        <v/>
      </c>
      <c r="I2192" s="35">
        <f>IF(OR(G2192="",G2192="NOT ON LIST"),"",VLOOKUP(G2192,Students!$A:$C,3,FALSE)&amp;"")</f>
        <v/>
      </c>
    </row>
    <row r="2193">
      <c r="A2193" s="31" t="n"/>
      <c r="B2193" s="32" t="n"/>
      <c r="C2193" s="32" t="n"/>
      <c r="D2193" s="33" t="n"/>
      <c r="E2193" s="32" t="n"/>
      <c r="F2193" s="34">
        <f>IF(A2193="","",IFERROR(INT(A2193),"check date"))</f>
        <v/>
      </c>
      <c r="G2193" s="35">
        <f>IF(B2193="","",IFERROR(INDEX(Students!$A:$A,MATCH(TRIM(B2193),Students!$A:$A,0)),"NOT ON LIST"))</f>
        <v/>
      </c>
      <c r="H2193" s="35">
        <f>IF(OR(G2193="",G2193="NOT ON LIST"),"",VLOOKUP(G2193,Students!$A:$C,2,FALSE))</f>
        <v/>
      </c>
      <c r="I2193" s="35">
        <f>IF(OR(G2193="",G2193="NOT ON LIST"),"",VLOOKUP(G2193,Students!$A:$C,3,FALSE)&amp;"")</f>
        <v/>
      </c>
    </row>
    <row r="2194">
      <c r="A2194" s="31" t="n"/>
      <c r="B2194" s="32" t="n"/>
      <c r="C2194" s="32" t="n"/>
      <c r="D2194" s="33" t="n"/>
      <c r="E2194" s="32" t="n"/>
      <c r="F2194" s="34">
        <f>IF(A2194="","",IFERROR(INT(A2194),"check date"))</f>
        <v/>
      </c>
      <c r="G2194" s="35">
        <f>IF(B2194="","",IFERROR(INDEX(Students!$A:$A,MATCH(TRIM(B2194),Students!$A:$A,0)),"NOT ON LIST"))</f>
        <v/>
      </c>
      <c r="H2194" s="35">
        <f>IF(OR(G2194="",G2194="NOT ON LIST"),"",VLOOKUP(G2194,Students!$A:$C,2,FALSE))</f>
        <v/>
      </c>
      <c r="I2194" s="35">
        <f>IF(OR(G2194="",G2194="NOT ON LIST"),"",VLOOKUP(G2194,Students!$A:$C,3,FALSE)&amp;"")</f>
        <v/>
      </c>
    </row>
    <row r="2195">
      <c r="A2195" s="31" t="n"/>
      <c r="B2195" s="32" t="n"/>
      <c r="C2195" s="32" t="n"/>
      <c r="D2195" s="33" t="n"/>
      <c r="E2195" s="32" t="n"/>
      <c r="F2195" s="34">
        <f>IF(A2195="","",IFERROR(INT(A2195),"check date"))</f>
        <v/>
      </c>
      <c r="G2195" s="35">
        <f>IF(B2195="","",IFERROR(INDEX(Students!$A:$A,MATCH(TRIM(B2195),Students!$A:$A,0)),"NOT ON LIST"))</f>
        <v/>
      </c>
      <c r="H2195" s="35">
        <f>IF(OR(G2195="",G2195="NOT ON LIST"),"",VLOOKUP(G2195,Students!$A:$C,2,FALSE))</f>
        <v/>
      </c>
      <c r="I2195" s="35">
        <f>IF(OR(G2195="",G2195="NOT ON LIST"),"",VLOOKUP(G2195,Students!$A:$C,3,FALSE)&amp;"")</f>
        <v/>
      </c>
    </row>
    <row r="2196">
      <c r="A2196" s="31" t="n"/>
      <c r="B2196" s="32" t="n"/>
      <c r="C2196" s="32" t="n"/>
      <c r="D2196" s="33" t="n"/>
      <c r="E2196" s="32" t="n"/>
      <c r="F2196" s="34">
        <f>IF(A2196="","",IFERROR(INT(A2196),"check date"))</f>
        <v/>
      </c>
      <c r="G2196" s="35">
        <f>IF(B2196="","",IFERROR(INDEX(Students!$A:$A,MATCH(TRIM(B2196),Students!$A:$A,0)),"NOT ON LIST"))</f>
        <v/>
      </c>
      <c r="H2196" s="35">
        <f>IF(OR(G2196="",G2196="NOT ON LIST"),"",VLOOKUP(G2196,Students!$A:$C,2,FALSE))</f>
        <v/>
      </c>
      <c r="I2196" s="35">
        <f>IF(OR(G2196="",G2196="NOT ON LIST"),"",VLOOKUP(G2196,Students!$A:$C,3,FALSE)&amp;"")</f>
        <v/>
      </c>
    </row>
    <row r="2197">
      <c r="A2197" s="31" t="n"/>
      <c r="B2197" s="32" t="n"/>
      <c r="C2197" s="32" t="n"/>
      <c r="D2197" s="33" t="n"/>
      <c r="E2197" s="32" t="n"/>
      <c r="F2197" s="34">
        <f>IF(A2197="","",IFERROR(INT(A2197),"check date"))</f>
        <v/>
      </c>
      <c r="G2197" s="35">
        <f>IF(B2197="","",IFERROR(INDEX(Students!$A:$A,MATCH(TRIM(B2197),Students!$A:$A,0)),"NOT ON LIST"))</f>
        <v/>
      </c>
      <c r="H2197" s="35">
        <f>IF(OR(G2197="",G2197="NOT ON LIST"),"",VLOOKUP(G2197,Students!$A:$C,2,FALSE))</f>
        <v/>
      </c>
      <c r="I2197" s="35">
        <f>IF(OR(G2197="",G2197="NOT ON LIST"),"",VLOOKUP(G2197,Students!$A:$C,3,FALSE)&amp;"")</f>
        <v/>
      </c>
    </row>
    <row r="2198">
      <c r="A2198" s="31" t="n"/>
      <c r="B2198" s="32" t="n"/>
      <c r="C2198" s="32" t="n"/>
      <c r="D2198" s="33" t="n"/>
      <c r="E2198" s="32" t="n"/>
      <c r="F2198" s="34">
        <f>IF(A2198="","",IFERROR(INT(A2198),"check date"))</f>
        <v/>
      </c>
      <c r="G2198" s="35">
        <f>IF(B2198="","",IFERROR(INDEX(Students!$A:$A,MATCH(TRIM(B2198),Students!$A:$A,0)),"NOT ON LIST"))</f>
        <v/>
      </c>
      <c r="H2198" s="35">
        <f>IF(OR(G2198="",G2198="NOT ON LIST"),"",VLOOKUP(G2198,Students!$A:$C,2,FALSE))</f>
        <v/>
      </c>
      <c r="I2198" s="35">
        <f>IF(OR(G2198="",G2198="NOT ON LIST"),"",VLOOKUP(G2198,Students!$A:$C,3,FALSE)&amp;"")</f>
        <v/>
      </c>
    </row>
    <row r="2199">
      <c r="A2199" s="31" t="n"/>
      <c r="B2199" s="32" t="n"/>
      <c r="C2199" s="32" t="n"/>
      <c r="D2199" s="33" t="n"/>
      <c r="E2199" s="32" t="n"/>
      <c r="F2199" s="34">
        <f>IF(A2199="","",IFERROR(INT(A2199),"check date"))</f>
        <v/>
      </c>
      <c r="G2199" s="35">
        <f>IF(B2199="","",IFERROR(INDEX(Students!$A:$A,MATCH(TRIM(B2199),Students!$A:$A,0)),"NOT ON LIST"))</f>
        <v/>
      </c>
      <c r="H2199" s="35">
        <f>IF(OR(G2199="",G2199="NOT ON LIST"),"",VLOOKUP(G2199,Students!$A:$C,2,FALSE))</f>
        <v/>
      </c>
      <c r="I2199" s="35">
        <f>IF(OR(G2199="",G2199="NOT ON LIST"),"",VLOOKUP(G2199,Students!$A:$C,3,FALSE)&amp;"")</f>
        <v/>
      </c>
    </row>
    <row r="2200">
      <c r="A2200" s="31" t="n"/>
      <c r="B2200" s="32" t="n"/>
      <c r="C2200" s="32" t="n"/>
      <c r="D2200" s="33" t="n"/>
      <c r="E2200" s="32" t="n"/>
      <c r="F2200" s="34">
        <f>IF(A2200="","",IFERROR(INT(A2200),"check date"))</f>
        <v/>
      </c>
      <c r="G2200" s="35">
        <f>IF(B2200="","",IFERROR(INDEX(Students!$A:$A,MATCH(TRIM(B2200),Students!$A:$A,0)),"NOT ON LIST"))</f>
        <v/>
      </c>
      <c r="H2200" s="35">
        <f>IF(OR(G2200="",G2200="NOT ON LIST"),"",VLOOKUP(G2200,Students!$A:$C,2,FALSE))</f>
        <v/>
      </c>
      <c r="I2200" s="35">
        <f>IF(OR(G2200="",G2200="NOT ON LIST"),"",VLOOKUP(G2200,Students!$A:$C,3,FALSE)&amp;"")</f>
        <v/>
      </c>
    </row>
    <row r="2201">
      <c r="A2201" s="31" t="n"/>
      <c r="B2201" s="32" t="n"/>
      <c r="C2201" s="32" t="n"/>
      <c r="D2201" s="33" t="n"/>
      <c r="E2201" s="32" t="n"/>
      <c r="F2201" s="34">
        <f>IF(A2201="","",IFERROR(INT(A2201),"check date"))</f>
        <v/>
      </c>
      <c r="G2201" s="35">
        <f>IF(B2201="","",IFERROR(INDEX(Students!$A:$A,MATCH(TRIM(B2201),Students!$A:$A,0)),"NOT ON LIST"))</f>
        <v/>
      </c>
      <c r="H2201" s="35">
        <f>IF(OR(G2201="",G2201="NOT ON LIST"),"",VLOOKUP(G2201,Students!$A:$C,2,FALSE))</f>
        <v/>
      </c>
      <c r="I2201" s="35">
        <f>IF(OR(G2201="",G2201="NOT ON LIST"),"",VLOOKUP(G2201,Students!$A:$C,3,FALSE)&amp;"")</f>
        <v/>
      </c>
    </row>
    <row r="2202">
      <c r="A2202" s="31" t="n"/>
      <c r="B2202" s="32" t="n"/>
      <c r="C2202" s="32" t="n"/>
      <c r="D2202" s="33" t="n"/>
      <c r="E2202" s="32" t="n"/>
      <c r="F2202" s="34">
        <f>IF(A2202="","",IFERROR(INT(A2202),"check date"))</f>
        <v/>
      </c>
      <c r="G2202" s="35">
        <f>IF(B2202="","",IFERROR(INDEX(Students!$A:$A,MATCH(TRIM(B2202),Students!$A:$A,0)),"NOT ON LIST"))</f>
        <v/>
      </c>
      <c r="H2202" s="35">
        <f>IF(OR(G2202="",G2202="NOT ON LIST"),"",VLOOKUP(G2202,Students!$A:$C,2,FALSE))</f>
        <v/>
      </c>
      <c r="I2202" s="35">
        <f>IF(OR(G2202="",G2202="NOT ON LIST"),"",VLOOKUP(G2202,Students!$A:$C,3,FALSE)&amp;"")</f>
        <v/>
      </c>
    </row>
    <row r="2203">
      <c r="A2203" s="31" t="n"/>
      <c r="B2203" s="32" t="n"/>
      <c r="C2203" s="32" t="n"/>
      <c r="D2203" s="33" t="n"/>
      <c r="E2203" s="32" t="n"/>
      <c r="F2203" s="34">
        <f>IF(A2203="","",IFERROR(INT(A2203),"check date"))</f>
        <v/>
      </c>
      <c r="G2203" s="35">
        <f>IF(B2203="","",IFERROR(INDEX(Students!$A:$A,MATCH(TRIM(B2203),Students!$A:$A,0)),"NOT ON LIST"))</f>
        <v/>
      </c>
      <c r="H2203" s="35">
        <f>IF(OR(G2203="",G2203="NOT ON LIST"),"",VLOOKUP(G2203,Students!$A:$C,2,FALSE))</f>
        <v/>
      </c>
      <c r="I2203" s="35">
        <f>IF(OR(G2203="",G2203="NOT ON LIST"),"",VLOOKUP(G2203,Students!$A:$C,3,FALSE)&amp;"")</f>
        <v/>
      </c>
    </row>
    <row r="2204">
      <c r="A2204" s="31" t="n"/>
      <c r="B2204" s="32" t="n"/>
      <c r="C2204" s="32" t="n"/>
      <c r="D2204" s="33" t="n"/>
      <c r="E2204" s="32" t="n"/>
      <c r="F2204" s="34">
        <f>IF(A2204="","",IFERROR(INT(A2204),"check date"))</f>
        <v/>
      </c>
      <c r="G2204" s="35">
        <f>IF(B2204="","",IFERROR(INDEX(Students!$A:$A,MATCH(TRIM(B2204),Students!$A:$A,0)),"NOT ON LIST"))</f>
        <v/>
      </c>
      <c r="H2204" s="35">
        <f>IF(OR(G2204="",G2204="NOT ON LIST"),"",VLOOKUP(G2204,Students!$A:$C,2,FALSE))</f>
        <v/>
      </c>
      <c r="I2204" s="35">
        <f>IF(OR(G2204="",G2204="NOT ON LIST"),"",VLOOKUP(G2204,Students!$A:$C,3,FALSE)&amp;"")</f>
        <v/>
      </c>
    </row>
    <row r="2205">
      <c r="A2205" s="31" t="n"/>
      <c r="B2205" s="32" t="n"/>
      <c r="C2205" s="32" t="n"/>
      <c r="D2205" s="33" t="n"/>
      <c r="E2205" s="32" t="n"/>
      <c r="F2205" s="34">
        <f>IF(A2205="","",IFERROR(INT(A2205),"check date"))</f>
        <v/>
      </c>
      <c r="G2205" s="35">
        <f>IF(B2205="","",IFERROR(INDEX(Students!$A:$A,MATCH(TRIM(B2205),Students!$A:$A,0)),"NOT ON LIST"))</f>
        <v/>
      </c>
      <c r="H2205" s="35">
        <f>IF(OR(G2205="",G2205="NOT ON LIST"),"",VLOOKUP(G2205,Students!$A:$C,2,FALSE))</f>
        <v/>
      </c>
      <c r="I2205" s="35">
        <f>IF(OR(G2205="",G2205="NOT ON LIST"),"",VLOOKUP(G2205,Students!$A:$C,3,FALSE)&amp;"")</f>
        <v/>
      </c>
    </row>
    <row r="2206">
      <c r="A2206" s="31" t="n"/>
      <c r="B2206" s="32" t="n"/>
      <c r="C2206" s="32" t="n"/>
      <c r="D2206" s="33" t="n"/>
      <c r="E2206" s="32" t="n"/>
      <c r="F2206" s="34">
        <f>IF(A2206="","",IFERROR(INT(A2206),"check date"))</f>
        <v/>
      </c>
      <c r="G2206" s="35">
        <f>IF(B2206="","",IFERROR(INDEX(Students!$A:$A,MATCH(TRIM(B2206),Students!$A:$A,0)),"NOT ON LIST"))</f>
        <v/>
      </c>
      <c r="H2206" s="35">
        <f>IF(OR(G2206="",G2206="NOT ON LIST"),"",VLOOKUP(G2206,Students!$A:$C,2,FALSE))</f>
        <v/>
      </c>
      <c r="I2206" s="35">
        <f>IF(OR(G2206="",G2206="NOT ON LIST"),"",VLOOKUP(G2206,Students!$A:$C,3,FALSE)&amp;"")</f>
        <v/>
      </c>
    </row>
    <row r="2207">
      <c r="A2207" s="31" t="n"/>
      <c r="B2207" s="32" t="n"/>
      <c r="C2207" s="32" t="n"/>
      <c r="D2207" s="33" t="n"/>
      <c r="E2207" s="32" t="n"/>
      <c r="F2207" s="34">
        <f>IF(A2207="","",IFERROR(INT(A2207),"check date"))</f>
        <v/>
      </c>
      <c r="G2207" s="35">
        <f>IF(B2207="","",IFERROR(INDEX(Students!$A:$A,MATCH(TRIM(B2207),Students!$A:$A,0)),"NOT ON LIST"))</f>
        <v/>
      </c>
      <c r="H2207" s="35">
        <f>IF(OR(G2207="",G2207="NOT ON LIST"),"",VLOOKUP(G2207,Students!$A:$C,2,FALSE))</f>
        <v/>
      </c>
      <c r="I2207" s="35">
        <f>IF(OR(G2207="",G2207="NOT ON LIST"),"",VLOOKUP(G2207,Students!$A:$C,3,FALSE)&amp;"")</f>
        <v/>
      </c>
    </row>
    <row r="2208">
      <c r="A2208" s="31" t="n"/>
      <c r="B2208" s="32" t="n"/>
      <c r="C2208" s="32" t="n"/>
      <c r="D2208" s="33" t="n"/>
      <c r="E2208" s="32" t="n"/>
      <c r="F2208" s="34">
        <f>IF(A2208="","",IFERROR(INT(A2208),"check date"))</f>
        <v/>
      </c>
      <c r="G2208" s="35">
        <f>IF(B2208="","",IFERROR(INDEX(Students!$A:$A,MATCH(TRIM(B2208),Students!$A:$A,0)),"NOT ON LIST"))</f>
        <v/>
      </c>
      <c r="H2208" s="35">
        <f>IF(OR(G2208="",G2208="NOT ON LIST"),"",VLOOKUP(G2208,Students!$A:$C,2,FALSE))</f>
        <v/>
      </c>
      <c r="I2208" s="35">
        <f>IF(OR(G2208="",G2208="NOT ON LIST"),"",VLOOKUP(G2208,Students!$A:$C,3,FALSE)&amp;"")</f>
        <v/>
      </c>
    </row>
    <row r="2209">
      <c r="A2209" s="31" t="n"/>
      <c r="B2209" s="32" t="n"/>
      <c r="C2209" s="32" t="n"/>
      <c r="D2209" s="33" t="n"/>
      <c r="E2209" s="32" t="n"/>
      <c r="F2209" s="34">
        <f>IF(A2209="","",IFERROR(INT(A2209),"check date"))</f>
        <v/>
      </c>
      <c r="G2209" s="35">
        <f>IF(B2209="","",IFERROR(INDEX(Students!$A:$A,MATCH(TRIM(B2209),Students!$A:$A,0)),"NOT ON LIST"))</f>
        <v/>
      </c>
      <c r="H2209" s="35">
        <f>IF(OR(G2209="",G2209="NOT ON LIST"),"",VLOOKUP(G2209,Students!$A:$C,2,FALSE))</f>
        <v/>
      </c>
      <c r="I2209" s="35">
        <f>IF(OR(G2209="",G2209="NOT ON LIST"),"",VLOOKUP(G2209,Students!$A:$C,3,FALSE)&amp;"")</f>
        <v/>
      </c>
    </row>
    <row r="2210">
      <c r="A2210" s="31" t="n"/>
      <c r="B2210" s="32" t="n"/>
      <c r="C2210" s="32" t="n"/>
      <c r="D2210" s="33" t="n"/>
      <c r="E2210" s="32" t="n"/>
      <c r="F2210" s="34">
        <f>IF(A2210="","",IFERROR(INT(A2210),"check date"))</f>
        <v/>
      </c>
      <c r="G2210" s="35">
        <f>IF(B2210="","",IFERROR(INDEX(Students!$A:$A,MATCH(TRIM(B2210),Students!$A:$A,0)),"NOT ON LIST"))</f>
        <v/>
      </c>
      <c r="H2210" s="35">
        <f>IF(OR(G2210="",G2210="NOT ON LIST"),"",VLOOKUP(G2210,Students!$A:$C,2,FALSE))</f>
        <v/>
      </c>
      <c r="I2210" s="35">
        <f>IF(OR(G2210="",G2210="NOT ON LIST"),"",VLOOKUP(G2210,Students!$A:$C,3,FALSE)&amp;"")</f>
        <v/>
      </c>
    </row>
    <row r="2211">
      <c r="A2211" s="31" t="n"/>
      <c r="B2211" s="32" t="n"/>
      <c r="C2211" s="32" t="n"/>
      <c r="D2211" s="33" t="n"/>
      <c r="E2211" s="32" t="n"/>
      <c r="F2211" s="34">
        <f>IF(A2211="","",IFERROR(INT(A2211),"check date"))</f>
        <v/>
      </c>
      <c r="G2211" s="35">
        <f>IF(B2211="","",IFERROR(INDEX(Students!$A:$A,MATCH(TRIM(B2211),Students!$A:$A,0)),"NOT ON LIST"))</f>
        <v/>
      </c>
      <c r="H2211" s="35">
        <f>IF(OR(G2211="",G2211="NOT ON LIST"),"",VLOOKUP(G2211,Students!$A:$C,2,FALSE))</f>
        <v/>
      </c>
      <c r="I2211" s="35">
        <f>IF(OR(G2211="",G2211="NOT ON LIST"),"",VLOOKUP(G2211,Students!$A:$C,3,FALSE)&amp;"")</f>
        <v/>
      </c>
    </row>
    <row r="2212">
      <c r="A2212" s="31" t="n"/>
      <c r="B2212" s="32" t="n"/>
      <c r="C2212" s="32" t="n"/>
      <c r="D2212" s="33" t="n"/>
      <c r="E2212" s="32" t="n"/>
      <c r="F2212" s="34">
        <f>IF(A2212="","",IFERROR(INT(A2212),"check date"))</f>
        <v/>
      </c>
      <c r="G2212" s="35">
        <f>IF(B2212="","",IFERROR(INDEX(Students!$A:$A,MATCH(TRIM(B2212),Students!$A:$A,0)),"NOT ON LIST"))</f>
        <v/>
      </c>
      <c r="H2212" s="35">
        <f>IF(OR(G2212="",G2212="NOT ON LIST"),"",VLOOKUP(G2212,Students!$A:$C,2,FALSE))</f>
        <v/>
      </c>
      <c r="I2212" s="35">
        <f>IF(OR(G2212="",G2212="NOT ON LIST"),"",VLOOKUP(G2212,Students!$A:$C,3,FALSE)&amp;"")</f>
        <v/>
      </c>
    </row>
    <row r="2213">
      <c r="A2213" s="31" t="n"/>
      <c r="B2213" s="32" t="n"/>
      <c r="C2213" s="32" t="n"/>
      <c r="D2213" s="33" t="n"/>
      <c r="E2213" s="32" t="n"/>
      <c r="F2213" s="34">
        <f>IF(A2213="","",IFERROR(INT(A2213),"check date"))</f>
        <v/>
      </c>
      <c r="G2213" s="35">
        <f>IF(B2213="","",IFERROR(INDEX(Students!$A:$A,MATCH(TRIM(B2213),Students!$A:$A,0)),"NOT ON LIST"))</f>
        <v/>
      </c>
      <c r="H2213" s="35">
        <f>IF(OR(G2213="",G2213="NOT ON LIST"),"",VLOOKUP(G2213,Students!$A:$C,2,FALSE))</f>
        <v/>
      </c>
      <c r="I2213" s="35">
        <f>IF(OR(G2213="",G2213="NOT ON LIST"),"",VLOOKUP(G2213,Students!$A:$C,3,FALSE)&amp;"")</f>
        <v/>
      </c>
    </row>
    <row r="2214">
      <c r="A2214" s="31" t="n"/>
      <c r="B2214" s="32" t="n"/>
      <c r="C2214" s="32" t="n"/>
      <c r="D2214" s="33" t="n"/>
      <c r="E2214" s="32" t="n"/>
      <c r="F2214" s="34">
        <f>IF(A2214="","",IFERROR(INT(A2214),"check date"))</f>
        <v/>
      </c>
      <c r="G2214" s="35">
        <f>IF(B2214="","",IFERROR(INDEX(Students!$A:$A,MATCH(TRIM(B2214),Students!$A:$A,0)),"NOT ON LIST"))</f>
        <v/>
      </c>
      <c r="H2214" s="35">
        <f>IF(OR(G2214="",G2214="NOT ON LIST"),"",VLOOKUP(G2214,Students!$A:$C,2,FALSE))</f>
        <v/>
      </c>
      <c r="I2214" s="35">
        <f>IF(OR(G2214="",G2214="NOT ON LIST"),"",VLOOKUP(G2214,Students!$A:$C,3,FALSE)&amp;"")</f>
        <v/>
      </c>
    </row>
    <row r="2215">
      <c r="A2215" s="31" t="n"/>
      <c r="B2215" s="32" t="n"/>
      <c r="C2215" s="32" t="n"/>
      <c r="D2215" s="33" t="n"/>
      <c r="E2215" s="32" t="n"/>
      <c r="F2215" s="34">
        <f>IF(A2215="","",IFERROR(INT(A2215),"check date"))</f>
        <v/>
      </c>
      <c r="G2215" s="35">
        <f>IF(B2215="","",IFERROR(INDEX(Students!$A:$A,MATCH(TRIM(B2215),Students!$A:$A,0)),"NOT ON LIST"))</f>
        <v/>
      </c>
      <c r="H2215" s="35">
        <f>IF(OR(G2215="",G2215="NOT ON LIST"),"",VLOOKUP(G2215,Students!$A:$C,2,FALSE))</f>
        <v/>
      </c>
      <c r="I2215" s="35">
        <f>IF(OR(G2215="",G2215="NOT ON LIST"),"",VLOOKUP(G2215,Students!$A:$C,3,FALSE)&amp;"")</f>
        <v/>
      </c>
    </row>
    <row r="2216">
      <c r="A2216" s="31" t="n"/>
      <c r="B2216" s="32" t="n"/>
      <c r="C2216" s="32" t="n"/>
      <c r="D2216" s="33" t="n"/>
      <c r="E2216" s="32" t="n"/>
      <c r="F2216" s="34">
        <f>IF(A2216="","",IFERROR(INT(A2216),"check date"))</f>
        <v/>
      </c>
      <c r="G2216" s="35">
        <f>IF(B2216="","",IFERROR(INDEX(Students!$A:$A,MATCH(TRIM(B2216),Students!$A:$A,0)),"NOT ON LIST"))</f>
        <v/>
      </c>
      <c r="H2216" s="35">
        <f>IF(OR(G2216="",G2216="NOT ON LIST"),"",VLOOKUP(G2216,Students!$A:$C,2,FALSE))</f>
        <v/>
      </c>
      <c r="I2216" s="35">
        <f>IF(OR(G2216="",G2216="NOT ON LIST"),"",VLOOKUP(G2216,Students!$A:$C,3,FALSE)&amp;"")</f>
        <v/>
      </c>
    </row>
    <row r="2217">
      <c r="A2217" s="31" t="n"/>
      <c r="B2217" s="32" t="n"/>
      <c r="C2217" s="32" t="n"/>
      <c r="D2217" s="33" t="n"/>
      <c r="E2217" s="32" t="n"/>
      <c r="F2217" s="34">
        <f>IF(A2217="","",IFERROR(INT(A2217),"check date"))</f>
        <v/>
      </c>
      <c r="G2217" s="35">
        <f>IF(B2217="","",IFERROR(INDEX(Students!$A:$A,MATCH(TRIM(B2217),Students!$A:$A,0)),"NOT ON LIST"))</f>
        <v/>
      </c>
      <c r="H2217" s="35">
        <f>IF(OR(G2217="",G2217="NOT ON LIST"),"",VLOOKUP(G2217,Students!$A:$C,2,FALSE))</f>
        <v/>
      </c>
      <c r="I2217" s="35">
        <f>IF(OR(G2217="",G2217="NOT ON LIST"),"",VLOOKUP(G2217,Students!$A:$C,3,FALSE)&amp;"")</f>
        <v/>
      </c>
    </row>
    <row r="2218">
      <c r="A2218" s="31" t="n"/>
      <c r="B2218" s="32" t="n"/>
      <c r="C2218" s="32" t="n"/>
      <c r="D2218" s="33" t="n"/>
      <c r="E2218" s="32" t="n"/>
      <c r="F2218" s="34">
        <f>IF(A2218="","",IFERROR(INT(A2218),"check date"))</f>
        <v/>
      </c>
      <c r="G2218" s="35">
        <f>IF(B2218="","",IFERROR(INDEX(Students!$A:$A,MATCH(TRIM(B2218),Students!$A:$A,0)),"NOT ON LIST"))</f>
        <v/>
      </c>
      <c r="H2218" s="35">
        <f>IF(OR(G2218="",G2218="NOT ON LIST"),"",VLOOKUP(G2218,Students!$A:$C,2,FALSE))</f>
        <v/>
      </c>
      <c r="I2218" s="35">
        <f>IF(OR(G2218="",G2218="NOT ON LIST"),"",VLOOKUP(G2218,Students!$A:$C,3,FALSE)&amp;"")</f>
        <v/>
      </c>
    </row>
    <row r="2219">
      <c r="A2219" s="31" t="n"/>
      <c r="B2219" s="32" t="n"/>
      <c r="C2219" s="32" t="n"/>
      <c r="D2219" s="33" t="n"/>
      <c r="E2219" s="32" t="n"/>
      <c r="F2219" s="34">
        <f>IF(A2219="","",IFERROR(INT(A2219),"check date"))</f>
        <v/>
      </c>
      <c r="G2219" s="35">
        <f>IF(B2219="","",IFERROR(INDEX(Students!$A:$A,MATCH(TRIM(B2219),Students!$A:$A,0)),"NOT ON LIST"))</f>
        <v/>
      </c>
      <c r="H2219" s="35">
        <f>IF(OR(G2219="",G2219="NOT ON LIST"),"",VLOOKUP(G2219,Students!$A:$C,2,FALSE))</f>
        <v/>
      </c>
      <c r="I2219" s="35">
        <f>IF(OR(G2219="",G2219="NOT ON LIST"),"",VLOOKUP(G2219,Students!$A:$C,3,FALSE)&amp;"")</f>
        <v/>
      </c>
    </row>
    <row r="2220">
      <c r="A2220" s="31" t="n"/>
      <c r="B2220" s="32" t="n"/>
      <c r="C2220" s="32" t="n"/>
      <c r="D2220" s="33" t="n"/>
      <c r="E2220" s="32" t="n"/>
      <c r="F2220" s="34">
        <f>IF(A2220="","",IFERROR(INT(A2220),"check date"))</f>
        <v/>
      </c>
      <c r="G2220" s="35">
        <f>IF(B2220="","",IFERROR(INDEX(Students!$A:$A,MATCH(TRIM(B2220),Students!$A:$A,0)),"NOT ON LIST"))</f>
        <v/>
      </c>
      <c r="H2220" s="35">
        <f>IF(OR(G2220="",G2220="NOT ON LIST"),"",VLOOKUP(G2220,Students!$A:$C,2,FALSE))</f>
        <v/>
      </c>
      <c r="I2220" s="35">
        <f>IF(OR(G2220="",G2220="NOT ON LIST"),"",VLOOKUP(G2220,Students!$A:$C,3,FALSE)&amp;"")</f>
        <v/>
      </c>
    </row>
    <row r="2221">
      <c r="A2221" s="31" t="n"/>
      <c r="B2221" s="32" t="n"/>
      <c r="C2221" s="32" t="n"/>
      <c r="D2221" s="33" t="n"/>
      <c r="E2221" s="32" t="n"/>
      <c r="F2221" s="34">
        <f>IF(A2221="","",IFERROR(INT(A2221),"check date"))</f>
        <v/>
      </c>
      <c r="G2221" s="35">
        <f>IF(B2221="","",IFERROR(INDEX(Students!$A:$A,MATCH(TRIM(B2221),Students!$A:$A,0)),"NOT ON LIST"))</f>
        <v/>
      </c>
      <c r="H2221" s="35">
        <f>IF(OR(G2221="",G2221="NOT ON LIST"),"",VLOOKUP(G2221,Students!$A:$C,2,FALSE))</f>
        <v/>
      </c>
      <c r="I2221" s="35">
        <f>IF(OR(G2221="",G2221="NOT ON LIST"),"",VLOOKUP(G2221,Students!$A:$C,3,FALSE)&amp;"")</f>
        <v/>
      </c>
    </row>
    <row r="2222">
      <c r="A2222" s="31" t="n"/>
      <c r="B2222" s="32" t="n"/>
      <c r="C2222" s="32" t="n"/>
      <c r="D2222" s="33" t="n"/>
      <c r="E2222" s="32" t="n"/>
      <c r="F2222" s="34">
        <f>IF(A2222="","",IFERROR(INT(A2222),"check date"))</f>
        <v/>
      </c>
      <c r="G2222" s="35">
        <f>IF(B2222="","",IFERROR(INDEX(Students!$A:$A,MATCH(TRIM(B2222),Students!$A:$A,0)),"NOT ON LIST"))</f>
        <v/>
      </c>
      <c r="H2222" s="35">
        <f>IF(OR(G2222="",G2222="NOT ON LIST"),"",VLOOKUP(G2222,Students!$A:$C,2,FALSE))</f>
        <v/>
      </c>
      <c r="I2222" s="35">
        <f>IF(OR(G2222="",G2222="NOT ON LIST"),"",VLOOKUP(G2222,Students!$A:$C,3,FALSE)&amp;"")</f>
        <v/>
      </c>
    </row>
    <row r="2223">
      <c r="A2223" s="31" t="n"/>
      <c r="B2223" s="32" t="n"/>
      <c r="C2223" s="32" t="n"/>
      <c r="D2223" s="33" t="n"/>
      <c r="E2223" s="32" t="n"/>
      <c r="F2223" s="34">
        <f>IF(A2223="","",IFERROR(INT(A2223),"check date"))</f>
        <v/>
      </c>
      <c r="G2223" s="35">
        <f>IF(B2223="","",IFERROR(INDEX(Students!$A:$A,MATCH(TRIM(B2223),Students!$A:$A,0)),"NOT ON LIST"))</f>
        <v/>
      </c>
      <c r="H2223" s="35">
        <f>IF(OR(G2223="",G2223="NOT ON LIST"),"",VLOOKUP(G2223,Students!$A:$C,2,FALSE))</f>
        <v/>
      </c>
      <c r="I2223" s="35">
        <f>IF(OR(G2223="",G2223="NOT ON LIST"),"",VLOOKUP(G2223,Students!$A:$C,3,FALSE)&amp;"")</f>
        <v/>
      </c>
    </row>
    <row r="2224">
      <c r="A2224" s="31" t="n"/>
      <c r="B2224" s="32" t="n"/>
      <c r="C2224" s="32" t="n"/>
      <c r="D2224" s="33" t="n"/>
      <c r="E2224" s="32" t="n"/>
      <c r="F2224" s="34">
        <f>IF(A2224="","",IFERROR(INT(A2224),"check date"))</f>
        <v/>
      </c>
      <c r="G2224" s="35">
        <f>IF(B2224="","",IFERROR(INDEX(Students!$A:$A,MATCH(TRIM(B2224),Students!$A:$A,0)),"NOT ON LIST"))</f>
        <v/>
      </c>
      <c r="H2224" s="35">
        <f>IF(OR(G2224="",G2224="NOT ON LIST"),"",VLOOKUP(G2224,Students!$A:$C,2,FALSE))</f>
        <v/>
      </c>
      <c r="I2224" s="35">
        <f>IF(OR(G2224="",G2224="NOT ON LIST"),"",VLOOKUP(G2224,Students!$A:$C,3,FALSE)&amp;"")</f>
        <v/>
      </c>
    </row>
    <row r="2225">
      <c r="A2225" s="31" t="n"/>
      <c r="B2225" s="32" t="n"/>
      <c r="C2225" s="32" t="n"/>
      <c r="D2225" s="33" t="n"/>
      <c r="E2225" s="32" t="n"/>
      <c r="F2225" s="34">
        <f>IF(A2225="","",IFERROR(INT(A2225),"check date"))</f>
        <v/>
      </c>
      <c r="G2225" s="35">
        <f>IF(B2225="","",IFERROR(INDEX(Students!$A:$A,MATCH(TRIM(B2225),Students!$A:$A,0)),"NOT ON LIST"))</f>
        <v/>
      </c>
      <c r="H2225" s="35">
        <f>IF(OR(G2225="",G2225="NOT ON LIST"),"",VLOOKUP(G2225,Students!$A:$C,2,FALSE))</f>
        <v/>
      </c>
      <c r="I2225" s="35">
        <f>IF(OR(G2225="",G2225="NOT ON LIST"),"",VLOOKUP(G2225,Students!$A:$C,3,FALSE)&amp;"")</f>
        <v/>
      </c>
    </row>
    <row r="2226">
      <c r="A2226" s="31" t="n"/>
      <c r="B2226" s="32" t="n"/>
      <c r="C2226" s="32" t="n"/>
      <c r="D2226" s="33" t="n"/>
      <c r="E2226" s="32" t="n"/>
      <c r="F2226" s="34">
        <f>IF(A2226="","",IFERROR(INT(A2226),"check date"))</f>
        <v/>
      </c>
      <c r="G2226" s="35">
        <f>IF(B2226="","",IFERROR(INDEX(Students!$A:$A,MATCH(TRIM(B2226),Students!$A:$A,0)),"NOT ON LIST"))</f>
        <v/>
      </c>
      <c r="H2226" s="35">
        <f>IF(OR(G2226="",G2226="NOT ON LIST"),"",VLOOKUP(G2226,Students!$A:$C,2,FALSE))</f>
        <v/>
      </c>
      <c r="I2226" s="35">
        <f>IF(OR(G2226="",G2226="NOT ON LIST"),"",VLOOKUP(G2226,Students!$A:$C,3,FALSE)&amp;"")</f>
        <v/>
      </c>
    </row>
    <row r="2227">
      <c r="A2227" s="31" t="n"/>
      <c r="B2227" s="32" t="n"/>
      <c r="C2227" s="32" t="n"/>
      <c r="D2227" s="33" t="n"/>
      <c r="E2227" s="32" t="n"/>
      <c r="F2227" s="34">
        <f>IF(A2227="","",IFERROR(INT(A2227),"check date"))</f>
        <v/>
      </c>
      <c r="G2227" s="35">
        <f>IF(B2227="","",IFERROR(INDEX(Students!$A:$A,MATCH(TRIM(B2227),Students!$A:$A,0)),"NOT ON LIST"))</f>
        <v/>
      </c>
      <c r="H2227" s="35">
        <f>IF(OR(G2227="",G2227="NOT ON LIST"),"",VLOOKUP(G2227,Students!$A:$C,2,FALSE))</f>
        <v/>
      </c>
      <c r="I2227" s="35">
        <f>IF(OR(G2227="",G2227="NOT ON LIST"),"",VLOOKUP(G2227,Students!$A:$C,3,FALSE)&amp;"")</f>
        <v/>
      </c>
    </row>
    <row r="2228">
      <c r="A2228" s="31" t="n"/>
      <c r="B2228" s="32" t="n"/>
      <c r="C2228" s="32" t="n"/>
      <c r="D2228" s="33" t="n"/>
      <c r="E2228" s="32" t="n"/>
      <c r="F2228" s="34">
        <f>IF(A2228="","",IFERROR(INT(A2228),"check date"))</f>
        <v/>
      </c>
      <c r="G2228" s="35">
        <f>IF(B2228="","",IFERROR(INDEX(Students!$A:$A,MATCH(TRIM(B2228),Students!$A:$A,0)),"NOT ON LIST"))</f>
        <v/>
      </c>
      <c r="H2228" s="35">
        <f>IF(OR(G2228="",G2228="NOT ON LIST"),"",VLOOKUP(G2228,Students!$A:$C,2,FALSE))</f>
        <v/>
      </c>
      <c r="I2228" s="35">
        <f>IF(OR(G2228="",G2228="NOT ON LIST"),"",VLOOKUP(G2228,Students!$A:$C,3,FALSE)&amp;"")</f>
        <v/>
      </c>
    </row>
    <row r="2229">
      <c r="A2229" s="31" t="n"/>
      <c r="B2229" s="32" t="n"/>
      <c r="C2229" s="32" t="n"/>
      <c r="D2229" s="33" t="n"/>
      <c r="E2229" s="32" t="n"/>
      <c r="F2229" s="34">
        <f>IF(A2229="","",IFERROR(INT(A2229),"check date"))</f>
        <v/>
      </c>
      <c r="G2229" s="35">
        <f>IF(B2229="","",IFERROR(INDEX(Students!$A:$A,MATCH(TRIM(B2229),Students!$A:$A,0)),"NOT ON LIST"))</f>
        <v/>
      </c>
      <c r="H2229" s="35">
        <f>IF(OR(G2229="",G2229="NOT ON LIST"),"",VLOOKUP(G2229,Students!$A:$C,2,FALSE))</f>
        <v/>
      </c>
      <c r="I2229" s="35">
        <f>IF(OR(G2229="",G2229="NOT ON LIST"),"",VLOOKUP(G2229,Students!$A:$C,3,FALSE)&amp;"")</f>
        <v/>
      </c>
    </row>
    <row r="2230">
      <c r="A2230" s="31" t="n"/>
      <c r="B2230" s="32" t="n"/>
      <c r="C2230" s="32" t="n"/>
      <c r="D2230" s="33" t="n"/>
      <c r="E2230" s="32" t="n"/>
      <c r="F2230" s="34">
        <f>IF(A2230="","",IFERROR(INT(A2230),"check date"))</f>
        <v/>
      </c>
      <c r="G2230" s="35">
        <f>IF(B2230="","",IFERROR(INDEX(Students!$A:$A,MATCH(TRIM(B2230),Students!$A:$A,0)),"NOT ON LIST"))</f>
        <v/>
      </c>
      <c r="H2230" s="35">
        <f>IF(OR(G2230="",G2230="NOT ON LIST"),"",VLOOKUP(G2230,Students!$A:$C,2,FALSE))</f>
        <v/>
      </c>
      <c r="I2230" s="35">
        <f>IF(OR(G2230="",G2230="NOT ON LIST"),"",VLOOKUP(G2230,Students!$A:$C,3,FALSE)&amp;"")</f>
        <v/>
      </c>
    </row>
    <row r="2231">
      <c r="A2231" s="31" t="n"/>
      <c r="B2231" s="32" t="n"/>
      <c r="C2231" s="32" t="n"/>
      <c r="D2231" s="33" t="n"/>
      <c r="E2231" s="32" t="n"/>
      <c r="F2231" s="34">
        <f>IF(A2231="","",IFERROR(INT(A2231),"check date"))</f>
        <v/>
      </c>
      <c r="G2231" s="35">
        <f>IF(B2231="","",IFERROR(INDEX(Students!$A:$A,MATCH(TRIM(B2231),Students!$A:$A,0)),"NOT ON LIST"))</f>
        <v/>
      </c>
      <c r="H2231" s="35">
        <f>IF(OR(G2231="",G2231="NOT ON LIST"),"",VLOOKUP(G2231,Students!$A:$C,2,FALSE))</f>
        <v/>
      </c>
      <c r="I2231" s="35">
        <f>IF(OR(G2231="",G2231="NOT ON LIST"),"",VLOOKUP(G2231,Students!$A:$C,3,FALSE)&amp;"")</f>
        <v/>
      </c>
    </row>
    <row r="2232">
      <c r="A2232" s="31" t="n"/>
      <c r="B2232" s="32" t="n"/>
      <c r="C2232" s="32" t="n"/>
      <c r="D2232" s="33" t="n"/>
      <c r="E2232" s="32" t="n"/>
      <c r="F2232" s="34">
        <f>IF(A2232="","",IFERROR(INT(A2232),"check date"))</f>
        <v/>
      </c>
      <c r="G2232" s="35">
        <f>IF(B2232="","",IFERROR(INDEX(Students!$A:$A,MATCH(TRIM(B2232),Students!$A:$A,0)),"NOT ON LIST"))</f>
        <v/>
      </c>
      <c r="H2232" s="35">
        <f>IF(OR(G2232="",G2232="NOT ON LIST"),"",VLOOKUP(G2232,Students!$A:$C,2,FALSE))</f>
        <v/>
      </c>
      <c r="I2232" s="35">
        <f>IF(OR(G2232="",G2232="NOT ON LIST"),"",VLOOKUP(G2232,Students!$A:$C,3,FALSE)&amp;"")</f>
        <v/>
      </c>
    </row>
    <row r="2233">
      <c r="A2233" s="31" t="n"/>
      <c r="B2233" s="32" t="n"/>
      <c r="C2233" s="32" t="n"/>
      <c r="D2233" s="33" t="n"/>
      <c r="E2233" s="32" t="n"/>
      <c r="F2233" s="34">
        <f>IF(A2233="","",IFERROR(INT(A2233),"check date"))</f>
        <v/>
      </c>
      <c r="G2233" s="35">
        <f>IF(B2233="","",IFERROR(INDEX(Students!$A:$A,MATCH(TRIM(B2233),Students!$A:$A,0)),"NOT ON LIST"))</f>
        <v/>
      </c>
      <c r="H2233" s="35">
        <f>IF(OR(G2233="",G2233="NOT ON LIST"),"",VLOOKUP(G2233,Students!$A:$C,2,FALSE))</f>
        <v/>
      </c>
      <c r="I2233" s="35">
        <f>IF(OR(G2233="",G2233="NOT ON LIST"),"",VLOOKUP(G2233,Students!$A:$C,3,FALSE)&amp;"")</f>
        <v/>
      </c>
    </row>
    <row r="2234">
      <c r="A2234" s="31" t="n"/>
      <c r="B2234" s="32" t="n"/>
      <c r="C2234" s="32" t="n"/>
      <c r="D2234" s="33" t="n"/>
      <c r="E2234" s="32" t="n"/>
      <c r="F2234" s="34">
        <f>IF(A2234="","",IFERROR(INT(A2234),"check date"))</f>
        <v/>
      </c>
      <c r="G2234" s="35">
        <f>IF(B2234="","",IFERROR(INDEX(Students!$A:$A,MATCH(TRIM(B2234),Students!$A:$A,0)),"NOT ON LIST"))</f>
        <v/>
      </c>
      <c r="H2234" s="35">
        <f>IF(OR(G2234="",G2234="NOT ON LIST"),"",VLOOKUP(G2234,Students!$A:$C,2,FALSE))</f>
        <v/>
      </c>
      <c r="I2234" s="35">
        <f>IF(OR(G2234="",G2234="NOT ON LIST"),"",VLOOKUP(G2234,Students!$A:$C,3,FALSE)&amp;"")</f>
        <v/>
      </c>
    </row>
    <row r="2235">
      <c r="A2235" s="31" t="n"/>
      <c r="B2235" s="32" t="n"/>
      <c r="C2235" s="32" t="n"/>
      <c r="D2235" s="33" t="n"/>
      <c r="E2235" s="32" t="n"/>
      <c r="F2235" s="34">
        <f>IF(A2235="","",IFERROR(INT(A2235),"check date"))</f>
        <v/>
      </c>
      <c r="G2235" s="35">
        <f>IF(B2235="","",IFERROR(INDEX(Students!$A:$A,MATCH(TRIM(B2235),Students!$A:$A,0)),"NOT ON LIST"))</f>
        <v/>
      </c>
      <c r="H2235" s="35">
        <f>IF(OR(G2235="",G2235="NOT ON LIST"),"",VLOOKUP(G2235,Students!$A:$C,2,FALSE))</f>
        <v/>
      </c>
      <c r="I2235" s="35">
        <f>IF(OR(G2235="",G2235="NOT ON LIST"),"",VLOOKUP(G2235,Students!$A:$C,3,FALSE)&amp;"")</f>
        <v/>
      </c>
    </row>
    <row r="2236">
      <c r="A2236" s="31" t="n"/>
      <c r="B2236" s="32" t="n"/>
      <c r="C2236" s="32" t="n"/>
      <c r="D2236" s="33" t="n"/>
      <c r="E2236" s="32" t="n"/>
      <c r="F2236" s="34">
        <f>IF(A2236="","",IFERROR(INT(A2236),"check date"))</f>
        <v/>
      </c>
      <c r="G2236" s="35">
        <f>IF(B2236="","",IFERROR(INDEX(Students!$A:$A,MATCH(TRIM(B2236),Students!$A:$A,0)),"NOT ON LIST"))</f>
        <v/>
      </c>
      <c r="H2236" s="35">
        <f>IF(OR(G2236="",G2236="NOT ON LIST"),"",VLOOKUP(G2236,Students!$A:$C,2,FALSE))</f>
        <v/>
      </c>
      <c r="I2236" s="35">
        <f>IF(OR(G2236="",G2236="NOT ON LIST"),"",VLOOKUP(G2236,Students!$A:$C,3,FALSE)&amp;"")</f>
        <v/>
      </c>
    </row>
    <row r="2237">
      <c r="A2237" s="31" t="n"/>
      <c r="B2237" s="32" t="n"/>
      <c r="C2237" s="32" t="n"/>
      <c r="D2237" s="33" t="n"/>
      <c r="E2237" s="32" t="n"/>
      <c r="F2237" s="34">
        <f>IF(A2237="","",IFERROR(INT(A2237),"check date"))</f>
        <v/>
      </c>
      <c r="G2237" s="35">
        <f>IF(B2237="","",IFERROR(INDEX(Students!$A:$A,MATCH(TRIM(B2237),Students!$A:$A,0)),"NOT ON LIST"))</f>
        <v/>
      </c>
      <c r="H2237" s="35">
        <f>IF(OR(G2237="",G2237="NOT ON LIST"),"",VLOOKUP(G2237,Students!$A:$C,2,FALSE))</f>
        <v/>
      </c>
      <c r="I2237" s="35">
        <f>IF(OR(G2237="",G2237="NOT ON LIST"),"",VLOOKUP(G2237,Students!$A:$C,3,FALSE)&amp;"")</f>
        <v/>
      </c>
    </row>
    <row r="2238">
      <c r="A2238" s="31" t="n"/>
      <c r="B2238" s="32" t="n"/>
      <c r="C2238" s="32" t="n"/>
      <c r="D2238" s="33" t="n"/>
      <c r="E2238" s="32" t="n"/>
      <c r="F2238" s="34">
        <f>IF(A2238="","",IFERROR(INT(A2238),"check date"))</f>
        <v/>
      </c>
      <c r="G2238" s="35">
        <f>IF(B2238="","",IFERROR(INDEX(Students!$A:$A,MATCH(TRIM(B2238),Students!$A:$A,0)),"NOT ON LIST"))</f>
        <v/>
      </c>
      <c r="H2238" s="35">
        <f>IF(OR(G2238="",G2238="NOT ON LIST"),"",VLOOKUP(G2238,Students!$A:$C,2,FALSE))</f>
        <v/>
      </c>
      <c r="I2238" s="35">
        <f>IF(OR(G2238="",G2238="NOT ON LIST"),"",VLOOKUP(G2238,Students!$A:$C,3,FALSE)&amp;"")</f>
        <v/>
      </c>
    </row>
    <row r="2239">
      <c r="A2239" s="31" t="n"/>
      <c r="B2239" s="32" t="n"/>
      <c r="C2239" s="32" t="n"/>
      <c r="D2239" s="33" t="n"/>
      <c r="E2239" s="32" t="n"/>
      <c r="F2239" s="34">
        <f>IF(A2239="","",IFERROR(INT(A2239),"check date"))</f>
        <v/>
      </c>
      <c r="G2239" s="35">
        <f>IF(B2239="","",IFERROR(INDEX(Students!$A:$A,MATCH(TRIM(B2239),Students!$A:$A,0)),"NOT ON LIST"))</f>
        <v/>
      </c>
      <c r="H2239" s="35">
        <f>IF(OR(G2239="",G2239="NOT ON LIST"),"",VLOOKUP(G2239,Students!$A:$C,2,FALSE))</f>
        <v/>
      </c>
      <c r="I2239" s="35">
        <f>IF(OR(G2239="",G2239="NOT ON LIST"),"",VLOOKUP(G2239,Students!$A:$C,3,FALSE)&amp;"")</f>
        <v/>
      </c>
    </row>
    <row r="2240">
      <c r="A2240" s="31" t="n"/>
      <c r="B2240" s="32" t="n"/>
      <c r="C2240" s="32" t="n"/>
      <c r="D2240" s="33" t="n"/>
      <c r="E2240" s="32" t="n"/>
      <c r="F2240" s="34">
        <f>IF(A2240="","",IFERROR(INT(A2240),"check date"))</f>
        <v/>
      </c>
      <c r="G2240" s="35">
        <f>IF(B2240="","",IFERROR(INDEX(Students!$A:$A,MATCH(TRIM(B2240),Students!$A:$A,0)),"NOT ON LIST"))</f>
        <v/>
      </c>
      <c r="H2240" s="35">
        <f>IF(OR(G2240="",G2240="NOT ON LIST"),"",VLOOKUP(G2240,Students!$A:$C,2,FALSE))</f>
        <v/>
      </c>
      <c r="I2240" s="35">
        <f>IF(OR(G2240="",G2240="NOT ON LIST"),"",VLOOKUP(G2240,Students!$A:$C,3,FALSE)&amp;"")</f>
        <v/>
      </c>
    </row>
    <row r="2241">
      <c r="A2241" s="31" t="n"/>
      <c r="B2241" s="32" t="n"/>
      <c r="C2241" s="32" t="n"/>
      <c r="D2241" s="33" t="n"/>
      <c r="E2241" s="32" t="n"/>
      <c r="F2241" s="34">
        <f>IF(A2241="","",IFERROR(INT(A2241),"check date"))</f>
        <v/>
      </c>
      <c r="G2241" s="35">
        <f>IF(B2241="","",IFERROR(INDEX(Students!$A:$A,MATCH(TRIM(B2241),Students!$A:$A,0)),"NOT ON LIST"))</f>
        <v/>
      </c>
      <c r="H2241" s="35">
        <f>IF(OR(G2241="",G2241="NOT ON LIST"),"",VLOOKUP(G2241,Students!$A:$C,2,FALSE))</f>
        <v/>
      </c>
      <c r="I2241" s="35">
        <f>IF(OR(G2241="",G2241="NOT ON LIST"),"",VLOOKUP(G2241,Students!$A:$C,3,FALSE)&amp;"")</f>
        <v/>
      </c>
    </row>
    <row r="2242">
      <c r="A2242" s="31" t="n"/>
      <c r="B2242" s="32" t="n"/>
      <c r="C2242" s="32" t="n"/>
      <c r="D2242" s="33" t="n"/>
      <c r="E2242" s="32" t="n"/>
      <c r="F2242" s="34">
        <f>IF(A2242="","",IFERROR(INT(A2242),"check date"))</f>
        <v/>
      </c>
      <c r="G2242" s="35">
        <f>IF(B2242="","",IFERROR(INDEX(Students!$A:$A,MATCH(TRIM(B2242),Students!$A:$A,0)),"NOT ON LIST"))</f>
        <v/>
      </c>
      <c r="H2242" s="35">
        <f>IF(OR(G2242="",G2242="NOT ON LIST"),"",VLOOKUP(G2242,Students!$A:$C,2,FALSE))</f>
        <v/>
      </c>
      <c r="I2242" s="35">
        <f>IF(OR(G2242="",G2242="NOT ON LIST"),"",VLOOKUP(G2242,Students!$A:$C,3,FALSE)&amp;"")</f>
        <v/>
      </c>
    </row>
    <row r="2243">
      <c r="A2243" s="31" t="n"/>
      <c r="B2243" s="32" t="n"/>
      <c r="C2243" s="32" t="n"/>
      <c r="D2243" s="33" t="n"/>
      <c r="E2243" s="32" t="n"/>
      <c r="F2243" s="34">
        <f>IF(A2243="","",IFERROR(INT(A2243),"check date"))</f>
        <v/>
      </c>
      <c r="G2243" s="35">
        <f>IF(B2243="","",IFERROR(INDEX(Students!$A:$A,MATCH(TRIM(B2243),Students!$A:$A,0)),"NOT ON LIST"))</f>
        <v/>
      </c>
      <c r="H2243" s="35">
        <f>IF(OR(G2243="",G2243="NOT ON LIST"),"",VLOOKUP(G2243,Students!$A:$C,2,FALSE))</f>
        <v/>
      </c>
      <c r="I2243" s="35">
        <f>IF(OR(G2243="",G2243="NOT ON LIST"),"",VLOOKUP(G2243,Students!$A:$C,3,FALSE)&amp;"")</f>
        <v/>
      </c>
    </row>
    <row r="2244">
      <c r="A2244" s="31" t="n"/>
      <c r="B2244" s="32" t="n"/>
      <c r="C2244" s="32" t="n"/>
      <c r="D2244" s="33" t="n"/>
      <c r="E2244" s="32" t="n"/>
      <c r="F2244" s="34">
        <f>IF(A2244="","",IFERROR(INT(A2244),"check date"))</f>
        <v/>
      </c>
      <c r="G2244" s="35">
        <f>IF(B2244="","",IFERROR(INDEX(Students!$A:$A,MATCH(TRIM(B2244),Students!$A:$A,0)),"NOT ON LIST"))</f>
        <v/>
      </c>
      <c r="H2244" s="35">
        <f>IF(OR(G2244="",G2244="NOT ON LIST"),"",VLOOKUP(G2244,Students!$A:$C,2,FALSE))</f>
        <v/>
      </c>
      <c r="I2244" s="35">
        <f>IF(OR(G2244="",G2244="NOT ON LIST"),"",VLOOKUP(G2244,Students!$A:$C,3,FALSE)&amp;"")</f>
        <v/>
      </c>
    </row>
    <row r="2245">
      <c r="A2245" s="31" t="n"/>
      <c r="B2245" s="32" t="n"/>
      <c r="C2245" s="32" t="n"/>
      <c r="D2245" s="33" t="n"/>
      <c r="E2245" s="32" t="n"/>
      <c r="F2245" s="34">
        <f>IF(A2245="","",IFERROR(INT(A2245),"check date"))</f>
        <v/>
      </c>
      <c r="G2245" s="35">
        <f>IF(B2245="","",IFERROR(INDEX(Students!$A:$A,MATCH(TRIM(B2245),Students!$A:$A,0)),"NOT ON LIST"))</f>
        <v/>
      </c>
      <c r="H2245" s="35">
        <f>IF(OR(G2245="",G2245="NOT ON LIST"),"",VLOOKUP(G2245,Students!$A:$C,2,FALSE))</f>
        <v/>
      </c>
      <c r="I2245" s="35">
        <f>IF(OR(G2245="",G2245="NOT ON LIST"),"",VLOOKUP(G2245,Students!$A:$C,3,FALSE)&amp;"")</f>
        <v/>
      </c>
    </row>
    <row r="2246">
      <c r="A2246" s="31" t="n"/>
      <c r="B2246" s="32" t="n"/>
      <c r="C2246" s="32" t="n"/>
      <c r="D2246" s="33" t="n"/>
      <c r="E2246" s="32" t="n"/>
      <c r="F2246" s="34">
        <f>IF(A2246="","",IFERROR(INT(A2246),"check date"))</f>
        <v/>
      </c>
      <c r="G2246" s="35">
        <f>IF(B2246="","",IFERROR(INDEX(Students!$A:$A,MATCH(TRIM(B2246),Students!$A:$A,0)),"NOT ON LIST"))</f>
        <v/>
      </c>
      <c r="H2246" s="35">
        <f>IF(OR(G2246="",G2246="NOT ON LIST"),"",VLOOKUP(G2246,Students!$A:$C,2,FALSE))</f>
        <v/>
      </c>
      <c r="I2246" s="35">
        <f>IF(OR(G2246="",G2246="NOT ON LIST"),"",VLOOKUP(G2246,Students!$A:$C,3,FALSE)&amp;"")</f>
        <v/>
      </c>
    </row>
    <row r="2247">
      <c r="A2247" s="31" t="n"/>
      <c r="B2247" s="32" t="n"/>
      <c r="C2247" s="32" t="n"/>
      <c r="D2247" s="33" t="n"/>
      <c r="E2247" s="32" t="n"/>
      <c r="F2247" s="34">
        <f>IF(A2247="","",IFERROR(INT(A2247),"check date"))</f>
        <v/>
      </c>
      <c r="G2247" s="35">
        <f>IF(B2247="","",IFERROR(INDEX(Students!$A:$A,MATCH(TRIM(B2247),Students!$A:$A,0)),"NOT ON LIST"))</f>
        <v/>
      </c>
      <c r="H2247" s="35">
        <f>IF(OR(G2247="",G2247="NOT ON LIST"),"",VLOOKUP(G2247,Students!$A:$C,2,FALSE))</f>
        <v/>
      </c>
      <c r="I2247" s="35">
        <f>IF(OR(G2247="",G2247="NOT ON LIST"),"",VLOOKUP(G2247,Students!$A:$C,3,FALSE)&amp;"")</f>
        <v/>
      </c>
    </row>
    <row r="2248">
      <c r="A2248" s="31" t="n"/>
      <c r="B2248" s="32" t="n"/>
      <c r="C2248" s="32" t="n"/>
      <c r="D2248" s="33" t="n"/>
      <c r="E2248" s="32" t="n"/>
      <c r="F2248" s="34">
        <f>IF(A2248="","",IFERROR(INT(A2248),"check date"))</f>
        <v/>
      </c>
      <c r="G2248" s="35">
        <f>IF(B2248="","",IFERROR(INDEX(Students!$A:$A,MATCH(TRIM(B2248),Students!$A:$A,0)),"NOT ON LIST"))</f>
        <v/>
      </c>
      <c r="H2248" s="35">
        <f>IF(OR(G2248="",G2248="NOT ON LIST"),"",VLOOKUP(G2248,Students!$A:$C,2,FALSE))</f>
        <v/>
      </c>
      <c r="I2248" s="35">
        <f>IF(OR(G2248="",G2248="NOT ON LIST"),"",VLOOKUP(G2248,Students!$A:$C,3,FALSE)&amp;"")</f>
        <v/>
      </c>
    </row>
    <row r="2249">
      <c r="A2249" s="31" t="n"/>
      <c r="B2249" s="32" t="n"/>
      <c r="C2249" s="32" t="n"/>
      <c r="D2249" s="33" t="n"/>
      <c r="E2249" s="32" t="n"/>
      <c r="F2249" s="34">
        <f>IF(A2249="","",IFERROR(INT(A2249),"check date"))</f>
        <v/>
      </c>
      <c r="G2249" s="35">
        <f>IF(B2249="","",IFERROR(INDEX(Students!$A:$A,MATCH(TRIM(B2249),Students!$A:$A,0)),"NOT ON LIST"))</f>
        <v/>
      </c>
      <c r="H2249" s="35">
        <f>IF(OR(G2249="",G2249="NOT ON LIST"),"",VLOOKUP(G2249,Students!$A:$C,2,FALSE))</f>
        <v/>
      </c>
      <c r="I2249" s="35">
        <f>IF(OR(G2249="",G2249="NOT ON LIST"),"",VLOOKUP(G2249,Students!$A:$C,3,FALSE)&amp;"")</f>
        <v/>
      </c>
    </row>
    <row r="2250">
      <c r="A2250" s="31" t="n"/>
      <c r="B2250" s="32" t="n"/>
      <c r="C2250" s="32" t="n"/>
      <c r="D2250" s="33" t="n"/>
      <c r="E2250" s="32" t="n"/>
      <c r="F2250" s="34">
        <f>IF(A2250="","",IFERROR(INT(A2250),"check date"))</f>
        <v/>
      </c>
      <c r="G2250" s="35">
        <f>IF(B2250="","",IFERROR(INDEX(Students!$A:$A,MATCH(TRIM(B2250),Students!$A:$A,0)),"NOT ON LIST"))</f>
        <v/>
      </c>
      <c r="H2250" s="35">
        <f>IF(OR(G2250="",G2250="NOT ON LIST"),"",VLOOKUP(G2250,Students!$A:$C,2,FALSE))</f>
        <v/>
      </c>
      <c r="I2250" s="35">
        <f>IF(OR(G2250="",G2250="NOT ON LIST"),"",VLOOKUP(G2250,Students!$A:$C,3,FALSE)&amp;"")</f>
        <v/>
      </c>
    </row>
    <row r="2251">
      <c r="A2251" s="31" t="n"/>
      <c r="B2251" s="32" t="n"/>
      <c r="C2251" s="32" t="n"/>
      <c r="D2251" s="33" t="n"/>
      <c r="E2251" s="32" t="n"/>
      <c r="F2251" s="34">
        <f>IF(A2251="","",IFERROR(INT(A2251),"check date"))</f>
        <v/>
      </c>
      <c r="G2251" s="35">
        <f>IF(B2251="","",IFERROR(INDEX(Students!$A:$A,MATCH(TRIM(B2251),Students!$A:$A,0)),"NOT ON LIST"))</f>
        <v/>
      </c>
      <c r="H2251" s="35">
        <f>IF(OR(G2251="",G2251="NOT ON LIST"),"",VLOOKUP(G2251,Students!$A:$C,2,FALSE))</f>
        <v/>
      </c>
      <c r="I2251" s="35">
        <f>IF(OR(G2251="",G2251="NOT ON LIST"),"",VLOOKUP(G2251,Students!$A:$C,3,FALSE)&amp;"")</f>
        <v/>
      </c>
    </row>
    <row r="2252">
      <c r="A2252" s="31" t="n"/>
      <c r="B2252" s="32" t="n"/>
      <c r="C2252" s="32" t="n"/>
      <c r="D2252" s="33" t="n"/>
      <c r="E2252" s="32" t="n"/>
      <c r="F2252" s="34">
        <f>IF(A2252="","",IFERROR(INT(A2252),"check date"))</f>
        <v/>
      </c>
      <c r="G2252" s="35">
        <f>IF(B2252="","",IFERROR(INDEX(Students!$A:$A,MATCH(TRIM(B2252),Students!$A:$A,0)),"NOT ON LIST"))</f>
        <v/>
      </c>
      <c r="H2252" s="35">
        <f>IF(OR(G2252="",G2252="NOT ON LIST"),"",VLOOKUP(G2252,Students!$A:$C,2,FALSE))</f>
        <v/>
      </c>
      <c r="I2252" s="35">
        <f>IF(OR(G2252="",G2252="NOT ON LIST"),"",VLOOKUP(G2252,Students!$A:$C,3,FALSE)&amp;"")</f>
        <v/>
      </c>
    </row>
    <row r="2253">
      <c r="A2253" s="31" t="n"/>
      <c r="B2253" s="32" t="n"/>
      <c r="C2253" s="32" t="n"/>
      <c r="D2253" s="33" t="n"/>
      <c r="E2253" s="32" t="n"/>
      <c r="F2253" s="34">
        <f>IF(A2253="","",IFERROR(INT(A2253),"check date"))</f>
        <v/>
      </c>
      <c r="G2253" s="35">
        <f>IF(B2253="","",IFERROR(INDEX(Students!$A:$A,MATCH(TRIM(B2253),Students!$A:$A,0)),"NOT ON LIST"))</f>
        <v/>
      </c>
      <c r="H2253" s="35">
        <f>IF(OR(G2253="",G2253="NOT ON LIST"),"",VLOOKUP(G2253,Students!$A:$C,2,FALSE))</f>
        <v/>
      </c>
      <c r="I2253" s="35">
        <f>IF(OR(G2253="",G2253="NOT ON LIST"),"",VLOOKUP(G2253,Students!$A:$C,3,FALSE)&amp;"")</f>
        <v/>
      </c>
    </row>
    <row r="2254">
      <c r="A2254" s="31" t="n"/>
      <c r="B2254" s="32" t="n"/>
      <c r="C2254" s="32" t="n"/>
      <c r="D2254" s="33" t="n"/>
      <c r="E2254" s="32" t="n"/>
      <c r="F2254" s="34">
        <f>IF(A2254="","",IFERROR(INT(A2254),"check date"))</f>
        <v/>
      </c>
      <c r="G2254" s="35">
        <f>IF(B2254="","",IFERROR(INDEX(Students!$A:$A,MATCH(TRIM(B2254),Students!$A:$A,0)),"NOT ON LIST"))</f>
        <v/>
      </c>
      <c r="H2254" s="35">
        <f>IF(OR(G2254="",G2254="NOT ON LIST"),"",VLOOKUP(G2254,Students!$A:$C,2,FALSE))</f>
        <v/>
      </c>
      <c r="I2254" s="35">
        <f>IF(OR(G2254="",G2254="NOT ON LIST"),"",VLOOKUP(G2254,Students!$A:$C,3,FALSE)&amp;"")</f>
        <v/>
      </c>
    </row>
    <row r="2255">
      <c r="A2255" s="31" t="n"/>
      <c r="B2255" s="32" t="n"/>
      <c r="C2255" s="32" t="n"/>
      <c r="D2255" s="33" t="n"/>
      <c r="E2255" s="32" t="n"/>
      <c r="F2255" s="34">
        <f>IF(A2255="","",IFERROR(INT(A2255),"check date"))</f>
        <v/>
      </c>
      <c r="G2255" s="35">
        <f>IF(B2255="","",IFERROR(INDEX(Students!$A:$A,MATCH(TRIM(B2255),Students!$A:$A,0)),"NOT ON LIST"))</f>
        <v/>
      </c>
      <c r="H2255" s="35">
        <f>IF(OR(G2255="",G2255="NOT ON LIST"),"",VLOOKUP(G2255,Students!$A:$C,2,FALSE))</f>
        <v/>
      </c>
      <c r="I2255" s="35">
        <f>IF(OR(G2255="",G2255="NOT ON LIST"),"",VLOOKUP(G2255,Students!$A:$C,3,FALSE)&amp;"")</f>
        <v/>
      </c>
    </row>
    <row r="2256">
      <c r="A2256" s="31" t="n"/>
      <c r="B2256" s="32" t="n"/>
      <c r="C2256" s="32" t="n"/>
      <c r="D2256" s="33" t="n"/>
      <c r="E2256" s="32" t="n"/>
      <c r="F2256" s="34">
        <f>IF(A2256="","",IFERROR(INT(A2256),"check date"))</f>
        <v/>
      </c>
      <c r="G2256" s="35">
        <f>IF(B2256="","",IFERROR(INDEX(Students!$A:$A,MATCH(TRIM(B2256),Students!$A:$A,0)),"NOT ON LIST"))</f>
        <v/>
      </c>
      <c r="H2256" s="35">
        <f>IF(OR(G2256="",G2256="NOT ON LIST"),"",VLOOKUP(G2256,Students!$A:$C,2,FALSE))</f>
        <v/>
      </c>
      <c r="I2256" s="35">
        <f>IF(OR(G2256="",G2256="NOT ON LIST"),"",VLOOKUP(G2256,Students!$A:$C,3,FALSE)&amp;"")</f>
        <v/>
      </c>
    </row>
    <row r="2257">
      <c r="A2257" s="31" t="n"/>
      <c r="B2257" s="32" t="n"/>
      <c r="C2257" s="32" t="n"/>
      <c r="D2257" s="33" t="n"/>
      <c r="E2257" s="32" t="n"/>
      <c r="F2257" s="34">
        <f>IF(A2257="","",IFERROR(INT(A2257),"check date"))</f>
        <v/>
      </c>
      <c r="G2257" s="35">
        <f>IF(B2257="","",IFERROR(INDEX(Students!$A:$A,MATCH(TRIM(B2257),Students!$A:$A,0)),"NOT ON LIST"))</f>
        <v/>
      </c>
      <c r="H2257" s="35">
        <f>IF(OR(G2257="",G2257="NOT ON LIST"),"",VLOOKUP(G2257,Students!$A:$C,2,FALSE))</f>
        <v/>
      </c>
      <c r="I2257" s="35">
        <f>IF(OR(G2257="",G2257="NOT ON LIST"),"",VLOOKUP(G2257,Students!$A:$C,3,FALSE)&amp;"")</f>
        <v/>
      </c>
    </row>
    <row r="2258">
      <c r="A2258" s="31" t="n"/>
      <c r="B2258" s="32" t="n"/>
      <c r="C2258" s="32" t="n"/>
      <c r="D2258" s="33" t="n"/>
      <c r="E2258" s="32" t="n"/>
      <c r="F2258" s="34">
        <f>IF(A2258="","",IFERROR(INT(A2258),"check date"))</f>
        <v/>
      </c>
      <c r="G2258" s="35">
        <f>IF(B2258="","",IFERROR(INDEX(Students!$A:$A,MATCH(TRIM(B2258),Students!$A:$A,0)),"NOT ON LIST"))</f>
        <v/>
      </c>
      <c r="H2258" s="35">
        <f>IF(OR(G2258="",G2258="NOT ON LIST"),"",VLOOKUP(G2258,Students!$A:$C,2,FALSE))</f>
        <v/>
      </c>
      <c r="I2258" s="35">
        <f>IF(OR(G2258="",G2258="NOT ON LIST"),"",VLOOKUP(G2258,Students!$A:$C,3,FALSE)&amp;"")</f>
        <v/>
      </c>
    </row>
    <row r="2259">
      <c r="A2259" s="31" t="n"/>
      <c r="B2259" s="32" t="n"/>
      <c r="C2259" s="32" t="n"/>
      <c r="D2259" s="33" t="n"/>
      <c r="E2259" s="32" t="n"/>
      <c r="F2259" s="34">
        <f>IF(A2259="","",IFERROR(INT(A2259),"check date"))</f>
        <v/>
      </c>
      <c r="G2259" s="35">
        <f>IF(B2259="","",IFERROR(INDEX(Students!$A:$A,MATCH(TRIM(B2259),Students!$A:$A,0)),"NOT ON LIST"))</f>
        <v/>
      </c>
      <c r="H2259" s="35">
        <f>IF(OR(G2259="",G2259="NOT ON LIST"),"",VLOOKUP(G2259,Students!$A:$C,2,FALSE))</f>
        <v/>
      </c>
      <c r="I2259" s="35">
        <f>IF(OR(G2259="",G2259="NOT ON LIST"),"",VLOOKUP(G2259,Students!$A:$C,3,FALSE)&amp;"")</f>
        <v/>
      </c>
    </row>
    <row r="2260">
      <c r="A2260" s="31" t="n"/>
      <c r="B2260" s="32" t="n"/>
      <c r="C2260" s="32" t="n"/>
      <c r="D2260" s="33" t="n"/>
      <c r="E2260" s="32" t="n"/>
      <c r="F2260" s="34">
        <f>IF(A2260="","",IFERROR(INT(A2260),"check date"))</f>
        <v/>
      </c>
      <c r="G2260" s="35">
        <f>IF(B2260="","",IFERROR(INDEX(Students!$A:$A,MATCH(TRIM(B2260),Students!$A:$A,0)),"NOT ON LIST"))</f>
        <v/>
      </c>
      <c r="H2260" s="35">
        <f>IF(OR(G2260="",G2260="NOT ON LIST"),"",VLOOKUP(G2260,Students!$A:$C,2,FALSE))</f>
        <v/>
      </c>
      <c r="I2260" s="35">
        <f>IF(OR(G2260="",G2260="NOT ON LIST"),"",VLOOKUP(G2260,Students!$A:$C,3,FALSE)&amp;"")</f>
        <v/>
      </c>
    </row>
    <row r="2261">
      <c r="A2261" s="31" t="n"/>
      <c r="B2261" s="32" t="n"/>
      <c r="C2261" s="32" t="n"/>
      <c r="D2261" s="33" t="n"/>
      <c r="E2261" s="32" t="n"/>
      <c r="F2261" s="34">
        <f>IF(A2261="","",IFERROR(INT(A2261),"check date"))</f>
        <v/>
      </c>
      <c r="G2261" s="35">
        <f>IF(B2261="","",IFERROR(INDEX(Students!$A:$A,MATCH(TRIM(B2261),Students!$A:$A,0)),"NOT ON LIST"))</f>
        <v/>
      </c>
      <c r="H2261" s="35">
        <f>IF(OR(G2261="",G2261="NOT ON LIST"),"",VLOOKUP(G2261,Students!$A:$C,2,FALSE))</f>
        <v/>
      </c>
      <c r="I2261" s="35">
        <f>IF(OR(G2261="",G2261="NOT ON LIST"),"",VLOOKUP(G2261,Students!$A:$C,3,FALSE)&amp;"")</f>
        <v/>
      </c>
    </row>
    <row r="2262">
      <c r="A2262" s="31" t="n"/>
      <c r="B2262" s="32" t="n"/>
      <c r="C2262" s="32" t="n"/>
      <c r="D2262" s="33" t="n"/>
      <c r="E2262" s="32" t="n"/>
      <c r="F2262" s="34">
        <f>IF(A2262="","",IFERROR(INT(A2262),"check date"))</f>
        <v/>
      </c>
      <c r="G2262" s="35">
        <f>IF(B2262="","",IFERROR(INDEX(Students!$A:$A,MATCH(TRIM(B2262),Students!$A:$A,0)),"NOT ON LIST"))</f>
        <v/>
      </c>
      <c r="H2262" s="35">
        <f>IF(OR(G2262="",G2262="NOT ON LIST"),"",VLOOKUP(G2262,Students!$A:$C,2,FALSE))</f>
        <v/>
      </c>
      <c r="I2262" s="35">
        <f>IF(OR(G2262="",G2262="NOT ON LIST"),"",VLOOKUP(G2262,Students!$A:$C,3,FALSE)&amp;"")</f>
        <v/>
      </c>
    </row>
    <row r="2263">
      <c r="A2263" s="31" t="n"/>
      <c r="B2263" s="32" t="n"/>
      <c r="C2263" s="32" t="n"/>
      <c r="D2263" s="33" t="n"/>
      <c r="E2263" s="32" t="n"/>
      <c r="F2263" s="34">
        <f>IF(A2263="","",IFERROR(INT(A2263),"check date"))</f>
        <v/>
      </c>
      <c r="G2263" s="35">
        <f>IF(B2263="","",IFERROR(INDEX(Students!$A:$A,MATCH(TRIM(B2263),Students!$A:$A,0)),"NOT ON LIST"))</f>
        <v/>
      </c>
      <c r="H2263" s="35">
        <f>IF(OR(G2263="",G2263="NOT ON LIST"),"",VLOOKUP(G2263,Students!$A:$C,2,FALSE))</f>
        <v/>
      </c>
      <c r="I2263" s="35">
        <f>IF(OR(G2263="",G2263="NOT ON LIST"),"",VLOOKUP(G2263,Students!$A:$C,3,FALSE)&amp;"")</f>
        <v/>
      </c>
    </row>
    <row r="2264">
      <c r="A2264" s="31" t="n"/>
      <c r="B2264" s="32" t="n"/>
      <c r="C2264" s="32" t="n"/>
      <c r="D2264" s="33" t="n"/>
      <c r="E2264" s="32" t="n"/>
      <c r="F2264" s="34">
        <f>IF(A2264="","",IFERROR(INT(A2264),"check date"))</f>
        <v/>
      </c>
      <c r="G2264" s="35">
        <f>IF(B2264="","",IFERROR(INDEX(Students!$A:$A,MATCH(TRIM(B2264),Students!$A:$A,0)),"NOT ON LIST"))</f>
        <v/>
      </c>
      <c r="H2264" s="35">
        <f>IF(OR(G2264="",G2264="NOT ON LIST"),"",VLOOKUP(G2264,Students!$A:$C,2,FALSE))</f>
        <v/>
      </c>
      <c r="I2264" s="35">
        <f>IF(OR(G2264="",G2264="NOT ON LIST"),"",VLOOKUP(G2264,Students!$A:$C,3,FALSE)&amp;"")</f>
        <v/>
      </c>
    </row>
    <row r="2265">
      <c r="A2265" s="31" t="n"/>
      <c r="B2265" s="32" t="n"/>
      <c r="C2265" s="32" t="n"/>
      <c r="D2265" s="33" t="n"/>
      <c r="E2265" s="32" t="n"/>
      <c r="F2265" s="34">
        <f>IF(A2265="","",IFERROR(INT(A2265),"check date"))</f>
        <v/>
      </c>
      <c r="G2265" s="35">
        <f>IF(B2265="","",IFERROR(INDEX(Students!$A:$A,MATCH(TRIM(B2265),Students!$A:$A,0)),"NOT ON LIST"))</f>
        <v/>
      </c>
      <c r="H2265" s="35">
        <f>IF(OR(G2265="",G2265="NOT ON LIST"),"",VLOOKUP(G2265,Students!$A:$C,2,FALSE))</f>
        <v/>
      </c>
      <c r="I2265" s="35">
        <f>IF(OR(G2265="",G2265="NOT ON LIST"),"",VLOOKUP(G2265,Students!$A:$C,3,FALSE)&amp;"")</f>
        <v/>
      </c>
    </row>
    <row r="2266">
      <c r="A2266" s="31" t="n"/>
      <c r="B2266" s="32" t="n"/>
      <c r="C2266" s="32" t="n"/>
      <c r="D2266" s="33" t="n"/>
      <c r="E2266" s="32" t="n"/>
      <c r="F2266" s="34">
        <f>IF(A2266="","",IFERROR(INT(A2266),"check date"))</f>
        <v/>
      </c>
      <c r="G2266" s="35">
        <f>IF(B2266="","",IFERROR(INDEX(Students!$A:$A,MATCH(TRIM(B2266),Students!$A:$A,0)),"NOT ON LIST"))</f>
        <v/>
      </c>
      <c r="H2266" s="35">
        <f>IF(OR(G2266="",G2266="NOT ON LIST"),"",VLOOKUP(G2266,Students!$A:$C,2,FALSE))</f>
        <v/>
      </c>
      <c r="I2266" s="35">
        <f>IF(OR(G2266="",G2266="NOT ON LIST"),"",VLOOKUP(G2266,Students!$A:$C,3,FALSE)&amp;"")</f>
        <v/>
      </c>
    </row>
    <row r="2267">
      <c r="A2267" s="31" t="n"/>
      <c r="B2267" s="32" t="n"/>
      <c r="C2267" s="32" t="n"/>
      <c r="D2267" s="33" t="n"/>
      <c r="E2267" s="32" t="n"/>
      <c r="F2267" s="34">
        <f>IF(A2267="","",IFERROR(INT(A2267),"check date"))</f>
        <v/>
      </c>
      <c r="G2267" s="35">
        <f>IF(B2267="","",IFERROR(INDEX(Students!$A:$A,MATCH(TRIM(B2267),Students!$A:$A,0)),"NOT ON LIST"))</f>
        <v/>
      </c>
      <c r="H2267" s="35">
        <f>IF(OR(G2267="",G2267="NOT ON LIST"),"",VLOOKUP(G2267,Students!$A:$C,2,FALSE))</f>
        <v/>
      </c>
      <c r="I2267" s="35">
        <f>IF(OR(G2267="",G2267="NOT ON LIST"),"",VLOOKUP(G2267,Students!$A:$C,3,FALSE)&amp;"")</f>
        <v/>
      </c>
    </row>
    <row r="2268">
      <c r="A2268" s="31" t="n"/>
      <c r="B2268" s="32" t="n"/>
      <c r="C2268" s="32" t="n"/>
      <c r="D2268" s="33" t="n"/>
      <c r="E2268" s="32" t="n"/>
      <c r="F2268" s="34">
        <f>IF(A2268="","",IFERROR(INT(A2268),"check date"))</f>
        <v/>
      </c>
      <c r="G2268" s="35">
        <f>IF(B2268="","",IFERROR(INDEX(Students!$A:$A,MATCH(TRIM(B2268),Students!$A:$A,0)),"NOT ON LIST"))</f>
        <v/>
      </c>
      <c r="H2268" s="35">
        <f>IF(OR(G2268="",G2268="NOT ON LIST"),"",VLOOKUP(G2268,Students!$A:$C,2,FALSE))</f>
        <v/>
      </c>
      <c r="I2268" s="35">
        <f>IF(OR(G2268="",G2268="NOT ON LIST"),"",VLOOKUP(G2268,Students!$A:$C,3,FALSE)&amp;"")</f>
        <v/>
      </c>
    </row>
    <row r="2269">
      <c r="A2269" s="31" t="n"/>
      <c r="B2269" s="32" t="n"/>
      <c r="C2269" s="32" t="n"/>
      <c r="D2269" s="33" t="n"/>
      <c r="E2269" s="32" t="n"/>
      <c r="F2269" s="34">
        <f>IF(A2269="","",IFERROR(INT(A2269),"check date"))</f>
        <v/>
      </c>
      <c r="G2269" s="35">
        <f>IF(B2269="","",IFERROR(INDEX(Students!$A:$A,MATCH(TRIM(B2269),Students!$A:$A,0)),"NOT ON LIST"))</f>
        <v/>
      </c>
      <c r="H2269" s="35">
        <f>IF(OR(G2269="",G2269="NOT ON LIST"),"",VLOOKUP(G2269,Students!$A:$C,2,FALSE))</f>
        <v/>
      </c>
      <c r="I2269" s="35">
        <f>IF(OR(G2269="",G2269="NOT ON LIST"),"",VLOOKUP(G2269,Students!$A:$C,3,FALSE)&amp;"")</f>
        <v/>
      </c>
    </row>
    <row r="2270">
      <c r="A2270" s="31" t="n"/>
      <c r="B2270" s="32" t="n"/>
      <c r="C2270" s="32" t="n"/>
      <c r="D2270" s="33" t="n"/>
      <c r="E2270" s="32" t="n"/>
      <c r="F2270" s="34">
        <f>IF(A2270="","",IFERROR(INT(A2270),"check date"))</f>
        <v/>
      </c>
      <c r="G2270" s="35">
        <f>IF(B2270="","",IFERROR(INDEX(Students!$A:$A,MATCH(TRIM(B2270),Students!$A:$A,0)),"NOT ON LIST"))</f>
        <v/>
      </c>
      <c r="H2270" s="35">
        <f>IF(OR(G2270="",G2270="NOT ON LIST"),"",VLOOKUP(G2270,Students!$A:$C,2,FALSE))</f>
        <v/>
      </c>
      <c r="I2270" s="35">
        <f>IF(OR(G2270="",G2270="NOT ON LIST"),"",VLOOKUP(G2270,Students!$A:$C,3,FALSE)&amp;"")</f>
        <v/>
      </c>
    </row>
    <row r="2271">
      <c r="A2271" s="31" t="n"/>
      <c r="B2271" s="32" t="n"/>
      <c r="C2271" s="32" t="n"/>
      <c r="D2271" s="33" t="n"/>
      <c r="E2271" s="32" t="n"/>
      <c r="F2271" s="34">
        <f>IF(A2271="","",IFERROR(INT(A2271),"check date"))</f>
        <v/>
      </c>
      <c r="G2271" s="35">
        <f>IF(B2271="","",IFERROR(INDEX(Students!$A:$A,MATCH(TRIM(B2271),Students!$A:$A,0)),"NOT ON LIST"))</f>
        <v/>
      </c>
      <c r="H2271" s="35">
        <f>IF(OR(G2271="",G2271="NOT ON LIST"),"",VLOOKUP(G2271,Students!$A:$C,2,FALSE))</f>
        <v/>
      </c>
      <c r="I2271" s="35">
        <f>IF(OR(G2271="",G2271="NOT ON LIST"),"",VLOOKUP(G2271,Students!$A:$C,3,FALSE)&amp;"")</f>
        <v/>
      </c>
    </row>
    <row r="2272">
      <c r="A2272" s="31" t="n"/>
      <c r="B2272" s="32" t="n"/>
      <c r="C2272" s="32" t="n"/>
      <c r="D2272" s="33" t="n"/>
      <c r="E2272" s="32" t="n"/>
      <c r="F2272" s="34">
        <f>IF(A2272="","",IFERROR(INT(A2272),"check date"))</f>
        <v/>
      </c>
      <c r="G2272" s="35">
        <f>IF(B2272="","",IFERROR(INDEX(Students!$A:$A,MATCH(TRIM(B2272),Students!$A:$A,0)),"NOT ON LIST"))</f>
        <v/>
      </c>
      <c r="H2272" s="35">
        <f>IF(OR(G2272="",G2272="NOT ON LIST"),"",VLOOKUP(G2272,Students!$A:$C,2,FALSE))</f>
        <v/>
      </c>
      <c r="I2272" s="35">
        <f>IF(OR(G2272="",G2272="NOT ON LIST"),"",VLOOKUP(G2272,Students!$A:$C,3,FALSE)&amp;"")</f>
        <v/>
      </c>
    </row>
    <row r="2273">
      <c r="A2273" s="31" t="n"/>
      <c r="B2273" s="32" t="n"/>
      <c r="C2273" s="32" t="n"/>
      <c r="D2273" s="33" t="n"/>
      <c r="E2273" s="32" t="n"/>
      <c r="F2273" s="34">
        <f>IF(A2273="","",IFERROR(INT(A2273),"check date"))</f>
        <v/>
      </c>
      <c r="G2273" s="35">
        <f>IF(B2273="","",IFERROR(INDEX(Students!$A:$A,MATCH(TRIM(B2273),Students!$A:$A,0)),"NOT ON LIST"))</f>
        <v/>
      </c>
      <c r="H2273" s="35">
        <f>IF(OR(G2273="",G2273="NOT ON LIST"),"",VLOOKUP(G2273,Students!$A:$C,2,FALSE))</f>
        <v/>
      </c>
      <c r="I2273" s="35">
        <f>IF(OR(G2273="",G2273="NOT ON LIST"),"",VLOOKUP(G2273,Students!$A:$C,3,FALSE)&amp;"")</f>
        <v/>
      </c>
    </row>
    <row r="2274">
      <c r="A2274" s="31" t="n"/>
      <c r="B2274" s="32" t="n"/>
      <c r="C2274" s="32" t="n"/>
      <c r="D2274" s="33" t="n"/>
      <c r="E2274" s="32" t="n"/>
      <c r="F2274" s="34">
        <f>IF(A2274="","",IFERROR(INT(A2274),"check date"))</f>
        <v/>
      </c>
      <c r="G2274" s="35">
        <f>IF(B2274="","",IFERROR(INDEX(Students!$A:$A,MATCH(TRIM(B2274),Students!$A:$A,0)),"NOT ON LIST"))</f>
        <v/>
      </c>
      <c r="H2274" s="35">
        <f>IF(OR(G2274="",G2274="NOT ON LIST"),"",VLOOKUP(G2274,Students!$A:$C,2,FALSE))</f>
        <v/>
      </c>
      <c r="I2274" s="35">
        <f>IF(OR(G2274="",G2274="NOT ON LIST"),"",VLOOKUP(G2274,Students!$A:$C,3,FALSE)&amp;"")</f>
        <v/>
      </c>
    </row>
    <row r="2275">
      <c r="A2275" s="31" t="n"/>
      <c r="B2275" s="32" t="n"/>
      <c r="C2275" s="32" t="n"/>
      <c r="D2275" s="33" t="n"/>
      <c r="E2275" s="32" t="n"/>
      <c r="F2275" s="34">
        <f>IF(A2275="","",IFERROR(INT(A2275),"check date"))</f>
        <v/>
      </c>
      <c r="G2275" s="35">
        <f>IF(B2275="","",IFERROR(INDEX(Students!$A:$A,MATCH(TRIM(B2275),Students!$A:$A,0)),"NOT ON LIST"))</f>
        <v/>
      </c>
      <c r="H2275" s="35">
        <f>IF(OR(G2275="",G2275="NOT ON LIST"),"",VLOOKUP(G2275,Students!$A:$C,2,FALSE))</f>
        <v/>
      </c>
      <c r="I2275" s="35">
        <f>IF(OR(G2275="",G2275="NOT ON LIST"),"",VLOOKUP(G2275,Students!$A:$C,3,FALSE)&amp;"")</f>
        <v/>
      </c>
    </row>
    <row r="2276">
      <c r="A2276" s="31" t="n"/>
      <c r="B2276" s="32" t="n"/>
      <c r="C2276" s="32" t="n"/>
      <c r="D2276" s="33" t="n"/>
      <c r="E2276" s="32" t="n"/>
      <c r="F2276" s="34">
        <f>IF(A2276="","",IFERROR(INT(A2276),"check date"))</f>
        <v/>
      </c>
      <c r="G2276" s="35">
        <f>IF(B2276="","",IFERROR(INDEX(Students!$A:$A,MATCH(TRIM(B2276),Students!$A:$A,0)),"NOT ON LIST"))</f>
        <v/>
      </c>
      <c r="H2276" s="35">
        <f>IF(OR(G2276="",G2276="NOT ON LIST"),"",VLOOKUP(G2276,Students!$A:$C,2,FALSE))</f>
        <v/>
      </c>
      <c r="I2276" s="35">
        <f>IF(OR(G2276="",G2276="NOT ON LIST"),"",VLOOKUP(G2276,Students!$A:$C,3,FALSE)&amp;"")</f>
        <v/>
      </c>
    </row>
    <row r="2277">
      <c r="A2277" s="31" t="n"/>
      <c r="B2277" s="32" t="n"/>
      <c r="C2277" s="32" t="n"/>
      <c r="D2277" s="33" t="n"/>
      <c r="E2277" s="32" t="n"/>
      <c r="F2277" s="34">
        <f>IF(A2277="","",IFERROR(INT(A2277),"check date"))</f>
        <v/>
      </c>
      <c r="G2277" s="35">
        <f>IF(B2277="","",IFERROR(INDEX(Students!$A:$A,MATCH(TRIM(B2277),Students!$A:$A,0)),"NOT ON LIST"))</f>
        <v/>
      </c>
      <c r="H2277" s="35">
        <f>IF(OR(G2277="",G2277="NOT ON LIST"),"",VLOOKUP(G2277,Students!$A:$C,2,FALSE))</f>
        <v/>
      </c>
      <c r="I2277" s="35">
        <f>IF(OR(G2277="",G2277="NOT ON LIST"),"",VLOOKUP(G2277,Students!$A:$C,3,FALSE)&amp;"")</f>
        <v/>
      </c>
    </row>
    <row r="2278">
      <c r="A2278" s="31" t="n"/>
      <c r="B2278" s="32" t="n"/>
      <c r="C2278" s="32" t="n"/>
      <c r="D2278" s="33" t="n"/>
      <c r="E2278" s="32" t="n"/>
      <c r="F2278" s="34">
        <f>IF(A2278="","",IFERROR(INT(A2278),"check date"))</f>
        <v/>
      </c>
      <c r="G2278" s="35">
        <f>IF(B2278="","",IFERROR(INDEX(Students!$A:$A,MATCH(TRIM(B2278),Students!$A:$A,0)),"NOT ON LIST"))</f>
        <v/>
      </c>
      <c r="H2278" s="35">
        <f>IF(OR(G2278="",G2278="NOT ON LIST"),"",VLOOKUP(G2278,Students!$A:$C,2,FALSE))</f>
        <v/>
      </c>
      <c r="I2278" s="35">
        <f>IF(OR(G2278="",G2278="NOT ON LIST"),"",VLOOKUP(G2278,Students!$A:$C,3,FALSE)&amp;"")</f>
        <v/>
      </c>
    </row>
    <row r="2279">
      <c r="A2279" s="31" t="n"/>
      <c r="B2279" s="32" t="n"/>
      <c r="C2279" s="32" t="n"/>
      <c r="D2279" s="33" t="n"/>
      <c r="E2279" s="32" t="n"/>
      <c r="F2279" s="34">
        <f>IF(A2279="","",IFERROR(INT(A2279),"check date"))</f>
        <v/>
      </c>
      <c r="G2279" s="35">
        <f>IF(B2279="","",IFERROR(INDEX(Students!$A:$A,MATCH(TRIM(B2279),Students!$A:$A,0)),"NOT ON LIST"))</f>
        <v/>
      </c>
      <c r="H2279" s="35">
        <f>IF(OR(G2279="",G2279="NOT ON LIST"),"",VLOOKUP(G2279,Students!$A:$C,2,FALSE))</f>
        <v/>
      </c>
      <c r="I2279" s="35">
        <f>IF(OR(G2279="",G2279="NOT ON LIST"),"",VLOOKUP(G2279,Students!$A:$C,3,FALSE)&amp;"")</f>
        <v/>
      </c>
    </row>
    <row r="2280">
      <c r="A2280" s="31" t="n"/>
      <c r="B2280" s="32" t="n"/>
      <c r="C2280" s="32" t="n"/>
      <c r="D2280" s="33" t="n"/>
      <c r="E2280" s="32" t="n"/>
      <c r="F2280" s="34">
        <f>IF(A2280="","",IFERROR(INT(A2280),"check date"))</f>
        <v/>
      </c>
      <c r="G2280" s="35">
        <f>IF(B2280="","",IFERROR(INDEX(Students!$A:$A,MATCH(TRIM(B2280),Students!$A:$A,0)),"NOT ON LIST"))</f>
        <v/>
      </c>
      <c r="H2280" s="35">
        <f>IF(OR(G2280="",G2280="NOT ON LIST"),"",VLOOKUP(G2280,Students!$A:$C,2,FALSE))</f>
        <v/>
      </c>
      <c r="I2280" s="35">
        <f>IF(OR(G2280="",G2280="NOT ON LIST"),"",VLOOKUP(G2280,Students!$A:$C,3,FALSE)&amp;"")</f>
        <v/>
      </c>
    </row>
    <row r="2281">
      <c r="A2281" s="31" t="n"/>
      <c r="B2281" s="32" t="n"/>
      <c r="C2281" s="32" t="n"/>
      <c r="D2281" s="33" t="n"/>
      <c r="E2281" s="32" t="n"/>
      <c r="F2281" s="34">
        <f>IF(A2281="","",IFERROR(INT(A2281),"check date"))</f>
        <v/>
      </c>
      <c r="G2281" s="35">
        <f>IF(B2281="","",IFERROR(INDEX(Students!$A:$A,MATCH(TRIM(B2281),Students!$A:$A,0)),"NOT ON LIST"))</f>
        <v/>
      </c>
      <c r="H2281" s="35">
        <f>IF(OR(G2281="",G2281="NOT ON LIST"),"",VLOOKUP(G2281,Students!$A:$C,2,FALSE))</f>
        <v/>
      </c>
      <c r="I2281" s="35">
        <f>IF(OR(G2281="",G2281="NOT ON LIST"),"",VLOOKUP(G2281,Students!$A:$C,3,FALSE)&amp;"")</f>
        <v/>
      </c>
    </row>
    <row r="2282">
      <c r="A2282" s="31" t="n"/>
      <c r="B2282" s="32" t="n"/>
      <c r="C2282" s="32" t="n"/>
      <c r="D2282" s="33" t="n"/>
      <c r="E2282" s="32" t="n"/>
      <c r="F2282" s="34">
        <f>IF(A2282="","",IFERROR(INT(A2282),"check date"))</f>
        <v/>
      </c>
      <c r="G2282" s="35">
        <f>IF(B2282="","",IFERROR(INDEX(Students!$A:$A,MATCH(TRIM(B2282),Students!$A:$A,0)),"NOT ON LIST"))</f>
        <v/>
      </c>
      <c r="H2282" s="35">
        <f>IF(OR(G2282="",G2282="NOT ON LIST"),"",VLOOKUP(G2282,Students!$A:$C,2,FALSE))</f>
        <v/>
      </c>
      <c r="I2282" s="35">
        <f>IF(OR(G2282="",G2282="NOT ON LIST"),"",VLOOKUP(G2282,Students!$A:$C,3,FALSE)&amp;"")</f>
        <v/>
      </c>
    </row>
    <row r="2283">
      <c r="A2283" s="31" t="n"/>
      <c r="B2283" s="32" t="n"/>
      <c r="C2283" s="32" t="n"/>
      <c r="D2283" s="33" t="n"/>
      <c r="E2283" s="32" t="n"/>
      <c r="F2283" s="34">
        <f>IF(A2283="","",IFERROR(INT(A2283),"check date"))</f>
        <v/>
      </c>
      <c r="G2283" s="35">
        <f>IF(B2283="","",IFERROR(INDEX(Students!$A:$A,MATCH(TRIM(B2283),Students!$A:$A,0)),"NOT ON LIST"))</f>
        <v/>
      </c>
      <c r="H2283" s="35">
        <f>IF(OR(G2283="",G2283="NOT ON LIST"),"",VLOOKUP(G2283,Students!$A:$C,2,FALSE))</f>
        <v/>
      </c>
      <c r="I2283" s="35">
        <f>IF(OR(G2283="",G2283="NOT ON LIST"),"",VLOOKUP(G2283,Students!$A:$C,3,FALSE)&amp;"")</f>
        <v/>
      </c>
    </row>
    <row r="2284">
      <c r="A2284" s="31" t="n"/>
      <c r="B2284" s="32" t="n"/>
      <c r="C2284" s="32" t="n"/>
      <c r="D2284" s="33" t="n"/>
      <c r="E2284" s="32" t="n"/>
      <c r="F2284" s="34">
        <f>IF(A2284="","",IFERROR(INT(A2284),"check date"))</f>
        <v/>
      </c>
      <c r="G2284" s="35">
        <f>IF(B2284="","",IFERROR(INDEX(Students!$A:$A,MATCH(TRIM(B2284),Students!$A:$A,0)),"NOT ON LIST"))</f>
        <v/>
      </c>
      <c r="H2284" s="35">
        <f>IF(OR(G2284="",G2284="NOT ON LIST"),"",VLOOKUP(G2284,Students!$A:$C,2,FALSE))</f>
        <v/>
      </c>
      <c r="I2284" s="35">
        <f>IF(OR(G2284="",G2284="NOT ON LIST"),"",VLOOKUP(G2284,Students!$A:$C,3,FALSE)&amp;"")</f>
        <v/>
      </c>
    </row>
    <row r="2285">
      <c r="A2285" s="31" t="n"/>
      <c r="B2285" s="32" t="n"/>
      <c r="C2285" s="32" t="n"/>
      <c r="D2285" s="33" t="n"/>
      <c r="E2285" s="32" t="n"/>
      <c r="F2285" s="34">
        <f>IF(A2285="","",IFERROR(INT(A2285),"check date"))</f>
        <v/>
      </c>
      <c r="G2285" s="35">
        <f>IF(B2285="","",IFERROR(INDEX(Students!$A:$A,MATCH(TRIM(B2285),Students!$A:$A,0)),"NOT ON LIST"))</f>
        <v/>
      </c>
      <c r="H2285" s="35">
        <f>IF(OR(G2285="",G2285="NOT ON LIST"),"",VLOOKUP(G2285,Students!$A:$C,2,FALSE))</f>
        <v/>
      </c>
      <c r="I2285" s="35">
        <f>IF(OR(G2285="",G2285="NOT ON LIST"),"",VLOOKUP(G2285,Students!$A:$C,3,FALSE)&amp;"")</f>
        <v/>
      </c>
    </row>
    <row r="2286">
      <c r="A2286" s="31" t="n"/>
      <c r="B2286" s="32" t="n"/>
      <c r="C2286" s="32" t="n"/>
      <c r="D2286" s="33" t="n"/>
      <c r="E2286" s="32" t="n"/>
      <c r="F2286" s="34">
        <f>IF(A2286="","",IFERROR(INT(A2286),"check date"))</f>
        <v/>
      </c>
      <c r="G2286" s="35">
        <f>IF(B2286="","",IFERROR(INDEX(Students!$A:$A,MATCH(TRIM(B2286),Students!$A:$A,0)),"NOT ON LIST"))</f>
        <v/>
      </c>
      <c r="H2286" s="35">
        <f>IF(OR(G2286="",G2286="NOT ON LIST"),"",VLOOKUP(G2286,Students!$A:$C,2,FALSE))</f>
        <v/>
      </c>
      <c r="I2286" s="35">
        <f>IF(OR(G2286="",G2286="NOT ON LIST"),"",VLOOKUP(G2286,Students!$A:$C,3,FALSE)&amp;"")</f>
        <v/>
      </c>
    </row>
    <row r="2287">
      <c r="A2287" s="31" t="n"/>
      <c r="B2287" s="32" t="n"/>
      <c r="C2287" s="32" t="n"/>
      <c r="D2287" s="33" t="n"/>
      <c r="E2287" s="32" t="n"/>
      <c r="F2287" s="34">
        <f>IF(A2287="","",IFERROR(INT(A2287),"check date"))</f>
        <v/>
      </c>
      <c r="G2287" s="35">
        <f>IF(B2287="","",IFERROR(INDEX(Students!$A:$A,MATCH(TRIM(B2287),Students!$A:$A,0)),"NOT ON LIST"))</f>
        <v/>
      </c>
      <c r="H2287" s="35">
        <f>IF(OR(G2287="",G2287="NOT ON LIST"),"",VLOOKUP(G2287,Students!$A:$C,2,FALSE))</f>
        <v/>
      </c>
      <c r="I2287" s="35">
        <f>IF(OR(G2287="",G2287="NOT ON LIST"),"",VLOOKUP(G2287,Students!$A:$C,3,FALSE)&amp;"")</f>
        <v/>
      </c>
    </row>
    <row r="2288">
      <c r="A2288" s="31" t="n"/>
      <c r="B2288" s="32" t="n"/>
      <c r="C2288" s="32" t="n"/>
      <c r="D2288" s="33" t="n"/>
      <c r="E2288" s="32" t="n"/>
      <c r="F2288" s="34">
        <f>IF(A2288="","",IFERROR(INT(A2288),"check date"))</f>
        <v/>
      </c>
      <c r="G2288" s="35">
        <f>IF(B2288="","",IFERROR(INDEX(Students!$A:$A,MATCH(TRIM(B2288),Students!$A:$A,0)),"NOT ON LIST"))</f>
        <v/>
      </c>
      <c r="H2288" s="35">
        <f>IF(OR(G2288="",G2288="NOT ON LIST"),"",VLOOKUP(G2288,Students!$A:$C,2,FALSE))</f>
        <v/>
      </c>
      <c r="I2288" s="35">
        <f>IF(OR(G2288="",G2288="NOT ON LIST"),"",VLOOKUP(G2288,Students!$A:$C,3,FALSE)&amp;"")</f>
        <v/>
      </c>
    </row>
    <row r="2289">
      <c r="A2289" s="31" t="n"/>
      <c r="B2289" s="32" t="n"/>
      <c r="C2289" s="32" t="n"/>
      <c r="D2289" s="33" t="n"/>
      <c r="E2289" s="32" t="n"/>
      <c r="F2289" s="34">
        <f>IF(A2289="","",IFERROR(INT(A2289),"check date"))</f>
        <v/>
      </c>
      <c r="G2289" s="35">
        <f>IF(B2289="","",IFERROR(INDEX(Students!$A:$A,MATCH(TRIM(B2289),Students!$A:$A,0)),"NOT ON LIST"))</f>
        <v/>
      </c>
      <c r="H2289" s="35">
        <f>IF(OR(G2289="",G2289="NOT ON LIST"),"",VLOOKUP(G2289,Students!$A:$C,2,FALSE))</f>
        <v/>
      </c>
      <c r="I2289" s="35">
        <f>IF(OR(G2289="",G2289="NOT ON LIST"),"",VLOOKUP(G2289,Students!$A:$C,3,FALSE)&amp;"")</f>
        <v/>
      </c>
    </row>
    <row r="2290">
      <c r="A2290" s="31" t="n"/>
      <c r="B2290" s="32" t="n"/>
      <c r="C2290" s="32" t="n"/>
      <c r="D2290" s="33" t="n"/>
      <c r="E2290" s="32" t="n"/>
      <c r="F2290" s="34">
        <f>IF(A2290="","",IFERROR(INT(A2290),"check date"))</f>
        <v/>
      </c>
      <c r="G2290" s="35">
        <f>IF(B2290="","",IFERROR(INDEX(Students!$A:$A,MATCH(TRIM(B2290),Students!$A:$A,0)),"NOT ON LIST"))</f>
        <v/>
      </c>
      <c r="H2290" s="35">
        <f>IF(OR(G2290="",G2290="NOT ON LIST"),"",VLOOKUP(G2290,Students!$A:$C,2,FALSE))</f>
        <v/>
      </c>
      <c r="I2290" s="35">
        <f>IF(OR(G2290="",G2290="NOT ON LIST"),"",VLOOKUP(G2290,Students!$A:$C,3,FALSE)&amp;"")</f>
        <v/>
      </c>
    </row>
    <row r="2291">
      <c r="A2291" s="31" t="n"/>
      <c r="B2291" s="32" t="n"/>
      <c r="C2291" s="32" t="n"/>
      <c r="D2291" s="33" t="n"/>
      <c r="E2291" s="32" t="n"/>
      <c r="F2291" s="34">
        <f>IF(A2291="","",IFERROR(INT(A2291),"check date"))</f>
        <v/>
      </c>
      <c r="G2291" s="35">
        <f>IF(B2291="","",IFERROR(INDEX(Students!$A:$A,MATCH(TRIM(B2291),Students!$A:$A,0)),"NOT ON LIST"))</f>
        <v/>
      </c>
      <c r="H2291" s="35">
        <f>IF(OR(G2291="",G2291="NOT ON LIST"),"",VLOOKUP(G2291,Students!$A:$C,2,FALSE))</f>
        <v/>
      </c>
      <c r="I2291" s="35">
        <f>IF(OR(G2291="",G2291="NOT ON LIST"),"",VLOOKUP(G2291,Students!$A:$C,3,FALSE)&amp;"")</f>
        <v/>
      </c>
    </row>
    <row r="2292">
      <c r="A2292" s="31" t="n"/>
      <c r="B2292" s="32" t="n"/>
      <c r="C2292" s="32" t="n"/>
      <c r="D2292" s="33" t="n"/>
      <c r="E2292" s="32" t="n"/>
      <c r="F2292" s="34">
        <f>IF(A2292="","",IFERROR(INT(A2292),"check date"))</f>
        <v/>
      </c>
      <c r="G2292" s="35">
        <f>IF(B2292="","",IFERROR(INDEX(Students!$A:$A,MATCH(TRIM(B2292),Students!$A:$A,0)),"NOT ON LIST"))</f>
        <v/>
      </c>
      <c r="H2292" s="35">
        <f>IF(OR(G2292="",G2292="NOT ON LIST"),"",VLOOKUP(G2292,Students!$A:$C,2,FALSE))</f>
        <v/>
      </c>
      <c r="I2292" s="35">
        <f>IF(OR(G2292="",G2292="NOT ON LIST"),"",VLOOKUP(G2292,Students!$A:$C,3,FALSE)&amp;"")</f>
        <v/>
      </c>
    </row>
    <row r="2293">
      <c r="A2293" s="31" t="n"/>
      <c r="B2293" s="32" t="n"/>
      <c r="C2293" s="32" t="n"/>
      <c r="D2293" s="33" t="n"/>
      <c r="E2293" s="32" t="n"/>
      <c r="F2293" s="34">
        <f>IF(A2293="","",IFERROR(INT(A2293),"check date"))</f>
        <v/>
      </c>
      <c r="G2293" s="35">
        <f>IF(B2293="","",IFERROR(INDEX(Students!$A:$A,MATCH(TRIM(B2293),Students!$A:$A,0)),"NOT ON LIST"))</f>
        <v/>
      </c>
      <c r="H2293" s="35">
        <f>IF(OR(G2293="",G2293="NOT ON LIST"),"",VLOOKUP(G2293,Students!$A:$C,2,FALSE))</f>
        <v/>
      </c>
      <c r="I2293" s="35">
        <f>IF(OR(G2293="",G2293="NOT ON LIST"),"",VLOOKUP(G2293,Students!$A:$C,3,FALSE)&amp;"")</f>
        <v/>
      </c>
    </row>
    <row r="2294">
      <c r="A2294" s="31" t="n"/>
      <c r="B2294" s="32" t="n"/>
      <c r="C2294" s="32" t="n"/>
      <c r="D2294" s="33" t="n"/>
      <c r="E2294" s="32" t="n"/>
      <c r="F2294" s="34">
        <f>IF(A2294="","",IFERROR(INT(A2294),"check date"))</f>
        <v/>
      </c>
      <c r="G2294" s="35">
        <f>IF(B2294="","",IFERROR(INDEX(Students!$A:$A,MATCH(TRIM(B2294),Students!$A:$A,0)),"NOT ON LIST"))</f>
        <v/>
      </c>
      <c r="H2294" s="35">
        <f>IF(OR(G2294="",G2294="NOT ON LIST"),"",VLOOKUP(G2294,Students!$A:$C,2,FALSE))</f>
        <v/>
      </c>
      <c r="I2294" s="35">
        <f>IF(OR(G2294="",G2294="NOT ON LIST"),"",VLOOKUP(G2294,Students!$A:$C,3,FALSE)&amp;"")</f>
        <v/>
      </c>
    </row>
    <row r="2295">
      <c r="A2295" s="31" t="n"/>
      <c r="B2295" s="32" t="n"/>
      <c r="C2295" s="32" t="n"/>
      <c r="D2295" s="33" t="n"/>
      <c r="E2295" s="32" t="n"/>
      <c r="F2295" s="34">
        <f>IF(A2295="","",IFERROR(INT(A2295),"check date"))</f>
        <v/>
      </c>
      <c r="G2295" s="35">
        <f>IF(B2295="","",IFERROR(INDEX(Students!$A:$A,MATCH(TRIM(B2295),Students!$A:$A,0)),"NOT ON LIST"))</f>
        <v/>
      </c>
      <c r="H2295" s="35">
        <f>IF(OR(G2295="",G2295="NOT ON LIST"),"",VLOOKUP(G2295,Students!$A:$C,2,FALSE))</f>
        <v/>
      </c>
      <c r="I2295" s="35">
        <f>IF(OR(G2295="",G2295="NOT ON LIST"),"",VLOOKUP(G2295,Students!$A:$C,3,FALSE)&amp;"")</f>
        <v/>
      </c>
    </row>
    <row r="2296">
      <c r="A2296" s="31" t="n"/>
      <c r="B2296" s="32" t="n"/>
      <c r="C2296" s="32" t="n"/>
      <c r="D2296" s="33" t="n"/>
      <c r="E2296" s="32" t="n"/>
      <c r="F2296" s="34">
        <f>IF(A2296="","",IFERROR(INT(A2296),"check date"))</f>
        <v/>
      </c>
      <c r="G2296" s="35">
        <f>IF(B2296="","",IFERROR(INDEX(Students!$A:$A,MATCH(TRIM(B2296),Students!$A:$A,0)),"NOT ON LIST"))</f>
        <v/>
      </c>
      <c r="H2296" s="35">
        <f>IF(OR(G2296="",G2296="NOT ON LIST"),"",VLOOKUP(G2296,Students!$A:$C,2,FALSE))</f>
        <v/>
      </c>
      <c r="I2296" s="35">
        <f>IF(OR(G2296="",G2296="NOT ON LIST"),"",VLOOKUP(G2296,Students!$A:$C,3,FALSE)&amp;"")</f>
        <v/>
      </c>
    </row>
    <row r="2297">
      <c r="A2297" s="31" t="n"/>
      <c r="B2297" s="32" t="n"/>
      <c r="C2297" s="32" t="n"/>
      <c r="D2297" s="33" t="n"/>
      <c r="E2297" s="32" t="n"/>
      <c r="F2297" s="34">
        <f>IF(A2297="","",IFERROR(INT(A2297),"check date"))</f>
        <v/>
      </c>
      <c r="G2297" s="35">
        <f>IF(B2297="","",IFERROR(INDEX(Students!$A:$A,MATCH(TRIM(B2297),Students!$A:$A,0)),"NOT ON LIST"))</f>
        <v/>
      </c>
      <c r="H2297" s="35">
        <f>IF(OR(G2297="",G2297="NOT ON LIST"),"",VLOOKUP(G2297,Students!$A:$C,2,FALSE))</f>
        <v/>
      </c>
      <c r="I2297" s="35">
        <f>IF(OR(G2297="",G2297="NOT ON LIST"),"",VLOOKUP(G2297,Students!$A:$C,3,FALSE)&amp;"")</f>
        <v/>
      </c>
    </row>
    <row r="2298">
      <c r="A2298" s="31" t="n"/>
      <c r="B2298" s="32" t="n"/>
      <c r="C2298" s="32" t="n"/>
      <c r="D2298" s="33" t="n"/>
      <c r="E2298" s="32" t="n"/>
      <c r="F2298" s="34">
        <f>IF(A2298="","",IFERROR(INT(A2298),"check date"))</f>
        <v/>
      </c>
      <c r="G2298" s="35">
        <f>IF(B2298="","",IFERROR(INDEX(Students!$A:$A,MATCH(TRIM(B2298),Students!$A:$A,0)),"NOT ON LIST"))</f>
        <v/>
      </c>
      <c r="H2298" s="35">
        <f>IF(OR(G2298="",G2298="NOT ON LIST"),"",VLOOKUP(G2298,Students!$A:$C,2,FALSE))</f>
        <v/>
      </c>
      <c r="I2298" s="35">
        <f>IF(OR(G2298="",G2298="NOT ON LIST"),"",VLOOKUP(G2298,Students!$A:$C,3,FALSE)&amp;"")</f>
        <v/>
      </c>
    </row>
    <row r="2299">
      <c r="A2299" s="31" t="n"/>
      <c r="B2299" s="32" t="n"/>
      <c r="C2299" s="32" t="n"/>
      <c r="D2299" s="33" t="n"/>
      <c r="E2299" s="32" t="n"/>
      <c r="F2299" s="34">
        <f>IF(A2299="","",IFERROR(INT(A2299),"check date"))</f>
        <v/>
      </c>
      <c r="G2299" s="35">
        <f>IF(B2299="","",IFERROR(INDEX(Students!$A:$A,MATCH(TRIM(B2299),Students!$A:$A,0)),"NOT ON LIST"))</f>
        <v/>
      </c>
      <c r="H2299" s="35">
        <f>IF(OR(G2299="",G2299="NOT ON LIST"),"",VLOOKUP(G2299,Students!$A:$C,2,FALSE))</f>
        <v/>
      </c>
      <c r="I2299" s="35">
        <f>IF(OR(G2299="",G2299="NOT ON LIST"),"",VLOOKUP(G2299,Students!$A:$C,3,FALSE)&amp;"")</f>
        <v/>
      </c>
    </row>
    <row r="2300">
      <c r="A2300" s="31" t="n"/>
      <c r="B2300" s="32" t="n"/>
      <c r="C2300" s="32" t="n"/>
      <c r="D2300" s="33" t="n"/>
      <c r="E2300" s="32" t="n"/>
      <c r="F2300" s="34">
        <f>IF(A2300="","",IFERROR(INT(A2300),"check date"))</f>
        <v/>
      </c>
      <c r="G2300" s="35">
        <f>IF(B2300="","",IFERROR(INDEX(Students!$A:$A,MATCH(TRIM(B2300),Students!$A:$A,0)),"NOT ON LIST"))</f>
        <v/>
      </c>
      <c r="H2300" s="35">
        <f>IF(OR(G2300="",G2300="NOT ON LIST"),"",VLOOKUP(G2300,Students!$A:$C,2,FALSE))</f>
        <v/>
      </c>
      <c r="I2300" s="35">
        <f>IF(OR(G2300="",G2300="NOT ON LIST"),"",VLOOKUP(G2300,Students!$A:$C,3,FALSE)&amp;"")</f>
        <v/>
      </c>
    </row>
    <row r="2301">
      <c r="A2301" s="31" t="n"/>
      <c r="B2301" s="32" t="n"/>
      <c r="C2301" s="32" t="n"/>
      <c r="D2301" s="33" t="n"/>
      <c r="E2301" s="32" t="n"/>
      <c r="F2301" s="34">
        <f>IF(A2301="","",IFERROR(INT(A2301),"check date"))</f>
        <v/>
      </c>
      <c r="G2301" s="35">
        <f>IF(B2301="","",IFERROR(INDEX(Students!$A:$A,MATCH(TRIM(B2301),Students!$A:$A,0)),"NOT ON LIST"))</f>
        <v/>
      </c>
      <c r="H2301" s="35">
        <f>IF(OR(G2301="",G2301="NOT ON LIST"),"",VLOOKUP(G2301,Students!$A:$C,2,FALSE))</f>
        <v/>
      </c>
      <c r="I2301" s="35">
        <f>IF(OR(G2301="",G2301="NOT ON LIST"),"",VLOOKUP(G2301,Students!$A:$C,3,FALSE)&amp;"")</f>
        <v/>
      </c>
    </row>
    <row r="2302">
      <c r="A2302" s="31" t="n"/>
      <c r="B2302" s="32" t="n"/>
      <c r="C2302" s="32" t="n"/>
      <c r="D2302" s="33" t="n"/>
      <c r="E2302" s="32" t="n"/>
      <c r="F2302" s="34">
        <f>IF(A2302="","",IFERROR(INT(A2302),"check date"))</f>
        <v/>
      </c>
      <c r="G2302" s="35">
        <f>IF(B2302="","",IFERROR(INDEX(Students!$A:$A,MATCH(TRIM(B2302),Students!$A:$A,0)),"NOT ON LIST"))</f>
        <v/>
      </c>
      <c r="H2302" s="35">
        <f>IF(OR(G2302="",G2302="NOT ON LIST"),"",VLOOKUP(G2302,Students!$A:$C,2,FALSE))</f>
        <v/>
      </c>
      <c r="I2302" s="35">
        <f>IF(OR(G2302="",G2302="NOT ON LIST"),"",VLOOKUP(G2302,Students!$A:$C,3,FALSE)&amp;"")</f>
        <v/>
      </c>
    </row>
    <row r="2303">
      <c r="A2303" s="31" t="n"/>
      <c r="B2303" s="32" t="n"/>
      <c r="C2303" s="32" t="n"/>
      <c r="D2303" s="33" t="n"/>
      <c r="E2303" s="32" t="n"/>
      <c r="F2303" s="34">
        <f>IF(A2303="","",IFERROR(INT(A2303),"check date"))</f>
        <v/>
      </c>
      <c r="G2303" s="35">
        <f>IF(B2303="","",IFERROR(INDEX(Students!$A:$A,MATCH(TRIM(B2303),Students!$A:$A,0)),"NOT ON LIST"))</f>
        <v/>
      </c>
      <c r="H2303" s="35">
        <f>IF(OR(G2303="",G2303="NOT ON LIST"),"",VLOOKUP(G2303,Students!$A:$C,2,FALSE))</f>
        <v/>
      </c>
      <c r="I2303" s="35">
        <f>IF(OR(G2303="",G2303="NOT ON LIST"),"",VLOOKUP(G2303,Students!$A:$C,3,FALSE)&amp;"")</f>
        <v/>
      </c>
    </row>
    <row r="2304">
      <c r="A2304" s="31" t="n"/>
      <c r="B2304" s="32" t="n"/>
      <c r="C2304" s="32" t="n"/>
      <c r="D2304" s="33" t="n"/>
      <c r="E2304" s="32" t="n"/>
      <c r="F2304" s="34">
        <f>IF(A2304="","",IFERROR(INT(A2304),"check date"))</f>
        <v/>
      </c>
      <c r="G2304" s="35">
        <f>IF(B2304="","",IFERROR(INDEX(Students!$A:$A,MATCH(TRIM(B2304),Students!$A:$A,0)),"NOT ON LIST"))</f>
        <v/>
      </c>
      <c r="H2304" s="35">
        <f>IF(OR(G2304="",G2304="NOT ON LIST"),"",VLOOKUP(G2304,Students!$A:$C,2,FALSE))</f>
        <v/>
      </c>
      <c r="I2304" s="35">
        <f>IF(OR(G2304="",G2304="NOT ON LIST"),"",VLOOKUP(G2304,Students!$A:$C,3,FALSE)&amp;"")</f>
        <v/>
      </c>
    </row>
    <row r="2305">
      <c r="A2305" s="31" t="n"/>
      <c r="B2305" s="32" t="n"/>
      <c r="C2305" s="32" t="n"/>
      <c r="D2305" s="33" t="n"/>
      <c r="E2305" s="32" t="n"/>
      <c r="F2305" s="34">
        <f>IF(A2305="","",IFERROR(INT(A2305),"check date"))</f>
        <v/>
      </c>
      <c r="G2305" s="35">
        <f>IF(B2305="","",IFERROR(INDEX(Students!$A:$A,MATCH(TRIM(B2305),Students!$A:$A,0)),"NOT ON LIST"))</f>
        <v/>
      </c>
      <c r="H2305" s="35">
        <f>IF(OR(G2305="",G2305="NOT ON LIST"),"",VLOOKUP(G2305,Students!$A:$C,2,FALSE))</f>
        <v/>
      </c>
      <c r="I2305" s="35">
        <f>IF(OR(G2305="",G2305="NOT ON LIST"),"",VLOOKUP(G2305,Students!$A:$C,3,FALSE)&amp;"")</f>
        <v/>
      </c>
    </row>
    <row r="2306">
      <c r="A2306" s="31" t="n"/>
      <c r="B2306" s="32" t="n"/>
      <c r="C2306" s="32" t="n"/>
      <c r="D2306" s="33" t="n"/>
      <c r="E2306" s="32" t="n"/>
      <c r="F2306" s="34">
        <f>IF(A2306="","",IFERROR(INT(A2306),"check date"))</f>
        <v/>
      </c>
      <c r="G2306" s="35">
        <f>IF(B2306="","",IFERROR(INDEX(Students!$A:$A,MATCH(TRIM(B2306),Students!$A:$A,0)),"NOT ON LIST"))</f>
        <v/>
      </c>
      <c r="H2306" s="35">
        <f>IF(OR(G2306="",G2306="NOT ON LIST"),"",VLOOKUP(G2306,Students!$A:$C,2,FALSE))</f>
        <v/>
      </c>
      <c r="I2306" s="35">
        <f>IF(OR(G2306="",G2306="NOT ON LIST"),"",VLOOKUP(G2306,Students!$A:$C,3,FALSE)&amp;"")</f>
        <v/>
      </c>
    </row>
    <row r="2307">
      <c r="A2307" s="31" t="n"/>
      <c r="B2307" s="32" t="n"/>
      <c r="C2307" s="32" t="n"/>
      <c r="D2307" s="33" t="n"/>
      <c r="E2307" s="32" t="n"/>
      <c r="F2307" s="34">
        <f>IF(A2307="","",IFERROR(INT(A2307),"check date"))</f>
        <v/>
      </c>
      <c r="G2307" s="35">
        <f>IF(B2307="","",IFERROR(INDEX(Students!$A:$A,MATCH(TRIM(B2307),Students!$A:$A,0)),"NOT ON LIST"))</f>
        <v/>
      </c>
      <c r="H2307" s="35">
        <f>IF(OR(G2307="",G2307="NOT ON LIST"),"",VLOOKUP(G2307,Students!$A:$C,2,FALSE))</f>
        <v/>
      </c>
      <c r="I2307" s="35">
        <f>IF(OR(G2307="",G2307="NOT ON LIST"),"",VLOOKUP(G2307,Students!$A:$C,3,FALSE)&amp;"")</f>
        <v/>
      </c>
    </row>
    <row r="2308">
      <c r="A2308" s="31" t="n"/>
      <c r="B2308" s="32" t="n"/>
      <c r="C2308" s="32" t="n"/>
      <c r="D2308" s="33" t="n"/>
      <c r="E2308" s="32" t="n"/>
      <c r="F2308" s="34">
        <f>IF(A2308="","",IFERROR(INT(A2308),"check date"))</f>
        <v/>
      </c>
      <c r="G2308" s="35">
        <f>IF(B2308="","",IFERROR(INDEX(Students!$A:$A,MATCH(TRIM(B2308),Students!$A:$A,0)),"NOT ON LIST"))</f>
        <v/>
      </c>
      <c r="H2308" s="35">
        <f>IF(OR(G2308="",G2308="NOT ON LIST"),"",VLOOKUP(G2308,Students!$A:$C,2,FALSE))</f>
        <v/>
      </c>
      <c r="I2308" s="35">
        <f>IF(OR(G2308="",G2308="NOT ON LIST"),"",VLOOKUP(G2308,Students!$A:$C,3,FALSE)&amp;"")</f>
        <v/>
      </c>
    </row>
    <row r="2309">
      <c r="A2309" s="31" t="n"/>
      <c r="B2309" s="32" t="n"/>
      <c r="C2309" s="32" t="n"/>
      <c r="D2309" s="33" t="n"/>
      <c r="E2309" s="32" t="n"/>
      <c r="F2309" s="34">
        <f>IF(A2309="","",IFERROR(INT(A2309),"check date"))</f>
        <v/>
      </c>
      <c r="G2309" s="35">
        <f>IF(B2309="","",IFERROR(INDEX(Students!$A:$A,MATCH(TRIM(B2309),Students!$A:$A,0)),"NOT ON LIST"))</f>
        <v/>
      </c>
      <c r="H2309" s="35">
        <f>IF(OR(G2309="",G2309="NOT ON LIST"),"",VLOOKUP(G2309,Students!$A:$C,2,FALSE))</f>
        <v/>
      </c>
      <c r="I2309" s="35">
        <f>IF(OR(G2309="",G2309="NOT ON LIST"),"",VLOOKUP(G2309,Students!$A:$C,3,FALSE)&amp;"")</f>
        <v/>
      </c>
    </row>
    <row r="2310">
      <c r="A2310" s="31" t="n"/>
      <c r="B2310" s="32" t="n"/>
      <c r="C2310" s="32" t="n"/>
      <c r="D2310" s="33" t="n"/>
      <c r="E2310" s="32" t="n"/>
      <c r="F2310" s="34">
        <f>IF(A2310="","",IFERROR(INT(A2310),"check date"))</f>
        <v/>
      </c>
      <c r="G2310" s="35">
        <f>IF(B2310="","",IFERROR(INDEX(Students!$A:$A,MATCH(TRIM(B2310),Students!$A:$A,0)),"NOT ON LIST"))</f>
        <v/>
      </c>
      <c r="H2310" s="35">
        <f>IF(OR(G2310="",G2310="NOT ON LIST"),"",VLOOKUP(G2310,Students!$A:$C,2,FALSE))</f>
        <v/>
      </c>
      <c r="I2310" s="35">
        <f>IF(OR(G2310="",G2310="NOT ON LIST"),"",VLOOKUP(G2310,Students!$A:$C,3,FALSE)&amp;"")</f>
        <v/>
      </c>
    </row>
    <row r="2311">
      <c r="A2311" s="31" t="n"/>
      <c r="B2311" s="32" t="n"/>
      <c r="C2311" s="32" t="n"/>
      <c r="D2311" s="33" t="n"/>
      <c r="E2311" s="32" t="n"/>
      <c r="F2311" s="34">
        <f>IF(A2311="","",IFERROR(INT(A2311),"check date"))</f>
        <v/>
      </c>
      <c r="G2311" s="35">
        <f>IF(B2311="","",IFERROR(INDEX(Students!$A:$A,MATCH(TRIM(B2311),Students!$A:$A,0)),"NOT ON LIST"))</f>
        <v/>
      </c>
      <c r="H2311" s="35">
        <f>IF(OR(G2311="",G2311="NOT ON LIST"),"",VLOOKUP(G2311,Students!$A:$C,2,FALSE))</f>
        <v/>
      </c>
      <c r="I2311" s="35">
        <f>IF(OR(G2311="",G2311="NOT ON LIST"),"",VLOOKUP(G2311,Students!$A:$C,3,FALSE)&amp;"")</f>
        <v/>
      </c>
    </row>
    <row r="2312">
      <c r="A2312" s="31" t="n"/>
      <c r="B2312" s="32" t="n"/>
      <c r="C2312" s="32" t="n"/>
      <c r="D2312" s="33" t="n"/>
      <c r="E2312" s="32" t="n"/>
      <c r="F2312" s="34">
        <f>IF(A2312="","",IFERROR(INT(A2312),"check date"))</f>
        <v/>
      </c>
      <c r="G2312" s="35">
        <f>IF(B2312="","",IFERROR(INDEX(Students!$A:$A,MATCH(TRIM(B2312),Students!$A:$A,0)),"NOT ON LIST"))</f>
        <v/>
      </c>
      <c r="H2312" s="35">
        <f>IF(OR(G2312="",G2312="NOT ON LIST"),"",VLOOKUP(G2312,Students!$A:$C,2,FALSE))</f>
        <v/>
      </c>
      <c r="I2312" s="35">
        <f>IF(OR(G2312="",G2312="NOT ON LIST"),"",VLOOKUP(G2312,Students!$A:$C,3,FALSE)&amp;"")</f>
        <v/>
      </c>
    </row>
    <row r="2313">
      <c r="A2313" s="31" t="n"/>
      <c r="B2313" s="32" t="n"/>
      <c r="C2313" s="32" t="n"/>
      <c r="D2313" s="33" t="n"/>
      <c r="E2313" s="32" t="n"/>
      <c r="F2313" s="34">
        <f>IF(A2313="","",IFERROR(INT(A2313),"check date"))</f>
        <v/>
      </c>
      <c r="G2313" s="35">
        <f>IF(B2313="","",IFERROR(INDEX(Students!$A:$A,MATCH(TRIM(B2313),Students!$A:$A,0)),"NOT ON LIST"))</f>
        <v/>
      </c>
      <c r="H2313" s="35">
        <f>IF(OR(G2313="",G2313="NOT ON LIST"),"",VLOOKUP(G2313,Students!$A:$C,2,FALSE))</f>
        <v/>
      </c>
      <c r="I2313" s="35">
        <f>IF(OR(G2313="",G2313="NOT ON LIST"),"",VLOOKUP(G2313,Students!$A:$C,3,FALSE)&amp;"")</f>
        <v/>
      </c>
    </row>
    <row r="2314">
      <c r="A2314" s="31" t="n"/>
      <c r="B2314" s="32" t="n"/>
      <c r="C2314" s="32" t="n"/>
      <c r="D2314" s="33" t="n"/>
      <c r="E2314" s="32" t="n"/>
      <c r="F2314" s="34">
        <f>IF(A2314="","",IFERROR(INT(A2314),"check date"))</f>
        <v/>
      </c>
      <c r="G2314" s="35">
        <f>IF(B2314="","",IFERROR(INDEX(Students!$A:$A,MATCH(TRIM(B2314),Students!$A:$A,0)),"NOT ON LIST"))</f>
        <v/>
      </c>
      <c r="H2314" s="35">
        <f>IF(OR(G2314="",G2314="NOT ON LIST"),"",VLOOKUP(G2314,Students!$A:$C,2,FALSE))</f>
        <v/>
      </c>
      <c r="I2314" s="35">
        <f>IF(OR(G2314="",G2314="NOT ON LIST"),"",VLOOKUP(G2314,Students!$A:$C,3,FALSE)&amp;"")</f>
        <v/>
      </c>
    </row>
    <row r="2315">
      <c r="A2315" s="31" t="n"/>
      <c r="B2315" s="32" t="n"/>
      <c r="C2315" s="32" t="n"/>
      <c r="D2315" s="33" t="n"/>
      <c r="E2315" s="32" t="n"/>
      <c r="F2315" s="34">
        <f>IF(A2315="","",IFERROR(INT(A2315),"check date"))</f>
        <v/>
      </c>
      <c r="G2315" s="35">
        <f>IF(B2315="","",IFERROR(INDEX(Students!$A:$A,MATCH(TRIM(B2315),Students!$A:$A,0)),"NOT ON LIST"))</f>
        <v/>
      </c>
      <c r="H2315" s="35">
        <f>IF(OR(G2315="",G2315="NOT ON LIST"),"",VLOOKUP(G2315,Students!$A:$C,2,FALSE))</f>
        <v/>
      </c>
      <c r="I2315" s="35">
        <f>IF(OR(G2315="",G2315="NOT ON LIST"),"",VLOOKUP(G2315,Students!$A:$C,3,FALSE)&amp;"")</f>
        <v/>
      </c>
    </row>
    <row r="2316">
      <c r="A2316" s="31" t="n"/>
      <c r="B2316" s="32" t="n"/>
      <c r="C2316" s="32" t="n"/>
      <c r="D2316" s="33" t="n"/>
      <c r="E2316" s="32" t="n"/>
      <c r="F2316" s="34">
        <f>IF(A2316="","",IFERROR(INT(A2316),"check date"))</f>
        <v/>
      </c>
      <c r="G2316" s="35">
        <f>IF(B2316="","",IFERROR(INDEX(Students!$A:$A,MATCH(TRIM(B2316),Students!$A:$A,0)),"NOT ON LIST"))</f>
        <v/>
      </c>
      <c r="H2316" s="35">
        <f>IF(OR(G2316="",G2316="NOT ON LIST"),"",VLOOKUP(G2316,Students!$A:$C,2,FALSE))</f>
        <v/>
      </c>
      <c r="I2316" s="35">
        <f>IF(OR(G2316="",G2316="NOT ON LIST"),"",VLOOKUP(G2316,Students!$A:$C,3,FALSE)&amp;"")</f>
        <v/>
      </c>
    </row>
    <row r="2317">
      <c r="A2317" s="31" t="n"/>
      <c r="B2317" s="32" t="n"/>
      <c r="C2317" s="32" t="n"/>
      <c r="D2317" s="33" t="n"/>
      <c r="E2317" s="32" t="n"/>
      <c r="F2317" s="34">
        <f>IF(A2317="","",IFERROR(INT(A2317),"check date"))</f>
        <v/>
      </c>
      <c r="G2317" s="35">
        <f>IF(B2317="","",IFERROR(INDEX(Students!$A:$A,MATCH(TRIM(B2317),Students!$A:$A,0)),"NOT ON LIST"))</f>
        <v/>
      </c>
      <c r="H2317" s="35">
        <f>IF(OR(G2317="",G2317="NOT ON LIST"),"",VLOOKUP(G2317,Students!$A:$C,2,FALSE))</f>
        <v/>
      </c>
      <c r="I2317" s="35">
        <f>IF(OR(G2317="",G2317="NOT ON LIST"),"",VLOOKUP(G2317,Students!$A:$C,3,FALSE)&amp;"")</f>
        <v/>
      </c>
    </row>
    <row r="2318">
      <c r="A2318" s="31" t="n"/>
      <c r="B2318" s="32" t="n"/>
      <c r="C2318" s="32" t="n"/>
      <c r="D2318" s="33" t="n"/>
      <c r="E2318" s="32" t="n"/>
      <c r="F2318" s="34">
        <f>IF(A2318="","",IFERROR(INT(A2318),"check date"))</f>
        <v/>
      </c>
      <c r="G2318" s="35">
        <f>IF(B2318="","",IFERROR(INDEX(Students!$A:$A,MATCH(TRIM(B2318),Students!$A:$A,0)),"NOT ON LIST"))</f>
        <v/>
      </c>
      <c r="H2318" s="35">
        <f>IF(OR(G2318="",G2318="NOT ON LIST"),"",VLOOKUP(G2318,Students!$A:$C,2,FALSE))</f>
        <v/>
      </c>
      <c r="I2318" s="35">
        <f>IF(OR(G2318="",G2318="NOT ON LIST"),"",VLOOKUP(G2318,Students!$A:$C,3,FALSE)&amp;"")</f>
        <v/>
      </c>
    </row>
    <row r="2319">
      <c r="A2319" s="31" t="n"/>
      <c r="B2319" s="32" t="n"/>
      <c r="C2319" s="32" t="n"/>
      <c r="D2319" s="33" t="n"/>
      <c r="E2319" s="32" t="n"/>
      <c r="F2319" s="34">
        <f>IF(A2319="","",IFERROR(INT(A2319),"check date"))</f>
        <v/>
      </c>
      <c r="G2319" s="35">
        <f>IF(B2319="","",IFERROR(INDEX(Students!$A:$A,MATCH(TRIM(B2319),Students!$A:$A,0)),"NOT ON LIST"))</f>
        <v/>
      </c>
      <c r="H2319" s="35">
        <f>IF(OR(G2319="",G2319="NOT ON LIST"),"",VLOOKUP(G2319,Students!$A:$C,2,FALSE))</f>
        <v/>
      </c>
      <c r="I2319" s="35">
        <f>IF(OR(G2319="",G2319="NOT ON LIST"),"",VLOOKUP(G2319,Students!$A:$C,3,FALSE)&amp;"")</f>
        <v/>
      </c>
    </row>
    <row r="2320">
      <c r="A2320" s="31" t="n"/>
      <c r="B2320" s="32" t="n"/>
      <c r="C2320" s="32" t="n"/>
      <c r="D2320" s="33" t="n"/>
      <c r="E2320" s="32" t="n"/>
      <c r="F2320" s="34">
        <f>IF(A2320="","",IFERROR(INT(A2320),"check date"))</f>
        <v/>
      </c>
      <c r="G2320" s="35">
        <f>IF(B2320="","",IFERROR(INDEX(Students!$A:$A,MATCH(TRIM(B2320),Students!$A:$A,0)),"NOT ON LIST"))</f>
        <v/>
      </c>
      <c r="H2320" s="35">
        <f>IF(OR(G2320="",G2320="NOT ON LIST"),"",VLOOKUP(G2320,Students!$A:$C,2,FALSE))</f>
        <v/>
      </c>
      <c r="I2320" s="35">
        <f>IF(OR(G2320="",G2320="NOT ON LIST"),"",VLOOKUP(G2320,Students!$A:$C,3,FALSE)&amp;"")</f>
        <v/>
      </c>
    </row>
    <row r="2321">
      <c r="A2321" s="31" t="n"/>
      <c r="B2321" s="32" t="n"/>
      <c r="C2321" s="32" t="n"/>
      <c r="D2321" s="33" t="n"/>
      <c r="E2321" s="32" t="n"/>
      <c r="F2321" s="34">
        <f>IF(A2321="","",IFERROR(INT(A2321),"check date"))</f>
        <v/>
      </c>
      <c r="G2321" s="35">
        <f>IF(B2321="","",IFERROR(INDEX(Students!$A:$A,MATCH(TRIM(B2321),Students!$A:$A,0)),"NOT ON LIST"))</f>
        <v/>
      </c>
      <c r="H2321" s="35">
        <f>IF(OR(G2321="",G2321="NOT ON LIST"),"",VLOOKUP(G2321,Students!$A:$C,2,FALSE))</f>
        <v/>
      </c>
      <c r="I2321" s="35">
        <f>IF(OR(G2321="",G2321="NOT ON LIST"),"",VLOOKUP(G2321,Students!$A:$C,3,FALSE)&amp;"")</f>
        <v/>
      </c>
    </row>
    <row r="2322">
      <c r="A2322" s="31" t="n"/>
      <c r="B2322" s="32" t="n"/>
      <c r="C2322" s="32" t="n"/>
      <c r="D2322" s="33" t="n"/>
      <c r="E2322" s="32" t="n"/>
      <c r="F2322" s="34">
        <f>IF(A2322="","",IFERROR(INT(A2322),"check date"))</f>
        <v/>
      </c>
      <c r="G2322" s="35">
        <f>IF(B2322="","",IFERROR(INDEX(Students!$A:$A,MATCH(TRIM(B2322),Students!$A:$A,0)),"NOT ON LIST"))</f>
        <v/>
      </c>
      <c r="H2322" s="35">
        <f>IF(OR(G2322="",G2322="NOT ON LIST"),"",VLOOKUP(G2322,Students!$A:$C,2,FALSE))</f>
        <v/>
      </c>
      <c r="I2322" s="35">
        <f>IF(OR(G2322="",G2322="NOT ON LIST"),"",VLOOKUP(G2322,Students!$A:$C,3,FALSE)&amp;"")</f>
        <v/>
      </c>
    </row>
    <row r="2323">
      <c r="A2323" s="31" t="n"/>
      <c r="B2323" s="32" t="n"/>
      <c r="C2323" s="32" t="n"/>
      <c r="D2323" s="33" t="n"/>
      <c r="E2323" s="32" t="n"/>
      <c r="F2323" s="34">
        <f>IF(A2323="","",IFERROR(INT(A2323),"check date"))</f>
        <v/>
      </c>
      <c r="G2323" s="35">
        <f>IF(B2323="","",IFERROR(INDEX(Students!$A:$A,MATCH(TRIM(B2323),Students!$A:$A,0)),"NOT ON LIST"))</f>
        <v/>
      </c>
      <c r="H2323" s="35">
        <f>IF(OR(G2323="",G2323="NOT ON LIST"),"",VLOOKUP(G2323,Students!$A:$C,2,FALSE))</f>
        <v/>
      </c>
      <c r="I2323" s="35">
        <f>IF(OR(G2323="",G2323="NOT ON LIST"),"",VLOOKUP(G2323,Students!$A:$C,3,FALSE)&amp;"")</f>
        <v/>
      </c>
    </row>
    <row r="2324">
      <c r="A2324" s="31" t="n"/>
      <c r="B2324" s="32" t="n"/>
      <c r="C2324" s="32" t="n"/>
      <c r="D2324" s="33" t="n"/>
      <c r="E2324" s="32" t="n"/>
      <c r="F2324" s="34">
        <f>IF(A2324="","",IFERROR(INT(A2324),"check date"))</f>
        <v/>
      </c>
      <c r="G2324" s="35">
        <f>IF(B2324="","",IFERROR(INDEX(Students!$A:$A,MATCH(TRIM(B2324),Students!$A:$A,0)),"NOT ON LIST"))</f>
        <v/>
      </c>
      <c r="H2324" s="35">
        <f>IF(OR(G2324="",G2324="NOT ON LIST"),"",VLOOKUP(G2324,Students!$A:$C,2,FALSE))</f>
        <v/>
      </c>
      <c r="I2324" s="35">
        <f>IF(OR(G2324="",G2324="NOT ON LIST"),"",VLOOKUP(G2324,Students!$A:$C,3,FALSE)&amp;"")</f>
        <v/>
      </c>
    </row>
    <row r="2325">
      <c r="A2325" s="31" t="n"/>
      <c r="B2325" s="32" t="n"/>
      <c r="C2325" s="32" t="n"/>
      <c r="D2325" s="33" t="n"/>
      <c r="E2325" s="32" t="n"/>
      <c r="F2325" s="34">
        <f>IF(A2325="","",IFERROR(INT(A2325),"check date"))</f>
        <v/>
      </c>
      <c r="G2325" s="35">
        <f>IF(B2325="","",IFERROR(INDEX(Students!$A:$A,MATCH(TRIM(B2325),Students!$A:$A,0)),"NOT ON LIST"))</f>
        <v/>
      </c>
      <c r="H2325" s="35">
        <f>IF(OR(G2325="",G2325="NOT ON LIST"),"",VLOOKUP(G2325,Students!$A:$C,2,FALSE))</f>
        <v/>
      </c>
      <c r="I2325" s="35">
        <f>IF(OR(G2325="",G2325="NOT ON LIST"),"",VLOOKUP(G2325,Students!$A:$C,3,FALSE)&amp;"")</f>
        <v/>
      </c>
    </row>
    <row r="2326">
      <c r="A2326" s="31" t="n"/>
      <c r="B2326" s="32" t="n"/>
      <c r="C2326" s="32" t="n"/>
      <c r="D2326" s="33" t="n"/>
      <c r="E2326" s="32" t="n"/>
      <c r="F2326" s="34">
        <f>IF(A2326="","",IFERROR(INT(A2326),"check date"))</f>
        <v/>
      </c>
      <c r="G2326" s="35">
        <f>IF(B2326="","",IFERROR(INDEX(Students!$A:$A,MATCH(TRIM(B2326),Students!$A:$A,0)),"NOT ON LIST"))</f>
        <v/>
      </c>
      <c r="H2326" s="35">
        <f>IF(OR(G2326="",G2326="NOT ON LIST"),"",VLOOKUP(G2326,Students!$A:$C,2,FALSE))</f>
        <v/>
      </c>
      <c r="I2326" s="35">
        <f>IF(OR(G2326="",G2326="NOT ON LIST"),"",VLOOKUP(G2326,Students!$A:$C,3,FALSE)&amp;"")</f>
        <v/>
      </c>
    </row>
    <row r="2327">
      <c r="A2327" s="31" t="n"/>
      <c r="B2327" s="32" t="n"/>
      <c r="C2327" s="32" t="n"/>
      <c r="D2327" s="33" t="n"/>
      <c r="E2327" s="32" t="n"/>
      <c r="F2327" s="34">
        <f>IF(A2327="","",IFERROR(INT(A2327),"check date"))</f>
        <v/>
      </c>
      <c r="G2327" s="35">
        <f>IF(B2327="","",IFERROR(INDEX(Students!$A:$A,MATCH(TRIM(B2327),Students!$A:$A,0)),"NOT ON LIST"))</f>
        <v/>
      </c>
      <c r="H2327" s="35">
        <f>IF(OR(G2327="",G2327="NOT ON LIST"),"",VLOOKUP(G2327,Students!$A:$C,2,FALSE))</f>
        <v/>
      </c>
      <c r="I2327" s="35">
        <f>IF(OR(G2327="",G2327="NOT ON LIST"),"",VLOOKUP(G2327,Students!$A:$C,3,FALSE)&amp;"")</f>
        <v/>
      </c>
    </row>
    <row r="2328">
      <c r="A2328" s="31" t="n"/>
      <c r="B2328" s="32" t="n"/>
      <c r="C2328" s="32" t="n"/>
      <c r="D2328" s="33" t="n"/>
      <c r="E2328" s="32" t="n"/>
      <c r="F2328" s="34">
        <f>IF(A2328="","",IFERROR(INT(A2328),"check date"))</f>
        <v/>
      </c>
      <c r="G2328" s="35">
        <f>IF(B2328="","",IFERROR(INDEX(Students!$A:$A,MATCH(TRIM(B2328),Students!$A:$A,0)),"NOT ON LIST"))</f>
        <v/>
      </c>
      <c r="H2328" s="35">
        <f>IF(OR(G2328="",G2328="NOT ON LIST"),"",VLOOKUP(G2328,Students!$A:$C,2,FALSE))</f>
        <v/>
      </c>
      <c r="I2328" s="35">
        <f>IF(OR(G2328="",G2328="NOT ON LIST"),"",VLOOKUP(G2328,Students!$A:$C,3,FALSE)&amp;"")</f>
        <v/>
      </c>
    </row>
    <row r="2329">
      <c r="A2329" s="31" t="n"/>
      <c r="B2329" s="32" t="n"/>
      <c r="C2329" s="32" t="n"/>
      <c r="D2329" s="33" t="n"/>
      <c r="E2329" s="32" t="n"/>
      <c r="F2329" s="34">
        <f>IF(A2329="","",IFERROR(INT(A2329),"check date"))</f>
        <v/>
      </c>
      <c r="G2329" s="35">
        <f>IF(B2329="","",IFERROR(INDEX(Students!$A:$A,MATCH(TRIM(B2329),Students!$A:$A,0)),"NOT ON LIST"))</f>
        <v/>
      </c>
      <c r="H2329" s="35">
        <f>IF(OR(G2329="",G2329="NOT ON LIST"),"",VLOOKUP(G2329,Students!$A:$C,2,FALSE))</f>
        <v/>
      </c>
      <c r="I2329" s="35">
        <f>IF(OR(G2329="",G2329="NOT ON LIST"),"",VLOOKUP(G2329,Students!$A:$C,3,FALSE)&amp;"")</f>
        <v/>
      </c>
    </row>
    <row r="2330">
      <c r="A2330" s="31" t="n"/>
      <c r="B2330" s="32" t="n"/>
      <c r="C2330" s="32" t="n"/>
      <c r="D2330" s="33" t="n"/>
      <c r="E2330" s="32" t="n"/>
      <c r="F2330" s="34">
        <f>IF(A2330="","",IFERROR(INT(A2330),"check date"))</f>
        <v/>
      </c>
      <c r="G2330" s="35">
        <f>IF(B2330="","",IFERROR(INDEX(Students!$A:$A,MATCH(TRIM(B2330),Students!$A:$A,0)),"NOT ON LIST"))</f>
        <v/>
      </c>
      <c r="H2330" s="35">
        <f>IF(OR(G2330="",G2330="NOT ON LIST"),"",VLOOKUP(G2330,Students!$A:$C,2,FALSE))</f>
        <v/>
      </c>
      <c r="I2330" s="35">
        <f>IF(OR(G2330="",G2330="NOT ON LIST"),"",VLOOKUP(G2330,Students!$A:$C,3,FALSE)&amp;"")</f>
        <v/>
      </c>
    </row>
    <row r="2331">
      <c r="A2331" s="31" t="n"/>
      <c r="B2331" s="32" t="n"/>
      <c r="C2331" s="32" t="n"/>
      <c r="D2331" s="33" t="n"/>
      <c r="E2331" s="32" t="n"/>
      <c r="F2331" s="34">
        <f>IF(A2331="","",IFERROR(INT(A2331),"check date"))</f>
        <v/>
      </c>
      <c r="G2331" s="35">
        <f>IF(B2331="","",IFERROR(INDEX(Students!$A:$A,MATCH(TRIM(B2331),Students!$A:$A,0)),"NOT ON LIST"))</f>
        <v/>
      </c>
      <c r="H2331" s="35">
        <f>IF(OR(G2331="",G2331="NOT ON LIST"),"",VLOOKUP(G2331,Students!$A:$C,2,FALSE))</f>
        <v/>
      </c>
      <c r="I2331" s="35">
        <f>IF(OR(G2331="",G2331="NOT ON LIST"),"",VLOOKUP(G2331,Students!$A:$C,3,FALSE)&amp;"")</f>
        <v/>
      </c>
    </row>
    <row r="2332">
      <c r="A2332" s="31" t="n"/>
      <c r="B2332" s="32" t="n"/>
      <c r="C2332" s="32" t="n"/>
      <c r="D2332" s="33" t="n"/>
      <c r="E2332" s="32" t="n"/>
      <c r="F2332" s="34">
        <f>IF(A2332="","",IFERROR(INT(A2332),"check date"))</f>
        <v/>
      </c>
      <c r="G2332" s="35">
        <f>IF(B2332="","",IFERROR(INDEX(Students!$A:$A,MATCH(TRIM(B2332),Students!$A:$A,0)),"NOT ON LIST"))</f>
        <v/>
      </c>
      <c r="H2332" s="35">
        <f>IF(OR(G2332="",G2332="NOT ON LIST"),"",VLOOKUP(G2332,Students!$A:$C,2,FALSE))</f>
        <v/>
      </c>
      <c r="I2332" s="35">
        <f>IF(OR(G2332="",G2332="NOT ON LIST"),"",VLOOKUP(G2332,Students!$A:$C,3,FALSE)&amp;"")</f>
        <v/>
      </c>
    </row>
    <row r="2333">
      <c r="A2333" s="31" t="n"/>
      <c r="B2333" s="32" t="n"/>
      <c r="C2333" s="32" t="n"/>
      <c r="D2333" s="33" t="n"/>
      <c r="E2333" s="32" t="n"/>
      <c r="F2333" s="34">
        <f>IF(A2333="","",IFERROR(INT(A2333),"check date"))</f>
        <v/>
      </c>
      <c r="G2333" s="35">
        <f>IF(B2333="","",IFERROR(INDEX(Students!$A:$A,MATCH(TRIM(B2333),Students!$A:$A,0)),"NOT ON LIST"))</f>
        <v/>
      </c>
      <c r="H2333" s="35">
        <f>IF(OR(G2333="",G2333="NOT ON LIST"),"",VLOOKUP(G2333,Students!$A:$C,2,FALSE))</f>
        <v/>
      </c>
      <c r="I2333" s="35">
        <f>IF(OR(G2333="",G2333="NOT ON LIST"),"",VLOOKUP(G2333,Students!$A:$C,3,FALSE)&amp;"")</f>
        <v/>
      </c>
    </row>
    <row r="2334">
      <c r="A2334" s="31" t="n"/>
      <c r="B2334" s="32" t="n"/>
      <c r="C2334" s="32" t="n"/>
      <c r="D2334" s="33" t="n"/>
      <c r="E2334" s="32" t="n"/>
      <c r="F2334" s="34">
        <f>IF(A2334="","",IFERROR(INT(A2334),"check date"))</f>
        <v/>
      </c>
      <c r="G2334" s="35">
        <f>IF(B2334="","",IFERROR(INDEX(Students!$A:$A,MATCH(TRIM(B2334),Students!$A:$A,0)),"NOT ON LIST"))</f>
        <v/>
      </c>
      <c r="H2334" s="35">
        <f>IF(OR(G2334="",G2334="NOT ON LIST"),"",VLOOKUP(G2334,Students!$A:$C,2,FALSE))</f>
        <v/>
      </c>
      <c r="I2334" s="35">
        <f>IF(OR(G2334="",G2334="NOT ON LIST"),"",VLOOKUP(G2334,Students!$A:$C,3,FALSE)&amp;"")</f>
        <v/>
      </c>
    </row>
    <row r="2335">
      <c r="A2335" s="31" t="n"/>
      <c r="B2335" s="32" t="n"/>
      <c r="C2335" s="32" t="n"/>
      <c r="D2335" s="33" t="n"/>
      <c r="E2335" s="32" t="n"/>
      <c r="F2335" s="34">
        <f>IF(A2335="","",IFERROR(INT(A2335),"check date"))</f>
        <v/>
      </c>
      <c r="G2335" s="35">
        <f>IF(B2335="","",IFERROR(INDEX(Students!$A:$A,MATCH(TRIM(B2335),Students!$A:$A,0)),"NOT ON LIST"))</f>
        <v/>
      </c>
      <c r="H2335" s="35">
        <f>IF(OR(G2335="",G2335="NOT ON LIST"),"",VLOOKUP(G2335,Students!$A:$C,2,FALSE))</f>
        <v/>
      </c>
      <c r="I2335" s="35">
        <f>IF(OR(G2335="",G2335="NOT ON LIST"),"",VLOOKUP(G2335,Students!$A:$C,3,FALSE)&amp;"")</f>
        <v/>
      </c>
    </row>
    <row r="2336">
      <c r="A2336" s="31" t="n"/>
      <c r="B2336" s="32" t="n"/>
      <c r="C2336" s="32" t="n"/>
      <c r="D2336" s="33" t="n"/>
      <c r="E2336" s="32" t="n"/>
      <c r="F2336" s="34">
        <f>IF(A2336="","",IFERROR(INT(A2336),"check date"))</f>
        <v/>
      </c>
      <c r="G2336" s="35">
        <f>IF(B2336="","",IFERROR(INDEX(Students!$A:$A,MATCH(TRIM(B2336),Students!$A:$A,0)),"NOT ON LIST"))</f>
        <v/>
      </c>
      <c r="H2336" s="35">
        <f>IF(OR(G2336="",G2336="NOT ON LIST"),"",VLOOKUP(G2336,Students!$A:$C,2,FALSE))</f>
        <v/>
      </c>
      <c r="I2336" s="35">
        <f>IF(OR(G2336="",G2336="NOT ON LIST"),"",VLOOKUP(G2336,Students!$A:$C,3,FALSE)&amp;"")</f>
        <v/>
      </c>
    </row>
    <row r="2337">
      <c r="A2337" s="31" t="n"/>
      <c r="B2337" s="32" t="n"/>
      <c r="C2337" s="32" t="n"/>
      <c r="D2337" s="33" t="n"/>
      <c r="E2337" s="32" t="n"/>
      <c r="F2337" s="34">
        <f>IF(A2337="","",IFERROR(INT(A2337),"check date"))</f>
        <v/>
      </c>
      <c r="G2337" s="35">
        <f>IF(B2337="","",IFERROR(INDEX(Students!$A:$A,MATCH(TRIM(B2337),Students!$A:$A,0)),"NOT ON LIST"))</f>
        <v/>
      </c>
      <c r="H2337" s="35">
        <f>IF(OR(G2337="",G2337="NOT ON LIST"),"",VLOOKUP(G2337,Students!$A:$C,2,FALSE))</f>
        <v/>
      </c>
      <c r="I2337" s="35">
        <f>IF(OR(G2337="",G2337="NOT ON LIST"),"",VLOOKUP(G2337,Students!$A:$C,3,FALSE)&amp;"")</f>
        <v/>
      </c>
    </row>
    <row r="2338">
      <c r="A2338" s="31" t="n"/>
      <c r="B2338" s="32" t="n"/>
      <c r="C2338" s="32" t="n"/>
      <c r="D2338" s="33" t="n"/>
      <c r="E2338" s="32" t="n"/>
      <c r="F2338" s="34">
        <f>IF(A2338="","",IFERROR(INT(A2338),"check date"))</f>
        <v/>
      </c>
      <c r="G2338" s="35">
        <f>IF(B2338="","",IFERROR(INDEX(Students!$A:$A,MATCH(TRIM(B2338),Students!$A:$A,0)),"NOT ON LIST"))</f>
        <v/>
      </c>
      <c r="H2338" s="35">
        <f>IF(OR(G2338="",G2338="NOT ON LIST"),"",VLOOKUP(G2338,Students!$A:$C,2,FALSE))</f>
        <v/>
      </c>
      <c r="I2338" s="35">
        <f>IF(OR(G2338="",G2338="NOT ON LIST"),"",VLOOKUP(G2338,Students!$A:$C,3,FALSE)&amp;"")</f>
        <v/>
      </c>
    </row>
    <row r="2339">
      <c r="A2339" s="31" t="n"/>
      <c r="B2339" s="32" t="n"/>
      <c r="C2339" s="32" t="n"/>
      <c r="D2339" s="33" t="n"/>
      <c r="E2339" s="32" t="n"/>
      <c r="F2339" s="34">
        <f>IF(A2339="","",IFERROR(INT(A2339),"check date"))</f>
        <v/>
      </c>
      <c r="G2339" s="35">
        <f>IF(B2339="","",IFERROR(INDEX(Students!$A:$A,MATCH(TRIM(B2339),Students!$A:$A,0)),"NOT ON LIST"))</f>
        <v/>
      </c>
      <c r="H2339" s="35">
        <f>IF(OR(G2339="",G2339="NOT ON LIST"),"",VLOOKUP(G2339,Students!$A:$C,2,FALSE))</f>
        <v/>
      </c>
      <c r="I2339" s="35">
        <f>IF(OR(G2339="",G2339="NOT ON LIST"),"",VLOOKUP(G2339,Students!$A:$C,3,FALSE)&amp;"")</f>
        <v/>
      </c>
    </row>
    <row r="2340">
      <c r="A2340" s="31" t="n"/>
      <c r="B2340" s="32" t="n"/>
      <c r="C2340" s="32" t="n"/>
      <c r="D2340" s="33" t="n"/>
      <c r="E2340" s="32" t="n"/>
      <c r="F2340" s="34">
        <f>IF(A2340="","",IFERROR(INT(A2340),"check date"))</f>
        <v/>
      </c>
      <c r="G2340" s="35">
        <f>IF(B2340="","",IFERROR(INDEX(Students!$A:$A,MATCH(TRIM(B2340),Students!$A:$A,0)),"NOT ON LIST"))</f>
        <v/>
      </c>
      <c r="H2340" s="35">
        <f>IF(OR(G2340="",G2340="NOT ON LIST"),"",VLOOKUP(G2340,Students!$A:$C,2,FALSE))</f>
        <v/>
      </c>
      <c r="I2340" s="35">
        <f>IF(OR(G2340="",G2340="NOT ON LIST"),"",VLOOKUP(G2340,Students!$A:$C,3,FALSE)&amp;"")</f>
        <v/>
      </c>
    </row>
    <row r="2341">
      <c r="A2341" s="31" t="n"/>
      <c r="B2341" s="32" t="n"/>
      <c r="C2341" s="32" t="n"/>
      <c r="D2341" s="33" t="n"/>
      <c r="E2341" s="32" t="n"/>
      <c r="F2341" s="34">
        <f>IF(A2341="","",IFERROR(INT(A2341),"check date"))</f>
        <v/>
      </c>
      <c r="G2341" s="35">
        <f>IF(B2341="","",IFERROR(INDEX(Students!$A:$A,MATCH(TRIM(B2341),Students!$A:$A,0)),"NOT ON LIST"))</f>
        <v/>
      </c>
      <c r="H2341" s="35">
        <f>IF(OR(G2341="",G2341="NOT ON LIST"),"",VLOOKUP(G2341,Students!$A:$C,2,FALSE))</f>
        <v/>
      </c>
      <c r="I2341" s="35">
        <f>IF(OR(G2341="",G2341="NOT ON LIST"),"",VLOOKUP(G2341,Students!$A:$C,3,FALSE)&amp;"")</f>
        <v/>
      </c>
    </row>
    <row r="2342">
      <c r="A2342" s="31" t="n"/>
      <c r="B2342" s="32" t="n"/>
      <c r="C2342" s="32" t="n"/>
      <c r="D2342" s="33" t="n"/>
      <c r="E2342" s="32" t="n"/>
      <c r="F2342" s="34">
        <f>IF(A2342="","",IFERROR(INT(A2342),"check date"))</f>
        <v/>
      </c>
      <c r="G2342" s="35">
        <f>IF(B2342="","",IFERROR(INDEX(Students!$A:$A,MATCH(TRIM(B2342),Students!$A:$A,0)),"NOT ON LIST"))</f>
        <v/>
      </c>
      <c r="H2342" s="35">
        <f>IF(OR(G2342="",G2342="NOT ON LIST"),"",VLOOKUP(G2342,Students!$A:$C,2,FALSE))</f>
        <v/>
      </c>
      <c r="I2342" s="35">
        <f>IF(OR(G2342="",G2342="NOT ON LIST"),"",VLOOKUP(G2342,Students!$A:$C,3,FALSE)&amp;"")</f>
        <v/>
      </c>
    </row>
    <row r="2343">
      <c r="A2343" s="31" t="n"/>
      <c r="B2343" s="32" t="n"/>
      <c r="C2343" s="32" t="n"/>
      <c r="D2343" s="33" t="n"/>
      <c r="E2343" s="32" t="n"/>
      <c r="F2343" s="34">
        <f>IF(A2343="","",IFERROR(INT(A2343),"check date"))</f>
        <v/>
      </c>
      <c r="G2343" s="35">
        <f>IF(B2343="","",IFERROR(INDEX(Students!$A:$A,MATCH(TRIM(B2343),Students!$A:$A,0)),"NOT ON LIST"))</f>
        <v/>
      </c>
      <c r="H2343" s="35">
        <f>IF(OR(G2343="",G2343="NOT ON LIST"),"",VLOOKUP(G2343,Students!$A:$C,2,FALSE))</f>
        <v/>
      </c>
      <c r="I2343" s="35">
        <f>IF(OR(G2343="",G2343="NOT ON LIST"),"",VLOOKUP(G2343,Students!$A:$C,3,FALSE)&amp;"")</f>
        <v/>
      </c>
    </row>
    <row r="2344">
      <c r="A2344" s="31" t="n"/>
      <c r="B2344" s="32" t="n"/>
      <c r="C2344" s="32" t="n"/>
      <c r="D2344" s="33" t="n"/>
      <c r="E2344" s="32" t="n"/>
      <c r="F2344" s="34">
        <f>IF(A2344="","",IFERROR(INT(A2344),"check date"))</f>
        <v/>
      </c>
      <c r="G2344" s="35">
        <f>IF(B2344="","",IFERROR(INDEX(Students!$A:$A,MATCH(TRIM(B2344),Students!$A:$A,0)),"NOT ON LIST"))</f>
        <v/>
      </c>
      <c r="H2344" s="35">
        <f>IF(OR(G2344="",G2344="NOT ON LIST"),"",VLOOKUP(G2344,Students!$A:$C,2,FALSE))</f>
        <v/>
      </c>
      <c r="I2344" s="35">
        <f>IF(OR(G2344="",G2344="NOT ON LIST"),"",VLOOKUP(G2344,Students!$A:$C,3,FALSE)&amp;"")</f>
        <v/>
      </c>
    </row>
    <row r="2345">
      <c r="A2345" s="31" t="n"/>
      <c r="B2345" s="32" t="n"/>
      <c r="C2345" s="32" t="n"/>
      <c r="D2345" s="33" t="n"/>
      <c r="E2345" s="32" t="n"/>
      <c r="F2345" s="34">
        <f>IF(A2345="","",IFERROR(INT(A2345),"check date"))</f>
        <v/>
      </c>
      <c r="G2345" s="35">
        <f>IF(B2345="","",IFERROR(INDEX(Students!$A:$A,MATCH(TRIM(B2345),Students!$A:$A,0)),"NOT ON LIST"))</f>
        <v/>
      </c>
      <c r="H2345" s="35">
        <f>IF(OR(G2345="",G2345="NOT ON LIST"),"",VLOOKUP(G2345,Students!$A:$C,2,FALSE))</f>
        <v/>
      </c>
      <c r="I2345" s="35">
        <f>IF(OR(G2345="",G2345="NOT ON LIST"),"",VLOOKUP(G2345,Students!$A:$C,3,FALSE)&amp;"")</f>
        <v/>
      </c>
    </row>
    <row r="2346">
      <c r="A2346" s="31" t="n"/>
      <c r="B2346" s="32" t="n"/>
      <c r="C2346" s="32" t="n"/>
      <c r="D2346" s="33" t="n"/>
      <c r="E2346" s="32" t="n"/>
      <c r="F2346" s="34">
        <f>IF(A2346="","",IFERROR(INT(A2346),"check date"))</f>
        <v/>
      </c>
      <c r="G2346" s="35">
        <f>IF(B2346="","",IFERROR(INDEX(Students!$A:$A,MATCH(TRIM(B2346),Students!$A:$A,0)),"NOT ON LIST"))</f>
        <v/>
      </c>
      <c r="H2346" s="35">
        <f>IF(OR(G2346="",G2346="NOT ON LIST"),"",VLOOKUP(G2346,Students!$A:$C,2,FALSE))</f>
        <v/>
      </c>
      <c r="I2346" s="35">
        <f>IF(OR(G2346="",G2346="NOT ON LIST"),"",VLOOKUP(G2346,Students!$A:$C,3,FALSE)&amp;"")</f>
        <v/>
      </c>
    </row>
    <row r="2347">
      <c r="A2347" s="31" t="n"/>
      <c r="B2347" s="32" t="n"/>
      <c r="C2347" s="32" t="n"/>
      <c r="D2347" s="33" t="n"/>
      <c r="E2347" s="32" t="n"/>
      <c r="F2347" s="34">
        <f>IF(A2347="","",IFERROR(INT(A2347),"check date"))</f>
        <v/>
      </c>
      <c r="G2347" s="35">
        <f>IF(B2347="","",IFERROR(INDEX(Students!$A:$A,MATCH(TRIM(B2347),Students!$A:$A,0)),"NOT ON LIST"))</f>
        <v/>
      </c>
      <c r="H2347" s="35">
        <f>IF(OR(G2347="",G2347="NOT ON LIST"),"",VLOOKUP(G2347,Students!$A:$C,2,FALSE))</f>
        <v/>
      </c>
      <c r="I2347" s="35">
        <f>IF(OR(G2347="",G2347="NOT ON LIST"),"",VLOOKUP(G2347,Students!$A:$C,3,FALSE)&amp;"")</f>
        <v/>
      </c>
    </row>
    <row r="2348">
      <c r="A2348" s="31" t="n"/>
      <c r="B2348" s="32" t="n"/>
      <c r="C2348" s="32" t="n"/>
      <c r="D2348" s="33" t="n"/>
      <c r="E2348" s="32" t="n"/>
      <c r="F2348" s="34">
        <f>IF(A2348="","",IFERROR(INT(A2348),"check date"))</f>
        <v/>
      </c>
      <c r="G2348" s="35">
        <f>IF(B2348="","",IFERROR(INDEX(Students!$A:$A,MATCH(TRIM(B2348),Students!$A:$A,0)),"NOT ON LIST"))</f>
        <v/>
      </c>
      <c r="H2348" s="35">
        <f>IF(OR(G2348="",G2348="NOT ON LIST"),"",VLOOKUP(G2348,Students!$A:$C,2,FALSE))</f>
        <v/>
      </c>
      <c r="I2348" s="35">
        <f>IF(OR(G2348="",G2348="NOT ON LIST"),"",VLOOKUP(G2348,Students!$A:$C,3,FALSE)&amp;"")</f>
        <v/>
      </c>
    </row>
    <row r="2349">
      <c r="A2349" s="31" t="n"/>
      <c r="B2349" s="32" t="n"/>
      <c r="C2349" s="32" t="n"/>
      <c r="D2349" s="33" t="n"/>
      <c r="E2349" s="32" t="n"/>
      <c r="F2349" s="34">
        <f>IF(A2349="","",IFERROR(INT(A2349),"check date"))</f>
        <v/>
      </c>
      <c r="G2349" s="35">
        <f>IF(B2349="","",IFERROR(INDEX(Students!$A:$A,MATCH(TRIM(B2349),Students!$A:$A,0)),"NOT ON LIST"))</f>
        <v/>
      </c>
      <c r="H2349" s="35">
        <f>IF(OR(G2349="",G2349="NOT ON LIST"),"",VLOOKUP(G2349,Students!$A:$C,2,FALSE))</f>
        <v/>
      </c>
      <c r="I2349" s="35">
        <f>IF(OR(G2349="",G2349="NOT ON LIST"),"",VLOOKUP(G2349,Students!$A:$C,3,FALSE)&amp;"")</f>
        <v/>
      </c>
    </row>
    <row r="2350">
      <c r="A2350" s="31" t="n"/>
      <c r="B2350" s="32" t="n"/>
      <c r="C2350" s="32" t="n"/>
      <c r="D2350" s="33" t="n"/>
      <c r="E2350" s="32" t="n"/>
      <c r="F2350" s="34">
        <f>IF(A2350="","",IFERROR(INT(A2350),"check date"))</f>
        <v/>
      </c>
      <c r="G2350" s="35">
        <f>IF(B2350="","",IFERROR(INDEX(Students!$A:$A,MATCH(TRIM(B2350),Students!$A:$A,0)),"NOT ON LIST"))</f>
        <v/>
      </c>
      <c r="H2350" s="35">
        <f>IF(OR(G2350="",G2350="NOT ON LIST"),"",VLOOKUP(G2350,Students!$A:$C,2,FALSE))</f>
        <v/>
      </c>
      <c r="I2350" s="35">
        <f>IF(OR(G2350="",G2350="NOT ON LIST"),"",VLOOKUP(G2350,Students!$A:$C,3,FALSE)&amp;"")</f>
        <v/>
      </c>
    </row>
    <row r="2351">
      <c r="A2351" s="31" t="n"/>
      <c r="B2351" s="32" t="n"/>
      <c r="C2351" s="32" t="n"/>
      <c r="D2351" s="33" t="n"/>
      <c r="E2351" s="32" t="n"/>
      <c r="F2351" s="34">
        <f>IF(A2351="","",IFERROR(INT(A2351),"check date"))</f>
        <v/>
      </c>
      <c r="G2351" s="35">
        <f>IF(B2351="","",IFERROR(INDEX(Students!$A:$A,MATCH(TRIM(B2351),Students!$A:$A,0)),"NOT ON LIST"))</f>
        <v/>
      </c>
      <c r="H2351" s="35">
        <f>IF(OR(G2351="",G2351="NOT ON LIST"),"",VLOOKUP(G2351,Students!$A:$C,2,FALSE))</f>
        <v/>
      </c>
      <c r="I2351" s="35">
        <f>IF(OR(G2351="",G2351="NOT ON LIST"),"",VLOOKUP(G2351,Students!$A:$C,3,FALSE)&amp;"")</f>
        <v/>
      </c>
    </row>
    <row r="2352">
      <c r="A2352" s="31" t="n"/>
      <c r="B2352" s="32" t="n"/>
      <c r="C2352" s="32" t="n"/>
      <c r="D2352" s="33" t="n"/>
      <c r="E2352" s="32" t="n"/>
      <c r="F2352" s="34">
        <f>IF(A2352="","",IFERROR(INT(A2352),"check date"))</f>
        <v/>
      </c>
      <c r="G2352" s="35">
        <f>IF(B2352="","",IFERROR(INDEX(Students!$A:$A,MATCH(TRIM(B2352),Students!$A:$A,0)),"NOT ON LIST"))</f>
        <v/>
      </c>
      <c r="H2352" s="35">
        <f>IF(OR(G2352="",G2352="NOT ON LIST"),"",VLOOKUP(G2352,Students!$A:$C,2,FALSE))</f>
        <v/>
      </c>
      <c r="I2352" s="35">
        <f>IF(OR(G2352="",G2352="NOT ON LIST"),"",VLOOKUP(G2352,Students!$A:$C,3,FALSE)&amp;"")</f>
        <v/>
      </c>
    </row>
    <row r="2353">
      <c r="A2353" s="31" t="n"/>
      <c r="B2353" s="32" t="n"/>
      <c r="C2353" s="32" t="n"/>
      <c r="D2353" s="33" t="n"/>
      <c r="E2353" s="32" t="n"/>
      <c r="F2353" s="34">
        <f>IF(A2353="","",IFERROR(INT(A2353),"check date"))</f>
        <v/>
      </c>
      <c r="G2353" s="35">
        <f>IF(B2353="","",IFERROR(INDEX(Students!$A:$A,MATCH(TRIM(B2353),Students!$A:$A,0)),"NOT ON LIST"))</f>
        <v/>
      </c>
      <c r="H2353" s="35">
        <f>IF(OR(G2353="",G2353="NOT ON LIST"),"",VLOOKUP(G2353,Students!$A:$C,2,FALSE))</f>
        <v/>
      </c>
      <c r="I2353" s="35">
        <f>IF(OR(G2353="",G2353="NOT ON LIST"),"",VLOOKUP(G2353,Students!$A:$C,3,FALSE)&amp;"")</f>
        <v/>
      </c>
    </row>
    <row r="2354">
      <c r="A2354" s="31" t="n"/>
      <c r="B2354" s="32" t="n"/>
      <c r="C2354" s="32" t="n"/>
      <c r="D2354" s="33" t="n"/>
      <c r="E2354" s="32" t="n"/>
      <c r="F2354" s="34">
        <f>IF(A2354="","",IFERROR(INT(A2354),"check date"))</f>
        <v/>
      </c>
      <c r="G2354" s="35">
        <f>IF(B2354="","",IFERROR(INDEX(Students!$A:$A,MATCH(TRIM(B2354),Students!$A:$A,0)),"NOT ON LIST"))</f>
        <v/>
      </c>
      <c r="H2354" s="35">
        <f>IF(OR(G2354="",G2354="NOT ON LIST"),"",VLOOKUP(G2354,Students!$A:$C,2,FALSE))</f>
        <v/>
      </c>
      <c r="I2354" s="35">
        <f>IF(OR(G2354="",G2354="NOT ON LIST"),"",VLOOKUP(G2354,Students!$A:$C,3,FALSE)&amp;"")</f>
        <v/>
      </c>
    </row>
    <row r="2355">
      <c r="A2355" s="31" t="n"/>
      <c r="B2355" s="32" t="n"/>
      <c r="C2355" s="32" t="n"/>
      <c r="D2355" s="33" t="n"/>
      <c r="E2355" s="32" t="n"/>
      <c r="F2355" s="34">
        <f>IF(A2355="","",IFERROR(INT(A2355),"check date"))</f>
        <v/>
      </c>
      <c r="G2355" s="35">
        <f>IF(B2355="","",IFERROR(INDEX(Students!$A:$A,MATCH(TRIM(B2355),Students!$A:$A,0)),"NOT ON LIST"))</f>
        <v/>
      </c>
      <c r="H2355" s="35">
        <f>IF(OR(G2355="",G2355="NOT ON LIST"),"",VLOOKUP(G2355,Students!$A:$C,2,FALSE))</f>
        <v/>
      </c>
      <c r="I2355" s="35">
        <f>IF(OR(G2355="",G2355="NOT ON LIST"),"",VLOOKUP(G2355,Students!$A:$C,3,FALSE)&amp;"")</f>
        <v/>
      </c>
    </row>
    <row r="2356">
      <c r="A2356" s="31" t="n"/>
      <c r="B2356" s="32" t="n"/>
      <c r="C2356" s="32" t="n"/>
      <c r="D2356" s="33" t="n"/>
      <c r="E2356" s="32" t="n"/>
      <c r="F2356" s="34">
        <f>IF(A2356="","",IFERROR(INT(A2356),"check date"))</f>
        <v/>
      </c>
      <c r="G2356" s="35">
        <f>IF(B2356="","",IFERROR(INDEX(Students!$A:$A,MATCH(TRIM(B2356),Students!$A:$A,0)),"NOT ON LIST"))</f>
        <v/>
      </c>
      <c r="H2356" s="35">
        <f>IF(OR(G2356="",G2356="NOT ON LIST"),"",VLOOKUP(G2356,Students!$A:$C,2,FALSE))</f>
        <v/>
      </c>
      <c r="I2356" s="35">
        <f>IF(OR(G2356="",G2356="NOT ON LIST"),"",VLOOKUP(G2356,Students!$A:$C,3,FALSE)&amp;"")</f>
        <v/>
      </c>
    </row>
    <row r="2357">
      <c r="A2357" s="31" t="n"/>
      <c r="B2357" s="32" t="n"/>
      <c r="C2357" s="32" t="n"/>
      <c r="D2357" s="33" t="n"/>
      <c r="E2357" s="32" t="n"/>
      <c r="F2357" s="34">
        <f>IF(A2357="","",IFERROR(INT(A2357),"check date"))</f>
        <v/>
      </c>
      <c r="G2357" s="35">
        <f>IF(B2357="","",IFERROR(INDEX(Students!$A:$A,MATCH(TRIM(B2357),Students!$A:$A,0)),"NOT ON LIST"))</f>
        <v/>
      </c>
      <c r="H2357" s="35">
        <f>IF(OR(G2357="",G2357="NOT ON LIST"),"",VLOOKUP(G2357,Students!$A:$C,2,FALSE))</f>
        <v/>
      </c>
      <c r="I2357" s="35">
        <f>IF(OR(G2357="",G2357="NOT ON LIST"),"",VLOOKUP(G2357,Students!$A:$C,3,FALSE)&amp;"")</f>
        <v/>
      </c>
    </row>
    <row r="2358">
      <c r="A2358" s="31" t="n"/>
      <c r="B2358" s="32" t="n"/>
      <c r="C2358" s="32" t="n"/>
      <c r="D2358" s="33" t="n"/>
      <c r="E2358" s="32" t="n"/>
      <c r="F2358" s="34">
        <f>IF(A2358="","",IFERROR(INT(A2358),"check date"))</f>
        <v/>
      </c>
      <c r="G2358" s="35">
        <f>IF(B2358="","",IFERROR(INDEX(Students!$A:$A,MATCH(TRIM(B2358),Students!$A:$A,0)),"NOT ON LIST"))</f>
        <v/>
      </c>
      <c r="H2358" s="35">
        <f>IF(OR(G2358="",G2358="NOT ON LIST"),"",VLOOKUP(G2358,Students!$A:$C,2,FALSE))</f>
        <v/>
      </c>
      <c r="I2358" s="35">
        <f>IF(OR(G2358="",G2358="NOT ON LIST"),"",VLOOKUP(G2358,Students!$A:$C,3,FALSE)&amp;"")</f>
        <v/>
      </c>
    </row>
    <row r="2359">
      <c r="A2359" s="31" t="n"/>
      <c r="B2359" s="32" t="n"/>
      <c r="C2359" s="32" t="n"/>
      <c r="D2359" s="33" t="n"/>
      <c r="E2359" s="32" t="n"/>
      <c r="F2359" s="34">
        <f>IF(A2359="","",IFERROR(INT(A2359),"check date"))</f>
        <v/>
      </c>
      <c r="G2359" s="35">
        <f>IF(B2359="","",IFERROR(INDEX(Students!$A:$A,MATCH(TRIM(B2359),Students!$A:$A,0)),"NOT ON LIST"))</f>
        <v/>
      </c>
      <c r="H2359" s="35">
        <f>IF(OR(G2359="",G2359="NOT ON LIST"),"",VLOOKUP(G2359,Students!$A:$C,2,FALSE))</f>
        <v/>
      </c>
      <c r="I2359" s="35">
        <f>IF(OR(G2359="",G2359="NOT ON LIST"),"",VLOOKUP(G2359,Students!$A:$C,3,FALSE)&amp;"")</f>
        <v/>
      </c>
    </row>
    <row r="2360">
      <c r="A2360" s="31" t="n"/>
      <c r="B2360" s="32" t="n"/>
      <c r="C2360" s="32" t="n"/>
      <c r="D2360" s="33" t="n"/>
      <c r="E2360" s="32" t="n"/>
      <c r="F2360" s="34">
        <f>IF(A2360="","",IFERROR(INT(A2360),"check date"))</f>
        <v/>
      </c>
      <c r="G2360" s="35">
        <f>IF(B2360="","",IFERROR(INDEX(Students!$A:$A,MATCH(TRIM(B2360),Students!$A:$A,0)),"NOT ON LIST"))</f>
        <v/>
      </c>
      <c r="H2360" s="35">
        <f>IF(OR(G2360="",G2360="NOT ON LIST"),"",VLOOKUP(G2360,Students!$A:$C,2,FALSE))</f>
        <v/>
      </c>
      <c r="I2360" s="35">
        <f>IF(OR(G2360="",G2360="NOT ON LIST"),"",VLOOKUP(G2360,Students!$A:$C,3,FALSE)&amp;"")</f>
        <v/>
      </c>
    </row>
    <row r="2361">
      <c r="A2361" s="31" t="n"/>
      <c r="B2361" s="32" t="n"/>
      <c r="C2361" s="32" t="n"/>
      <c r="D2361" s="33" t="n"/>
      <c r="E2361" s="32" t="n"/>
      <c r="F2361" s="34">
        <f>IF(A2361="","",IFERROR(INT(A2361),"check date"))</f>
        <v/>
      </c>
      <c r="G2361" s="35">
        <f>IF(B2361="","",IFERROR(INDEX(Students!$A:$A,MATCH(TRIM(B2361),Students!$A:$A,0)),"NOT ON LIST"))</f>
        <v/>
      </c>
      <c r="H2361" s="35">
        <f>IF(OR(G2361="",G2361="NOT ON LIST"),"",VLOOKUP(G2361,Students!$A:$C,2,FALSE))</f>
        <v/>
      </c>
      <c r="I2361" s="35">
        <f>IF(OR(G2361="",G2361="NOT ON LIST"),"",VLOOKUP(G2361,Students!$A:$C,3,FALSE)&amp;"")</f>
        <v/>
      </c>
    </row>
    <row r="2362">
      <c r="A2362" s="31" t="n"/>
      <c r="B2362" s="32" t="n"/>
      <c r="C2362" s="32" t="n"/>
      <c r="D2362" s="33" t="n"/>
      <c r="E2362" s="32" t="n"/>
      <c r="F2362" s="34">
        <f>IF(A2362="","",IFERROR(INT(A2362),"check date"))</f>
        <v/>
      </c>
      <c r="G2362" s="35">
        <f>IF(B2362="","",IFERROR(INDEX(Students!$A:$A,MATCH(TRIM(B2362),Students!$A:$A,0)),"NOT ON LIST"))</f>
        <v/>
      </c>
      <c r="H2362" s="35">
        <f>IF(OR(G2362="",G2362="NOT ON LIST"),"",VLOOKUP(G2362,Students!$A:$C,2,FALSE))</f>
        <v/>
      </c>
      <c r="I2362" s="35">
        <f>IF(OR(G2362="",G2362="NOT ON LIST"),"",VLOOKUP(G2362,Students!$A:$C,3,FALSE)&amp;"")</f>
        <v/>
      </c>
    </row>
    <row r="2363">
      <c r="A2363" s="31" t="n"/>
      <c r="B2363" s="32" t="n"/>
      <c r="C2363" s="32" t="n"/>
      <c r="D2363" s="33" t="n"/>
      <c r="E2363" s="32" t="n"/>
      <c r="F2363" s="34">
        <f>IF(A2363="","",IFERROR(INT(A2363),"check date"))</f>
        <v/>
      </c>
      <c r="G2363" s="35">
        <f>IF(B2363="","",IFERROR(INDEX(Students!$A:$A,MATCH(TRIM(B2363),Students!$A:$A,0)),"NOT ON LIST"))</f>
        <v/>
      </c>
      <c r="H2363" s="35">
        <f>IF(OR(G2363="",G2363="NOT ON LIST"),"",VLOOKUP(G2363,Students!$A:$C,2,FALSE))</f>
        <v/>
      </c>
      <c r="I2363" s="35">
        <f>IF(OR(G2363="",G2363="NOT ON LIST"),"",VLOOKUP(G2363,Students!$A:$C,3,FALSE)&amp;"")</f>
        <v/>
      </c>
    </row>
    <row r="2364">
      <c r="A2364" s="31" t="n"/>
      <c r="B2364" s="32" t="n"/>
      <c r="C2364" s="32" t="n"/>
      <c r="D2364" s="33" t="n"/>
      <c r="E2364" s="32" t="n"/>
      <c r="F2364" s="34">
        <f>IF(A2364="","",IFERROR(INT(A2364),"check date"))</f>
        <v/>
      </c>
      <c r="G2364" s="35">
        <f>IF(B2364="","",IFERROR(INDEX(Students!$A:$A,MATCH(TRIM(B2364),Students!$A:$A,0)),"NOT ON LIST"))</f>
        <v/>
      </c>
      <c r="H2364" s="35">
        <f>IF(OR(G2364="",G2364="NOT ON LIST"),"",VLOOKUP(G2364,Students!$A:$C,2,FALSE))</f>
        <v/>
      </c>
      <c r="I2364" s="35">
        <f>IF(OR(G2364="",G2364="NOT ON LIST"),"",VLOOKUP(G2364,Students!$A:$C,3,FALSE)&amp;"")</f>
        <v/>
      </c>
    </row>
    <row r="2365">
      <c r="A2365" s="31" t="n"/>
      <c r="B2365" s="32" t="n"/>
      <c r="C2365" s="32" t="n"/>
      <c r="D2365" s="33" t="n"/>
      <c r="E2365" s="32" t="n"/>
      <c r="F2365" s="34">
        <f>IF(A2365="","",IFERROR(INT(A2365),"check date"))</f>
        <v/>
      </c>
      <c r="G2365" s="35">
        <f>IF(B2365="","",IFERROR(INDEX(Students!$A:$A,MATCH(TRIM(B2365),Students!$A:$A,0)),"NOT ON LIST"))</f>
        <v/>
      </c>
      <c r="H2365" s="35">
        <f>IF(OR(G2365="",G2365="NOT ON LIST"),"",VLOOKUP(G2365,Students!$A:$C,2,FALSE))</f>
        <v/>
      </c>
      <c r="I2365" s="35">
        <f>IF(OR(G2365="",G2365="NOT ON LIST"),"",VLOOKUP(G2365,Students!$A:$C,3,FALSE)&amp;"")</f>
        <v/>
      </c>
    </row>
    <row r="2366">
      <c r="A2366" s="31" t="n"/>
      <c r="B2366" s="32" t="n"/>
      <c r="C2366" s="32" t="n"/>
      <c r="D2366" s="33" t="n"/>
      <c r="E2366" s="32" t="n"/>
      <c r="F2366" s="34">
        <f>IF(A2366="","",IFERROR(INT(A2366),"check date"))</f>
        <v/>
      </c>
      <c r="G2366" s="35">
        <f>IF(B2366="","",IFERROR(INDEX(Students!$A:$A,MATCH(TRIM(B2366),Students!$A:$A,0)),"NOT ON LIST"))</f>
        <v/>
      </c>
      <c r="H2366" s="35">
        <f>IF(OR(G2366="",G2366="NOT ON LIST"),"",VLOOKUP(G2366,Students!$A:$C,2,FALSE))</f>
        <v/>
      </c>
      <c r="I2366" s="35">
        <f>IF(OR(G2366="",G2366="NOT ON LIST"),"",VLOOKUP(G2366,Students!$A:$C,3,FALSE)&amp;"")</f>
        <v/>
      </c>
    </row>
    <row r="2367">
      <c r="A2367" s="31" t="n"/>
      <c r="B2367" s="32" t="n"/>
      <c r="C2367" s="32" t="n"/>
      <c r="D2367" s="33" t="n"/>
      <c r="E2367" s="32" t="n"/>
      <c r="F2367" s="34">
        <f>IF(A2367="","",IFERROR(INT(A2367),"check date"))</f>
        <v/>
      </c>
      <c r="G2367" s="35">
        <f>IF(B2367="","",IFERROR(INDEX(Students!$A:$A,MATCH(TRIM(B2367),Students!$A:$A,0)),"NOT ON LIST"))</f>
        <v/>
      </c>
      <c r="H2367" s="35">
        <f>IF(OR(G2367="",G2367="NOT ON LIST"),"",VLOOKUP(G2367,Students!$A:$C,2,FALSE))</f>
        <v/>
      </c>
      <c r="I2367" s="35">
        <f>IF(OR(G2367="",G2367="NOT ON LIST"),"",VLOOKUP(G2367,Students!$A:$C,3,FALSE)&amp;"")</f>
        <v/>
      </c>
    </row>
    <row r="2368">
      <c r="A2368" s="31" t="n"/>
      <c r="B2368" s="32" t="n"/>
      <c r="C2368" s="32" t="n"/>
      <c r="D2368" s="33" t="n"/>
      <c r="E2368" s="32" t="n"/>
      <c r="F2368" s="34">
        <f>IF(A2368="","",IFERROR(INT(A2368),"check date"))</f>
        <v/>
      </c>
      <c r="G2368" s="35">
        <f>IF(B2368="","",IFERROR(INDEX(Students!$A:$A,MATCH(TRIM(B2368),Students!$A:$A,0)),"NOT ON LIST"))</f>
        <v/>
      </c>
      <c r="H2368" s="35">
        <f>IF(OR(G2368="",G2368="NOT ON LIST"),"",VLOOKUP(G2368,Students!$A:$C,2,FALSE))</f>
        <v/>
      </c>
      <c r="I2368" s="35">
        <f>IF(OR(G2368="",G2368="NOT ON LIST"),"",VLOOKUP(G2368,Students!$A:$C,3,FALSE)&amp;"")</f>
        <v/>
      </c>
    </row>
    <row r="2369">
      <c r="A2369" s="31" t="n"/>
      <c r="B2369" s="32" t="n"/>
      <c r="C2369" s="32" t="n"/>
      <c r="D2369" s="33" t="n"/>
      <c r="E2369" s="32" t="n"/>
      <c r="F2369" s="34">
        <f>IF(A2369="","",IFERROR(INT(A2369),"check date"))</f>
        <v/>
      </c>
      <c r="G2369" s="35">
        <f>IF(B2369="","",IFERROR(INDEX(Students!$A:$A,MATCH(TRIM(B2369),Students!$A:$A,0)),"NOT ON LIST"))</f>
        <v/>
      </c>
      <c r="H2369" s="35">
        <f>IF(OR(G2369="",G2369="NOT ON LIST"),"",VLOOKUP(G2369,Students!$A:$C,2,FALSE))</f>
        <v/>
      </c>
      <c r="I2369" s="35">
        <f>IF(OR(G2369="",G2369="NOT ON LIST"),"",VLOOKUP(G2369,Students!$A:$C,3,FALSE)&amp;"")</f>
        <v/>
      </c>
    </row>
    <row r="2370">
      <c r="A2370" s="31" t="n"/>
      <c r="B2370" s="32" t="n"/>
      <c r="C2370" s="32" t="n"/>
      <c r="D2370" s="33" t="n"/>
      <c r="E2370" s="32" t="n"/>
      <c r="F2370" s="34">
        <f>IF(A2370="","",IFERROR(INT(A2370),"check date"))</f>
        <v/>
      </c>
      <c r="G2370" s="35">
        <f>IF(B2370="","",IFERROR(INDEX(Students!$A:$A,MATCH(TRIM(B2370),Students!$A:$A,0)),"NOT ON LIST"))</f>
        <v/>
      </c>
      <c r="H2370" s="35">
        <f>IF(OR(G2370="",G2370="NOT ON LIST"),"",VLOOKUP(G2370,Students!$A:$C,2,FALSE))</f>
        <v/>
      </c>
      <c r="I2370" s="35">
        <f>IF(OR(G2370="",G2370="NOT ON LIST"),"",VLOOKUP(G2370,Students!$A:$C,3,FALSE)&amp;"")</f>
        <v/>
      </c>
    </row>
    <row r="2371">
      <c r="A2371" s="31" t="n"/>
      <c r="B2371" s="32" t="n"/>
      <c r="C2371" s="32" t="n"/>
      <c r="D2371" s="33" t="n"/>
      <c r="E2371" s="32" t="n"/>
      <c r="F2371" s="34">
        <f>IF(A2371="","",IFERROR(INT(A2371),"check date"))</f>
        <v/>
      </c>
      <c r="G2371" s="35">
        <f>IF(B2371="","",IFERROR(INDEX(Students!$A:$A,MATCH(TRIM(B2371),Students!$A:$A,0)),"NOT ON LIST"))</f>
        <v/>
      </c>
      <c r="H2371" s="35">
        <f>IF(OR(G2371="",G2371="NOT ON LIST"),"",VLOOKUP(G2371,Students!$A:$C,2,FALSE))</f>
        <v/>
      </c>
      <c r="I2371" s="35">
        <f>IF(OR(G2371="",G2371="NOT ON LIST"),"",VLOOKUP(G2371,Students!$A:$C,3,FALSE)&amp;"")</f>
        <v/>
      </c>
    </row>
    <row r="2372">
      <c r="A2372" s="31" t="n"/>
      <c r="B2372" s="32" t="n"/>
      <c r="C2372" s="32" t="n"/>
      <c r="D2372" s="33" t="n"/>
      <c r="E2372" s="32" t="n"/>
      <c r="F2372" s="34">
        <f>IF(A2372="","",IFERROR(INT(A2372),"check date"))</f>
        <v/>
      </c>
      <c r="G2372" s="35">
        <f>IF(B2372="","",IFERROR(INDEX(Students!$A:$A,MATCH(TRIM(B2372),Students!$A:$A,0)),"NOT ON LIST"))</f>
        <v/>
      </c>
      <c r="H2372" s="35">
        <f>IF(OR(G2372="",G2372="NOT ON LIST"),"",VLOOKUP(G2372,Students!$A:$C,2,FALSE))</f>
        <v/>
      </c>
      <c r="I2372" s="35">
        <f>IF(OR(G2372="",G2372="NOT ON LIST"),"",VLOOKUP(G2372,Students!$A:$C,3,FALSE)&amp;"")</f>
        <v/>
      </c>
    </row>
    <row r="2373">
      <c r="A2373" s="31" t="n"/>
      <c r="B2373" s="32" t="n"/>
      <c r="C2373" s="32" t="n"/>
      <c r="D2373" s="33" t="n"/>
      <c r="E2373" s="32" t="n"/>
      <c r="F2373" s="34">
        <f>IF(A2373="","",IFERROR(INT(A2373),"check date"))</f>
        <v/>
      </c>
      <c r="G2373" s="35">
        <f>IF(B2373="","",IFERROR(INDEX(Students!$A:$A,MATCH(TRIM(B2373),Students!$A:$A,0)),"NOT ON LIST"))</f>
        <v/>
      </c>
      <c r="H2373" s="35">
        <f>IF(OR(G2373="",G2373="NOT ON LIST"),"",VLOOKUP(G2373,Students!$A:$C,2,FALSE))</f>
        <v/>
      </c>
      <c r="I2373" s="35">
        <f>IF(OR(G2373="",G2373="NOT ON LIST"),"",VLOOKUP(G2373,Students!$A:$C,3,FALSE)&amp;"")</f>
        <v/>
      </c>
    </row>
    <row r="2374">
      <c r="A2374" s="31" t="n"/>
      <c r="B2374" s="32" t="n"/>
      <c r="C2374" s="32" t="n"/>
      <c r="D2374" s="33" t="n"/>
      <c r="E2374" s="32" t="n"/>
      <c r="F2374" s="34">
        <f>IF(A2374="","",IFERROR(INT(A2374),"check date"))</f>
        <v/>
      </c>
      <c r="G2374" s="35">
        <f>IF(B2374="","",IFERROR(INDEX(Students!$A:$A,MATCH(TRIM(B2374),Students!$A:$A,0)),"NOT ON LIST"))</f>
        <v/>
      </c>
      <c r="H2374" s="35">
        <f>IF(OR(G2374="",G2374="NOT ON LIST"),"",VLOOKUP(G2374,Students!$A:$C,2,FALSE))</f>
        <v/>
      </c>
      <c r="I2374" s="35">
        <f>IF(OR(G2374="",G2374="NOT ON LIST"),"",VLOOKUP(G2374,Students!$A:$C,3,FALSE)&amp;"")</f>
        <v/>
      </c>
    </row>
    <row r="2375">
      <c r="A2375" s="31" t="n"/>
      <c r="B2375" s="32" t="n"/>
      <c r="C2375" s="32" t="n"/>
      <c r="D2375" s="33" t="n"/>
      <c r="E2375" s="32" t="n"/>
      <c r="F2375" s="34">
        <f>IF(A2375="","",IFERROR(INT(A2375),"check date"))</f>
        <v/>
      </c>
      <c r="G2375" s="35">
        <f>IF(B2375="","",IFERROR(INDEX(Students!$A:$A,MATCH(TRIM(B2375),Students!$A:$A,0)),"NOT ON LIST"))</f>
        <v/>
      </c>
      <c r="H2375" s="35">
        <f>IF(OR(G2375="",G2375="NOT ON LIST"),"",VLOOKUP(G2375,Students!$A:$C,2,FALSE))</f>
        <v/>
      </c>
      <c r="I2375" s="35">
        <f>IF(OR(G2375="",G2375="NOT ON LIST"),"",VLOOKUP(G2375,Students!$A:$C,3,FALSE)&amp;"")</f>
        <v/>
      </c>
    </row>
    <row r="2376">
      <c r="A2376" s="31" t="n"/>
      <c r="B2376" s="32" t="n"/>
      <c r="C2376" s="32" t="n"/>
      <c r="D2376" s="33" t="n"/>
      <c r="E2376" s="32" t="n"/>
      <c r="F2376" s="34">
        <f>IF(A2376="","",IFERROR(INT(A2376),"check date"))</f>
        <v/>
      </c>
      <c r="G2376" s="35">
        <f>IF(B2376="","",IFERROR(INDEX(Students!$A:$A,MATCH(TRIM(B2376),Students!$A:$A,0)),"NOT ON LIST"))</f>
        <v/>
      </c>
      <c r="H2376" s="35">
        <f>IF(OR(G2376="",G2376="NOT ON LIST"),"",VLOOKUP(G2376,Students!$A:$C,2,FALSE))</f>
        <v/>
      </c>
      <c r="I2376" s="35">
        <f>IF(OR(G2376="",G2376="NOT ON LIST"),"",VLOOKUP(G2376,Students!$A:$C,3,FALSE)&amp;"")</f>
        <v/>
      </c>
    </row>
    <row r="2377">
      <c r="A2377" s="31" t="n"/>
      <c r="B2377" s="32" t="n"/>
      <c r="C2377" s="32" t="n"/>
      <c r="D2377" s="33" t="n"/>
      <c r="E2377" s="32" t="n"/>
      <c r="F2377" s="34">
        <f>IF(A2377="","",IFERROR(INT(A2377),"check date"))</f>
        <v/>
      </c>
      <c r="G2377" s="35">
        <f>IF(B2377="","",IFERROR(INDEX(Students!$A:$A,MATCH(TRIM(B2377),Students!$A:$A,0)),"NOT ON LIST"))</f>
        <v/>
      </c>
      <c r="H2377" s="35">
        <f>IF(OR(G2377="",G2377="NOT ON LIST"),"",VLOOKUP(G2377,Students!$A:$C,2,FALSE))</f>
        <v/>
      </c>
      <c r="I2377" s="35">
        <f>IF(OR(G2377="",G2377="NOT ON LIST"),"",VLOOKUP(G2377,Students!$A:$C,3,FALSE)&amp;"")</f>
        <v/>
      </c>
    </row>
    <row r="2378">
      <c r="A2378" s="31" t="n"/>
      <c r="B2378" s="32" t="n"/>
      <c r="C2378" s="32" t="n"/>
      <c r="D2378" s="33" t="n"/>
      <c r="E2378" s="32" t="n"/>
      <c r="F2378" s="34">
        <f>IF(A2378="","",IFERROR(INT(A2378),"check date"))</f>
        <v/>
      </c>
      <c r="G2378" s="35">
        <f>IF(B2378="","",IFERROR(INDEX(Students!$A:$A,MATCH(TRIM(B2378),Students!$A:$A,0)),"NOT ON LIST"))</f>
        <v/>
      </c>
      <c r="H2378" s="35">
        <f>IF(OR(G2378="",G2378="NOT ON LIST"),"",VLOOKUP(G2378,Students!$A:$C,2,FALSE))</f>
        <v/>
      </c>
      <c r="I2378" s="35">
        <f>IF(OR(G2378="",G2378="NOT ON LIST"),"",VLOOKUP(G2378,Students!$A:$C,3,FALSE)&amp;"")</f>
        <v/>
      </c>
    </row>
    <row r="2379">
      <c r="A2379" s="31" t="n"/>
      <c r="B2379" s="32" t="n"/>
      <c r="C2379" s="32" t="n"/>
      <c r="D2379" s="33" t="n"/>
      <c r="E2379" s="32" t="n"/>
      <c r="F2379" s="34">
        <f>IF(A2379="","",IFERROR(INT(A2379),"check date"))</f>
        <v/>
      </c>
      <c r="G2379" s="35">
        <f>IF(B2379="","",IFERROR(INDEX(Students!$A:$A,MATCH(TRIM(B2379),Students!$A:$A,0)),"NOT ON LIST"))</f>
        <v/>
      </c>
      <c r="H2379" s="35">
        <f>IF(OR(G2379="",G2379="NOT ON LIST"),"",VLOOKUP(G2379,Students!$A:$C,2,FALSE))</f>
        <v/>
      </c>
      <c r="I2379" s="35">
        <f>IF(OR(G2379="",G2379="NOT ON LIST"),"",VLOOKUP(G2379,Students!$A:$C,3,FALSE)&amp;"")</f>
        <v/>
      </c>
    </row>
    <row r="2380">
      <c r="A2380" s="31" t="n"/>
      <c r="B2380" s="32" t="n"/>
      <c r="C2380" s="32" t="n"/>
      <c r="D2380" s="33" t="n"/>
      <c r="E2380" s="32" t="n"/>
      <c r="F2380" s="34">
        <f>IF(A2380="","",IFERROR(INT(A2380),"check date"))</f>
        <v/>
      </c>
      <c r="G2380" s="35">
        <f>IF(B2380="","",IFERROR(INDEX(Students!$A:$A,MATCH(TRIM(B2380),Students!$A:$A,0)),"NOT ON LIST"))</f>
        <v/>
      </c>
      <c r="H2380" s="35">
        <f>IF(OR(G2380="",G2380="NOT ON LIST"),"",VLOOKUP(G2380,Students!$A:$C,2,FALSE))</f>
        <v/>
      </c>
      <c r="I2380" s="35">
        <f>IF(OR(G2380="",G2380="NOT ON LIST"),"",VLOOKUP(G2380,Students!$A:$C,3,FALSE)&amp;"")</f>
        <v/>
      </c>
    </row>
    <row r="2381">
      <c r="A2381" s="31" t="n"/>
      <c r="B2381" s="32" t="n"/>
      <c r="C2381" s="32" t="n"/>
      <c r="D2381" s="33" t="n"/>
      <c r="E2381" s="32" t="n"/>
      <c r="F2381" s="34">
        <f>IF(A2381="","",IFERROR(INT(A2381),"check date"))</f>
        <v/>
      </c>
      <c r="G2381" s="35">
        <f>IF(B2381="","",IFERROR(INDEX(Students!$A:$A,MATCH(TRIM(B2381),Students!$A:$A,0)),"NOT ON LIST"))</f>
        <v/>
      </c>
      <c r="H2381" s="35">
        <f>IF(OR(G2381="",G2381="NOT ON LIST"),"",VLOOKUP(G2381,Students!$A:$C,2,FALSE))</f>
        <v/>
      </c>
      <c r="I2381" s="35">
        <f>IF(OR(G2381="",G2381="NOT ON LIST"),"",VLOOKUP(G2381,Students!$A:$C,3,FALSE)&amp;"")</f>
        <v/>
      </c>
    </row>
    <row r="2382">
      <c r="A2382" s="31" t="n"/>
      <c r="B2382" s="32" t="n"/>
      <c r="C2382" s="32" t="n"/>
      <c r="D2382" s="33" t="n"/>
      <c r="E2382" s="32" t="n"/>
      <c r="F2382" s="34">
        <f>IF(A2382="","",IFERROR(INT(A2382),"check date"))</f>
        <v/>
      </c>
      <c r="G2382" s="35">
        <f>IF(B2382="","",IFERROR(INDEX(Students!$A:$A,MATCH(TRIM(B2382),Students!$A:$A,0)),"NOT ON LIST"))</f>
        <v/>
      </c>
      <c r="H2382" s="35">
        <f>IF(OR(G2382="",G2382="NOT ON LIST"),"",VLOOKUP(G2382,Students!$A:$C,2,FALSE))</f>
        <v/>
      </c>
      <c r="I2382" s="35">
        <f>IF(OR(G2382="",G2382="NOT ON LIST"),"",VLOOKUP(G2382,Students!$A:$C,3,FALSE)&amp;"")</f>
        <v/>
      </c>
    </row>
    <row r="2383">
      <c r="A2383" s="31" t="n"/>
      <c r="B2383" s="32" t="n"/>
      <c r="C2383" s="32" t="n"/>
      <c r="D2383" s="33" t="n"/>
      <c r="E2383" s="32" t="n"/>
      <c r="F2383" s="34">
        <f>IF(A2383="","",IFERROR(INT(A2383),"check date"))</f>
        <v/>
      </c>
      <c r="G2383" s="35">
        <f>IF(B2383="","",IFERROR(INDEX(Students!$A:$A,MATCH(TRIM(B2383),Students!$A:$A,0)),"NOT ON LIST"))</f>
        <v/>
      </c>
      <c r="H2383" s="35">
        <f>IF(OR(G2383="",G2383="NOT ON LIST"),"",VLOOKUP(G2383,Students!$A:$C,2,FALSE))</f>
        <v/>
      </c>
      <c r="I2383" s="35">
        <f>IF(OR(G2383="",G2383="NOT ON LIST"),"",VLOOKUP(G2383,Students!$A:$C,3,FALSE)&amp;"")</f>
        <v/>
      </c>
    </row>
    <row r="2384">
      <c r="A2384" s="31" t="n"/>
      <c r="B2384" s="32" t="n"/>
      <c r="C2384" s="32" t="n"/>
      <c r="D2384" s="33" t="n"/>
      <c r="E2384" s="32" t="n"/>
      <c r="F2384" s="34">
        <f>IF(A2384="","",IFERROR(INT(A2384),"check date"))</f>
        <v/>
      </c>
      <c r="G2384" s="35">
        <f>IF(B2384="","",IFERROR(INDEX(Students!$A:$A,MATCH(TRIM(B2384),Students!$A:$A,0)),"NOT ON LIST"))</f>
        <v/>
      </c>
      <c r="H2384" s="35">
        <f>IF(OR(G2384="",G2384="NOT ON LIST"),"",VLOOKUP(G2384,Students!$A:$C,2,FALSE))</f>
        <v/>
      </c>
      <c r="I2384" s="35">
        <f>IF(OR(G2384="",G2384="NOT ON LIST"),"",VLOOKUP(G2384,Students!$A:$C,3,FALSE)&amp;"")</f>
        <v/>
      </c>
    </row>
    <row r="2385">
      <c r="A2385" s="31" t="n"/>
      <c r="B2385" s="32" t="n"/>
      <c r="C2385" s="32" t="n"/>
      <c r="D2385" s="33" t="n"/>
      <c r="E2385" s="32" t="n"/>
      <c r="F2385" s="34">
        <f>IF(A2385="","",IFERROR(INT(A2385),"check date"))</f>
        <v/>
      </c>
      <c r="G2385" s="35">
        <f>IF(B2385="","",IFERROR(INDEX(Students!$A:$A,MATCH(TRIM(B2385),Students!$A:$A,0)),"NOT ON LIST"))</f>
        <v/>
      </c>
      <c r="H2385" s="35">
        <f>IF(OR(G2385="",G2385="NOT ON LIST"),"",VLOOKUP(G2385,Students!$A:$C,2,FALSE))</f>
        <v/>
      </c>
      <c r="I2385" s="35">
        <f>IF(OR(G2385="",G2385="NOT ON LIST"),"",VLOOKUP(G2385,Students!$A:$C,3,FALSE)&amp;"")</f>
        <v/>
      </c>
    </row>
    <row r="2386">
      <c r="A2386" s="31" t="n"/>
      <c r="B2386" s="32" t="n"/>
      <c r="C2386" s="32" t="n"/>
      <c r="D2386" s="33" t="n"/>
      <c r="E2386" s="32" t="n"/>
      <c r="F2386" s="34">
        <f>IF(A2386="","",IFERROR(INT(A2386),"check date"))</f>
        <v/>
      </c>
      <c r="G2386" s="35">
        <f>IF(B2386="","",IFERROR(INDEX(Students!$A:$A,MATCH(TRIM(B2386),Students!$A:$A,0)),"NOT ON LIST"))</f>
        <v/>
      </c>
      <c r="H2386" s="35">
        <f>IF(OR(G2386="",G2386="NOT ON LIST"),"",VLOOKUP(G2386,Students!$A:$C,2,FALSE))</f>
        <v/>
      </c>
      <c r="I2386" s="35">
        <f>IF(OR(G2386="",G2386="NOT ON LIST"),"",VLOOKUP(G2386,Students!$A:$C,3,FALSE)&amp;"")</f>
        <v/>
      </c>
    </row>
    <row r="2387">
      <c r="A2387" s="31" t="n"/>
      <c r="B2387" s="32" t="n"/>
      <c r="C2387" s="32" t="n"/>
      <c r="D2387" s="33" t="n"/>
      <c r="E2387" s="32" t="n"/>
      <c r="F2387" s="34">
        <f>IF(A2387="","",IFERROR(INT(A2387),"check date"))</f>
        <v/>
      </c>
      <c r="G2387" s="35">
        <f>IF(B2387="","",IFERROR(INDEX(Students!$A:$A,MATCH(TRIM(B2387),Students!$A:$A,0)),"NOT ON LIST"))</f>
        <v/>
      </c>
      <c r="H2387" s="35">
        <f>IF(OR(G2387="",G2387="NOT ON LIST"),"",VLOOKUP(G2387,Students!$A:$C,2,FALSE))</f>
        <v/>
      </c>
      <c r="I2387" s="35">
        <f>IF(OR(G2387="",G2387="NOT ON LIST"),"",VLOOKUP(G2387,Students!$A:$C,3,FALSE)&amp;"")</f>
        <v/>
      </c>
    </row>
    <row r="2388">
      <c r="A2388" s="31" t="n"/>
      <c r="B2388" s="32" t="n"/>
      <c r="C2388" s="32" t="n"/>
      <c r="D2388" s="33" t="n"/>
      <c r="E2388" s="32" t="n"/>
      <c r="F2388" s="34">
        <f>IF(A2388="","",IFERROR(INT(A2388),"check date"))</f>
        <v/>
      </c>
      <c r="G2388" s="35">
        <f>IF(B2388="","",IFERROR(INDEX(Students!$A:$A,MATCH(TRIM(B2388),Students!$A:$A,0)),"NOT ON LIST"))</f>
        <v/>
      </c>
      <c r="H2388" s="35">
        <f>IF(OR(G2388="",G2388="NOT ON LIST"),"",VLOOKUP(G2388,Students!$A:$C,2,FALSE))</f>
        <v/>
      </c>
      <c r="I2388" s="35">
        <f>IF(OR(G2388="",G2388="NOT ON LIST"),"",VLOOKUP(G2388,Students!$A:$C,3,FALSE)&amp;"")</f>
        <v/>
      </c>
    </row>
    <row r="2389">
      <c r="A2389" s="31" t="n"/>
      <c r="B2389" s="32" t="n"/>
      <c r="C2389" s="32" t="n"/>
      <c r="D2389" s="33" t="n"/>
      <c r="E2389" s="32" t="n"/>
      <c r="F2389" s="34">
        <f>IF(A2389="","",IFERROR(INT(A2389),"check date"))</f>
        <v/>
      </c>
      <c r="G2389" s="35">
        <f>IF(B2389="","",IFERROR(INDEX(Students!$A:$A,MATCH(TRIM(B2389),Students!$A:$A,0)),"NOT ON LIST"))</f>
        <v/>
      </c>
      <c r="H2389" s="35">
        <f>IF(OR(G2389="",G2389="NOT ON LIST"),"",VLOOKUP(G2389,Students!$A:$C,2,FALSE))</f>
        <v/>
      </c>
      <c r="I2389" s="35">
        <f>IF(OR(G2389="",G2389="NOT ON LIST"),"",VLOOKUP(G2389,Students!$A:$C,3,FALSE)&amp;"")</f>
        <v/>
      </c>
    </row>
    <row r="2390">
      <c r="A2390" s="31" t="n"/>
      <c r="B2390" s="32" t="n"/>
      <c r="C2390" s="32" t="n"/>
      <c r="D2390" s="33" t="n"/>
      <c r="E2390" s="32" t="n"/>
      <c r="F2390" s="34">
        <f>IF(A2390="","",IFERROR(INT(A2390),"check date"))</f>
        <v/>
      </c>
      <c r="G2390" s="35">
        <f>IF(B2390="","",IFERROR(INDEX(Students!$A:$A,MATCH(TRIM(B2390),Students!$A:$A,0)),"NOT ON LIST"))</f>
        <v/>
      </c>
      <c r="H2390" s="35">
        <f>IF(OR(G2390="",G2390="NOT ON LIST"),"",VLOOKUP(G2390,Students!$A:$C,2,FALSE))</f>
        <v/>
      </c>
      <c r="I2390" s="35">
        <f>IF(OR(G2390="",G2390="NOT ON LIST"),"",VLOOKUP(G2390,Students!$A:$C,3,FALSE)&amp;"")</f>
        <v/>
      </c>
    </row>
    <row r="2391">
      <c r="A2391" s="31" t="n"/>
      <c r="B2391" s="32" t="n"/>
      <c r="C2391" s="32" t="n"/>
      <c r="D2391" s="33" t="n"/>
      <c r="E2391" s="32" t="n"/>
      <c r="F2391" s="34">
        <f>IF(A2391="","",IFERROR(INT(A2391),"check date"))</f>
        <v/>
      </c>
      <c r="G2391" s="35">
        <f>IF(B2391="","",IFERROR(INDEX(Students!$A:$A,MATCH(TRIM(B2391),Students!$A:$A,0)),"NOT ON LIST"))</f>
        <v/>
      </c>
      <c r="H2391" s="35">
        <f>IF(OR(G2391="",G2391="NOT ON LIST"),"",VLOOKUP(G2391,Students!$A:$C,2,FALSE))</f>
        <v/>
      </c>
      <c r="I2391" s="35">
        <f>IF(OR(G2391="",G2391="NOT ON LIST"),"",VLOOKUP(G2391,Students!$A:$C,3,FALSE)&amp;"")</f>
        <v/>
      </c>
    </row>
    <row r="2392">
      <c r="A2392" s="31" t="n"/>
      <c r="B2392" s="32" t="n"/>
      <c r="C2392" s="32" t="n"/>
      <c r="D2392" s="33" t="n"/>
      <c r="E2392" s="32" t="n"/>
      <c r="F2392" s="34">
        <f>IF(A2392="","",IFERROR(INT(A2392),"check date"))</f>
        <v/>
      </c>
      <c r="G2392" s="35">
        <f>IF(B2392="","",IFERROR(INDEX(Students!$A:$A,MATCH(TRIM(B2392),Students!$A:$A,0)),"NOT ON LIST"))</f>
        <v/>
      </c>
      <c r="H2392" s="35">
        <f>IF(OR(G2392="",G2392="NOT ON LIST"),"",VLOOKUP(G2392,Students!$A:$C,2,FALSE))</f>
        <v/>
      </c>
      <c r="I2392" s="35">
        <f>IF(OR(G2392="",G2392="NOT ON LIST"),"",VLOOKUP(G2392,Students!$A:$C,3,FALSE)&amp;"")</f>
        <v/>
      </c>
    </row>
    <row r="2393">
      <c r="A2393" s="31" t="n"/>
      <c r="B2393" s="32" t="n"/>
      <c r="C2393" s="32" t="n"/>
      <c r="D2393" s="33" t="n"/>
      <c r="E2393" s="32" t="n"/>
      <c r="F2393" s="34">
        <f>IF(A2393="","",IFERROR(INT(A2393),"check date"))</f>
        <v/>
      </c>
      <c r="G2393" s="35">
        <f>IF(B2393="","",IFERROR(INDEX(Students!$A:$A,MATCH(TRIM(B2393),Students!$A:$A,0)),"NOT ON LIST"))</f>
        <v/>
      </c>
      <c r="H2393" s="35">
        <f>IF(OR(G2393="",G2393="NOT ON LIST"),"",VLOOKUP(G2393,Students!$A:$C,2,FALSE))</f>
        <v/>
      </c>
      <c r="I2393" s="35">
        <f>IF(OR(G2393="",G2393="NOT ON LIST"),"",VLOOKUP(G2393,Students!$A:$C,3,FALSE)&amp;"")</f>
        <v/>
      </c>
    </row>
    <row r="2394">
      <c r="A2394" s="31" t="n"/>
      <c r="B2394" s="32" t="n"/>
      <c r="C2394" s="32" t="n"/>
      <c r="D2394" s="33" t="n"/>
      <c r="E2394" s="32" t="n"/>
      <c r="F2394" s="34">
        <f>IF(A2394="","",IFERROR(INT(A2394),"check date"))</f>
        <v/>
      </c>
      <c r="G2394" s="35">
        <f>IF(B2394="","",IFERROR(INDEX(Students!$A:$A,MATCH(TRIM(B2394),Students!$A:$A,0)),"NOT ON LIST"))</f>
        <v/>
      </c>
      <c r="H2394" s="35">
        <f>IF(OR(G2394="",G2394="NOT ON LIST"),"",VLOOKUP(G2394,Students!$A:$C,2,FALSE))</f>
        <v/>
      </c>
      <c r="I2394" s="35">
        <f>IF(OR(G2394="",G2394="NOT ON LIST"),"",VLOOKUP(G2394,Students!$A:$C,3,FALSE)&amp;"")</f>
        <v/>
      </c>
    </row>
    <row r="2395">
      <c r="A2395" s="31" t="n"/>
      <c r="B2395" s="32" t="n"/>
      <c r="C2395" s="32" t="n"/>
      <c r="D2395" s="33" t="n"/>
      <c r="E2395" s="32" t="n"/>
      <c r="F2395" s="34">
        <f>IF(A2395="","",IFERROR(INT(A2395),"check date"))</f>
        <v/>
      </c>
      <c r="G2395" s="35">
        <f>IF(B2395="","",IFERROR(INDEX(Students!$A:$A,MATCH(TRIM(B2395),Students!$A:$A,0)),"NOT ON LIST"))</f>
        <v/>
      </c>
      <c r="H2395" s="35">
        <f>IF(OR(G2395="",G2395="NOT ON LIST"),"",VLOOKUP(G2395,Students!$A:$C,2,FALSE))</f>
        <v/>
      </c>
      <c r="I2395" s="35">
        <f>IF(OR(G2395="",G2395="NOT ON LIST"),"",VLOOKUP(G2395,Students!$A:$C,3,FALSE)&amp;"")</f>
        <v/>
      </c>
    </row>
    <row r="2396">
      <c r="A2396" s="31" t="n"/>
      <c r="B2396" s="32" t="n"/>
      <c r="C2396" s="32" t="n"/>
      <c r="D2396" s="33" t="n"/>
      <c r="E2396" s="32" t="n"/>
      <c r="F2396" s="34">
        <f>IF(A2396="","",IFERROR(INT(A2396),"check date"))</f>
        <v/>
      </c>
      <c r="G2396" s="35">
        <f>IF(B2396="","",IFERROR(INDEX(Students!$A:$A,MATCH(TRIM(B2396),Students!$A:$A,0)),"NOT ON LIST"))</f>
        <v/>
      </c>
      <c r="H2396" s="35">
        <f>IF(OR(G2396="",G2396="NOT ON LIST"),"",VLOOKUP(G2396,Students!$A:$C,2,FALSE))</f>
        <v/>
      </c>
      <c r="I2396" s="35">
        <f>IF(OR(G2396="",G2396="NOT ON LIST"),"",VLOOKUP(G2396,Students!$A:$C,3,FALSE)&amp;"")</f>
        <v/>
      </c>
    </row>
    <row r="2397">
      <c r="A2397" s="31" t="n"/>
      <c r="B2397" s="32" t="n"/>
      <c r="C2397" s="32" t="n"/>
      <c r="D2397" s="33" t="n"/>
      <c r="E2397" s="32" t="n"/>
      <c r="F2397" s="34">
        <f>IF(A2397="","",IFERROR(INT(A2397),"check date"))</f>
        <v/>
      </c>
      <c r="G2397" s="35">
        <f>IF(B2397="","",IFERROR(INDEX(Students!$A:$A,MATCH(TRIM(B2397),Students!$A:$A,0)),"NOT ON LIST"))</f>
        <v/>
      </c>
      <c r="H2397" s="35">
        <f>IF(OR(G2397="",G2397="NOT ON LIST"),"",VLOOKUP(G2397,Students!$A:$C,2,FALSE))</f>
        <v/>
      </c>
      <c r="I2397" s="35">
        <f>IF(OR(G2397="",G2397="NOT ON LIST"),"",VLOOKUP(G2397,Students!$A:$C,3,FALSE)&amp;"")</f>
        <v/>
      </c>
    </row>
    <row r="2398">
      <c r="A2398" s="31" t="n"/>
      <c r="B2398" s="32" t="n"/>
      <c r="C2398" s="32" t="n"/>
      <c r="D2398" s="33" t="n"/>
      <c r="E2398" s="32" t="n"/>
      <c r="F2398" s="34">
        <f>IF(A2398="","",IFERROR(INT(A2398),"check date"))</f>
        <v/>
      </c>
      <c r="G2398" s="35">
        <f>IF(B2398="","",IFERROR(INDEX(Students!$A:$A,MATCH(TRIM(B2398),Students!$A:$A,0)),"NOT ON LIST"))</f>
        <v/>
      </c>
      <c r="H2398" s="35">
        <f>IF(OR(G2398="",G2398="NOT ON LIST"),"",VLOOKUP(G2398,Students!$A:$C,2,FALSE))</f>
        <v/>
      </c>
      <c r="I2398" s="35">
        <f>IF(OR(G2398="",G2398="NOT ON LIST"),"",VLOOKUP(G2398,Students!$A:$C,3,FALSE)&amp;"")</f>
        <v/>
      </c>
    </row>
    <row r="2399">
      <c r="A2399" s="31" t="n"/>
      <c r="B2399" s="32" t="n"/>
      <c r="C2399" s="32" t="n"/>
      <c r="D2399" s="33" t="n"/>
      <c r="E2399" s="32" t="n"/>
      <c r="F2399" s="34">
        <f>IF(A2399="","",IFERROR(INT(A2399),"check date"))</f>
        <v/>
      </c>
      <c r="G2399" s="35">
        <f>IF(B2399="","",IFERROR(INDEX(Students!$A:$A,MATCH(TRIM(B2399),Students!$A:$A,0)),"NOT ON LIST"))</f>
        <v/>
      </c>
      <c r="H2399" s="35">
        <f>IF(OR(G2399="",G2399="NOT ON LIST"),"",VLOOKUP(G2399,Students!$A:$C,2,FALSE))</f>
        <v/>
      </c>
      <c r="I2399" s="35">
        <f>IF(OR(G2399="",G2399="NOT ON LIST"),"",VLOOKUP(G2399,Students!$A:$C,3,FALSE)&amp;"")</f>
        <v/>
      </c>
    </row>
    <row r="2400">
      <c r="A2400" s="31" t="n"/>
      <c r="B2400" s="32" t="n"/>
      <c r="C2400" s="32" t="n"/>
      <c r="D2400" s="33" t="n"/>
      <c r="E2400" s="32" t="n"/>
      <c r="F2400" s="34">
        <f>IF(A2400="","",IFERROR(INT(A2400),"check date"))</f>
        <v/>
      </c>
      <c r="G2400" s="35">
        <f>IF(B2400="","",IFERROR(INDEX(Students!$A:$A,MATCH(TRIM(B2400),Students!$A:$A,0)),"NOT ON LIST"))</f>
        <v/>
      </c>
      <c r="H2400" s="35">
        <f>IF(OR(G2400="",G2400="NOT ON LIST"),"",VLOOKUP(G2400,Students!$A:$C,2,FALSE))</f>
        <v/>
      </c>
      <c r="I2400" s="35">
        <f>IF(OR(G2400="",G2400="NOT ON LIST"),"",VLOOKUP(G2400,Students!$A:$C,3,FALSE)&amp;"")</f>
        <v/>
      </c>
    </row>
    <row r="2401">
      <c r="A2401" s="31" t="n"/>
      <c r="B2401" s="32" t="n"/>
      <c r="C2401" s="32" t="n"/>
      <c r="D2401" s="33" t="n"/>
      <c r="E2401" s="32" t="n"/>
      <c r="F2401" s="34">
        <f>IF(A2401="","",IFERROR(INT(A2401),"check date"))</f>
        <v/>
      </c>
      <c r="G2401" s="35">
        <f>IF(B2401="","",IFERROR(INDEX(Students!$A:$A,MATCH(TRIM(B2401),Students!$A:$A,0)),"NOT ON LIST"))</f>
        <v/>
      </c>
      <c r="H2401" s="35">
        <f>IF(OR(G2401="",G2401="NOT ON LIST"),"",VLOOKUP(G2401,Students!$A:$C,2,FALSE))</f>
        <v/>
      </c>
      <c r="I2401" s="35">
        <f>IF(OR(G2401="",G2401="NOT ON LIST"),"",VLOOKUP(G2401,Students!$A:$C,3,FALSE)&amp;"")</f>
        <v/>
      </c>
    </row>
    <row r="2402">
      <c r="A2402" s="31" t="n"/>
      <c r="B2402" s="32" t="n"/>
      <c r="C2402" s="32" t="n"/>
      <c r="D2402" s="33" t="n"/>
      <c r="E2402" s="32" t="n"/>
      <c r="F2402" s="34">
        <f>IF(A2402="","",IFERROR(INT(A2402),"check date"))</f>
        <v/>
      </c>
      <c r="G2402" s="35">
        <f>IF(B2402="","",IFERROR(INDEX(Students!$A:$A,MATCH(TRIM(B2402),Students!$A:$A,0)),"NOT ON LIST"))</f>
        <v/>
      </c>
      <c r="H2402" s="35">
        <f>IF(OR(G2402="",G2402="NOT ON LIST"),"",VLOOKUP(G2402,Students!$A:$C,2,FALSE))</f>
        <v/>
      </c>
      <c r="I2402" s="35">
        <f>IF(OR(G2402="",G2402="NOT ON LIST"),"",VLOOKUP(G2402,Students!$A:$C,3,FALSE)&amp;"")</f>
        <v/>
      </c>
    </row>
    <row r="2403">
      <c r="A2403" s="31" t="n"/>
      <c r="B2403" s="32" t="n"/>
      <c r="C2403" s="32" t="n"/>
      <c r="D2403" s="33" t="n"/>
      <c r="E2403" s="32" t="n"/>
      <c r="F2403" s="34">
        <f>IF(A2403="","",IFERROR(INT(A2403),"check date"))</f>
        <v/>
      </c>
      <c r="G2403" s="35">
        <f>IF(B2403="","",IFERROR(INDEX(Students!$A:$A,MATCH(TRIM(B2403),Students!$A:$A,0)),"NOT ON LIST"))</f>
        <v/>
      </c>
      <c r="H2403" s="35">
        <f>IF(OR(G2403="",G2403="NOT ON LIST"),"",VLOOKUP(G2403,Students!$A:$C,2,FALSE))</f>
        <v/>
      </c>
      <c r="I2403" s="35">
        <f>IF(OR(G2403="",G2403="NOT ON LIST"),"",VLOOKUP(G2403,Students!$A:$C,3,FALSE)&amp;"")</f>
        <v/>
      </c>
    </row>
    <row r="2404">
      <c r="A2404" s="31" t="n"/>
      <c r="B2404" s="32" t="n"/>
      <c r="C2404" s="32" t="n"/>
      <c r="D2404" s="33" t="n"/>
      <c r="E2404" s="32" t="n"/>
      <c r="F2404" s="34">
        <f>IF(A2404="","",IFERROR(INT(A2404),"check date"))</f>
        <v/>
      </c>
      <c r="G2404" s="35">
        <f>IF(B2404="","",IFERROR(INDEX(Students!$A:$A,MATCH(TRIM(B2404),Students!$A:$A,0)),"NOT ON LIST"))</f>
        <v/>
      </c>
      <c r="H2404" s="35">
        <f>IF(OR(G2404="",G2404="NOT ON LIST"),"",VLOOKUP(G2404,Students!$A:$C,2,FALSE))</f>
        <v/>
      </c>
      <c r="I2404" s="35">
        <f>IF(OR(G2404="",G2404="NOT ON LIST"),"",VLOOKUP(G2404,Students!$A:$C,3,FALSE)&amp;"")</f>
        <v/>
      </c>
    </row>
    <row r="2405">
      <c r="A2405" s="31" t="n"/>
      <c r="B2405" s="32" t="n"/>
      <c r="C2405" s="32" t="n"/>
      <c r="D2405" s="33" t="n"/>
      <c r="E2405" s="32" t="n"/>
      <c r="F2405" s="34">
        <f>IF(A2405="","",IFERROR(INT(A2405),"check date"))</f>
        <v/>
      </c>
      <c r="G2405" s="35">
        <f>IF(B2405="","",IFERROR(INDEX(Students!$A:$A,MATCH(TRIM(B2405),Students!$A:$A,0)),"NOT ON LIST"))</f>
        <v/>
      </c>
      <c r="H2405" s="35">
        <f>IF(OR(G2405="",G2405="NOT ON LIST"),"",VLOOKUP(G2405,Students!$A:$C,2,FALSE))</f>
        <v/>
      </c>
      <c r="I2405" s="35">
        <f>IF(OR(G2405="",G2405="NOT ON LIST"),"",VLOOKUP(G2405,Students!$A:$C,3,FALSE)&amp;"")</f>
        <v/>
      </c>
    </row>
    <row r="2406">
      <c r="A2406" s="31" t="n"/>
      <c r="B2406" s="32" t="n"/>
      <c r="C2406" s="32" t="n"/>
      <c r="D2406" s="33" t="n"/>
      <c r="E2406" s="32" t="n"/>
      <c r="F2406" s="34">
        <f>IF(A2406="","",IFERROR(INT(A2406),"check date"))</f>
        <v/>
      </c>
      <c r="G2406" s="35">
        <f>IF(B2406="","",IFERROR(INDEX(Students!$A:$A,MATCH(TRIM(B2406),Students!$A:$A,0)),"NOT ON LIST"))</f>
        <v/>
      </c>
      <c r="H2406" s="35">
        <f>IF(OR(G2406="",G2406="NOT ON LIST"),"",VLOOKUP(G2406,Students!$A:$C,2,FALSE))</f>
        <v/>
      </c>
      <c r="I2406" s="35">
        <f>IF(OR(G2406="",G2406="NOT ON LIST"),"",VLOOKUP(G2406,Students!$A:$C,3,FALSE)&amp;"")</f>
        <v/>
      </c>
    </row>
    <row r="2407">
      <c r="A2407" s="31" t="n"/>
      <c r="B2407" s="32" t="n"/>
      <c r="C2407" s="32" t="n"/>
      <c r="D2407" s="33" t="n"/>
      <c r="E2407" s="32" t="n"/>
      <c r="F2407" s="34">
        <f>IF(A2407="","",IFERROR(INT(A2407),"check date"))</f>
        <v/>
      </c>
      <c r="G2407" s="35">
        <f>IF(B2407="","",IFERROR(INDEX(Students!$A:$A,MATCH(TRIM(B2407),Students!$A:$A,0)),"NOT ON LIST"))</f>
        <v/>
      </c>
      <c r="H2407" s="35">
        <f>IF(OR(G2407="",G2407="NOT ON LIST"),"",VLOOKUP(G2407,Students!$A:$C,2,FALSE))</f>
        <v/>
      </c>
      <c r="I2407" s="35">
        <f>IF(OR(G2407="",G2407="NOT ON LIST"),"",VLOOKUP(G2407,Students!$A:$C,3,FALSE)&amp;"")</f>
        <v/>
      </c>
    </row>
    <row r="2408">
      <c r="A2408" s="31" t="n"/>
      <c r="B2408" s="32" t="n"/>
      <c r="C2408" s="32" t="n"/>
      <c r="D2408" s="33" t="n"/>
      <c r="E2408" s="32" t="n"/>
      <c r="F2408" s="34">
        <f>IF(A2408="","",IFERROR(INT(A2408),"check date"))</f>
        <v/>
      </c>
      <c r="G2408" s="35">
        <f>IF(B2408="","",IFERROR(INDEX(Students!$A:$A,MATCH(TRIM(B2408),Students!$A:$A,0)),"NOT ON LIST"))</f>
        <v/>
      </c>
      <c r="H2408" s="35">
        <f>IF(OR(G2408="",G2408="NOT ON LIST"),"",VLOOKUP(G2408,Students!$A:$C,2,FALSE))</f>
        <v/>
      </c>
      <c r="I2408" s="35">
        <f>IF(OR(G2408="",G2408="NOT ON LIST"),"",VLOOKUP(G2408,Students!$A:$C,3,FALSE)&amp;"")</f>
        <v/>
      </c>
    </row>
    <row r="2409">
      <c r="A2409" s="31" t="n"/>
      <c r="B2409" s="32" t="n"/>
      <c r="C2409" s="32" t="n"/>
      <c r="D2409" s="33" t="n"/>
      <c r="E2409" s="32" t="n"/>
      <c r="F2409" s="34">
        <f>IF(A2409="","",IFERROR(INT(A2409),"check date"))</f>
        <v/>
      </c>
      <c r="G2409" s="35">
        <f>IF(B2409="","",IFERROR(INDEX(Students!$A:$A,MATCH(TRIM(B2409),Students!$A:$A,0)),"NOT ON LIST"))</f>
        <v/>
      </c>
      <c r="H2409" s="35">
        <f>IF(OR(G2409="",G2409="NOT ON LIST"),"",VLOOKUP(G2409,Students!$A:$C,2,FALSE))</f>
        <v/>
      </c>
      <c r="I2409" s="35">
        <f>IF(OR(G2409="",G2409="NOT ON LIST"),"",VLOOKUP(G2409,Students!$A:$C,3,FALSE)&amp;"")</f>
        <v/>
      </c>
    </row>
    <row r="2410">
      <c r="A2410" s="31" t="n"/>
      <c r="B2410" s="32" t="n"/>
      <c r="C2410" s="32" t="n"/>
      <c r="D2410" s="33" t="n"/>
      <c r="E2410" s="32" t="n"/>
      <c r="F2410" s="34">
        <f>IF(A2410="","",IFERROR(INT(A2410),"check date"))</f>
        <v/>
      </c>
      <c r="G2410" s="35">
        <f>IF(B2410="","",IFERROR(INDEX(Students!$A:$A,MATCH(TRIM(B2410),Students!$A:$A,0)),"NOT ON LIST"))</f>
        <v/>
      </c>
      <c r="H2410" s="35">
        <f>IF(OR(G2410="",G2410="NOT ON LIST"),"",VLOOKUP(G2410,Students!$A:$C,2,FALSE))</f>
        <v/>
      </c>
      <c r="I2410" s="35">
        <f>IF(OR(G2410="",G2410="NOT ON LIST"),"",VLOOKUP(G2410,Students!$A:$C,3,FALSE)&amp;"")</f>
        <v/>
      </c>
    </row>
    <row r="2411">
      <c r="A2411" s="31" t="n"/>
      <c r="B2411" s="32" t="n"/>
      <c r="C2411" s="32" t="n"/>
      <c r="D2411" s="33" t="n"/>
      <c r="E2411" s="32" t="n"/>
      <c r="F2411" s="34">
        <f>IF(A2411="","",IFERROR(INT(A2411),"check date"))</f>
        <v/>
      </c>
      <c r="G2411" s="35">
        <f>IF(B2411="","",IFERROR(INDEX(Students!$A:$A,MATCH(TRIM(B2411),Students!$A:$A,0)),"NOT ON LIST"))</f>
        <v/>
      </c>
      <c r="H2411" s="35">
        <f>IF(OR(G2411="",G2411="NOT ON LIST"),"",VLOOKUP(G2411,Students!$A:$C,2,FALSE))</f>
        <v/>
      </c>
      <c r="I2411" s="35">
        <f>IF(OR(G2411="",G2411="NOT ON LIST"),"",VLOOKUP(G2411,Students!$A:$C,3,FALSE)&amp;"")</f>
        <v/>
      </c>
    </row>
    <row r="2412">
      <c r="A2412" s="31" t="n"/>
      <c r="B2412" s="32" t="n"/>
      <c r="C2412" s="32" t="n"/>
      <c r="D2412" s="33" t="n"/>
      <c r="E2412" s="32" t="n"/>
      <c r="F2412" s="34">
        <f>IF(A2412="","",IFERROR(INT(A2412),"check date"))</f>
        <v/>
      </c>
      <c r="G2412" s="35">
        <f>IF(B2412="","",IFERROR(INDEX(Students!$A:$A,MATCH(TRIM(B2412),Students!$A:$A,0)),"NOT ON LIST"))</f>
        <v/>
      </c>
      <c r="H2412" s="35">
        <f>IF(OR(G2412="",G2412="NOT ON LIST"),"",VLOOKUP(G2412,Students!$A:$C,2,FALSE))</f>
        <v/>
      </c>
      <c r="I2412" s="35">
        <f>IF(OR(G2412="",G2412="NOT ON LIST"),"",VLOOKUP(G2412,Students!$A:$C,3,FALSE)&amp;"")</f>
        <v/>
      </c>
    </row>
    <row r="2413">
      <c r="A2413" s="31" t="n"/>
      <c r="B2413" s="32" t="n"/>
      <c r="C2413" s="32" t="n"/>
      <c r="D2413" s="33" t="n"/>
      <c r="E2413" s="32" t="n"/>
      <c r="F2413" s="34">
        <f>IF(A2413="","",IFERROR(INT(A2413),"check date"))</f>
        <v/>
      </c>
      <c r="G2413" s="35">
        <f>IF(B2413="","",IFERROR(INDEX(Students!$A:$A,MATCH(TRIM(B2413),Students!$A:$A,0)),"NOT ON LIST"))</f>
        <v/>
      </c>
      <c r="H2413" s="35">
        <f>IF(OR(G2413="",G2413="NOT ON LIST"),"",VLOOKUP(G2413,Students!$A:$C,2,FALSE))</f>
        <v/>
      </c>
      <c r="I2413" s="35">
        <f>IF(OR(G2413="",G2413="NOT ON LIST"),"",VLOOKUP(G2413,Students!$A:$C,3,FALSE)&amp;"")</f>
        <v/>
      </c>
    </row>
    <row r="2414">
      <c r="A2414" s="31" t="n"/>
      <c r="B2414" s="32" t="n"/>
      <c r="C2414" s="32" t="n"/>
      <c r="D2414" s="33" t="n"/>
      <c r="E2414" s="32" t="n"/>
      <c r="F2414" s="34">
        <f>IF(A2414="","",IFERROR(INT(A2414),"check date"))</f>
        <v/>
      </c>
      <c r="G2414" s="35">
        <f>IF(B2414="","",IFERROR(INDEX(Students!$A:$A,MATCH(TRIM(B2414),Students!$A:$A,0)),"NOT ON LIST"))</f>
        <v/>
      </c>
      <c r="H2414" s="35">
        <f>IF(OR(G2414="",G2414="NOT ON LIST"),"",VLOOKUP(G2414,Students!$A:$C,2,FALSE))</f>
        <v/>
      </c>
      <c r="I2414" s="35">
        <f>IF(OR(G2414="",G2414="NOT ON LIST"),"",VLOOKUP(G2414,Students!$A:$C,3,FALSE)&amp;"")</f>
        <v/>
      </c>
    </row>
    <row r="2415">
      <c r="A2415" s="31" t="n"/>
      <c r="B2415" s="32" t="n"/>
      <c r="C2415" s="32" t="n"/>
      <c r="D2415" s="33" t="n"/>
      <c r="E2415" s="32" t="n"/>
      <c r="F2415" s="34">
        <f>IF(A2415="","",IFERROR(INT(A2415),"check date"))</f>
        <v/>
      </c>
      <c r="G2415" s="35">
        <f>IF(B2415="","",IFERROR(INDEX(Students!$A:$A,MATCH(TRIM(B2415),Students!$A:$A,0)),"NOT ON LIST"))</f>
        <v/>
      </c>
      <c r="H2415" s="35">
        <f>IF(OR(G2415="",G2415="NOT ON LIST"),"",VLOOKUP(G2415,Students!$A:$C,2,FALSE))</f>
        <v/>
      </c>
      <c r="I2415" s="35">
        <f>IF(OR(G2415="",G2415="NOT ON LIST"),"",VLOOKUP(G2415,Students!$A:$C,3,FALSE)&amp;"")</f>
        <v/>
      </c>
    </row>
    <row r="2416">
      <c r="A2416" s="31" t="n"/>
      <c r="B2416" s="32" t="n"/>
      <c r="C2416" s="32" t="n"/>
      <c r="D2416" s="33" t="n"/>
      <c r="E2416" s="32" t="n"/>
      <c r="F2416" s="34">
        <f>IF(A2416="","",IFERROR(INT(A2416),"check date"))</f>
        <v/>
      </c>
      <c r="G2416" s="35">
        <f>IF(B2416="","",IFERROR(INDEX(Students!$A:$A,MATCH(TRIM(B2416),Students!$A:$A,0)),"NOT ON LIST"))</f>
        <v/>
      </c>
      <c r="H2416" s="35">
        <f>IF(OR(G2416="",G2416="NOT ON LIST"),"",VLOOKUP(G2416,Students!$A:$C,2,FALSE))</f>
        <v/>
      </c>
      <c r="I2416" s="35">
        <f>IF(OR(G2416="",G2416="NOT ON LIST"),"",VLOOKUP(G2416,Students!$A:$C,3,FALSE)&amp;"")</f>
        <v/>
      </c>
    </row>
    <row r="2417">
      <c r="A2417" s="31" t="n"/>
      <c r="B2417" s="32" t="n"/>
      <c r="C2417" s="32" t="n"/>
      <c r="D2417" s="33" t="n"/>
      <c r="E2417" s="32" t="n"/>
      <c r="F2417" s="34">
        <f>IF(A2417="","",IFERROR(INT(A2417),"check date"))</f>
        <v/>
      </c>
      <c r="G2417" s="35">
        <f>IF(B2417="","",IFERROR(INDEX(Students!$A:$A,MATCH(TRIM(B2417),Students!$A:$A,0)),"NOT ON LIST"))</f>
        <v/>
      </c>
      <c r="H2417" s="35">
        <f>IF(OR(G2417="",G2417="NOT ON LIST"),"",VLOOKUP(G2417,Students!$A:$C,2,FALSE))</f>
        <v/>
      </c>
      <c r="I2417" s="35">
        <f>IF(OR(G2417="",G2417="NOT ON LIST"),"",VLOOKUP(G2417,Students!$A:$C,3,FALSE)&amp;"")</f>
        <v/>
      </c>
    </row>
    <row r="2418">
      <c r="A2418" s="31" t="n"/>
      <c r="B2418" s="32" t="n"/>
      <c r="C2418" s="32" t="n"/>
      <c r="D2418" s="33" t="n"/>
      <c r="E2418" s="32" t="n"/>
      <c r="F2418" s="34">
        <f>IF(A2418="","",IFERROR(INT(A2418),"check date"))</f>
        <v/>
      </c>
      <c r="G2418" s="35">
        <f>IF(B2418="","",IFERROR(INDEX(Students!$A:$A,MATCH(TRIM(B2418),Students!$A:$A,0)),"NOT ON LIST"))</f>
        <v/>
      </c>
      <c r="H2418" s="35">
        <f>IF(OR(G2418="",G2418="NOT ON LIST"),"",VLOOKUP(G2418,Students!$A:$C,2,FALSE))</f>
        <v/>
      </c>
      <c r="I2418" s="35">
        <f>IF(OR(G2418="",G2418="NOT ON LIST"),"",VLOOKUP(G2418,Students!$A:$C,3,FALSE)&amp;"")</f>
        <v/>
      </c>
    </row>
    <row r="2419">
      <c r="A2419" s="31" t="n"/>
      <c r="B2419" s="32" t="n"/>
      <c r="C2419" s="32" t="n"/>
      <c r="D2419" s="33" t="n"/>
      <c r="E2419" s="32" t="n"/>
      <c r="F2419" s="34">
        <f>IF(A2419="","",IFERROR(INT(A2419),"check date"))</f>
        <v/>
      </c>
      <c r="G2419" s="35">
        <f>IF(B2419="","",IFERROR(INDEX(Students!$A:$A,MATCH(TRIM(B2419),Students!$A:$A,0)),"NOT ON LIST"))</f>
        <v/>
      </c>
      <c r="H2419" s="35">
        <f>IF(OR(G2419="",G2419="NOT ON LIST"),"",VLOOKUP(G2419,Students!$A:$C,2,FALSE))</f>
        <v/>
      </c>
      <c r="I2419" s="35">
        <f>IF(OR(G2419="",G2419="NOT ON LIST"),"",VLOOKUP(G2419,Students!$A:$C,3,FALSE)&amp;"")</f>
        <v/>
      </c>
    </row>
    <row r="2420">
      <c r="A2420" s="31" t="n"/>
      <c r="B2420" s="32" t="n"/>
      <c r="C2420" s="32" t="n"/>
      <c r="D2420" s="33" t="n"/>
      <c r="E2420" s="32" t="n"/>
      <c r="F2420" s="34">
        <f>IF(A2420="","",IFERROR(INT(A2420),"check date"))</f>
        <v/>
      </c>
      <c r="G2420" s="35">
        <f>IF(B2420="","",IFERROR(INDEX(Students!$A:$A,MATCH(TRIM(B2420),Students!$A:$A,0)),"NOT ON LIST"))</f>
        <v/>
      </c>
      <c r="H2420" s="35">
        <f>IF(OR(G2420="",G2420="NOT ON LIST"),"",VLOOKUP(G2420,Students!$A:$C,2,FALSE))</f>
        <v/>
      </c>
      <c r="I2420" s="35">
        <f>IF(OR(G2420="",G2420="NOT ON LIST"),"",VLOOKUP(G2420,Students!$A:$C,3,FALSE)&amp;"")</f>
        <v/>
      </c>
    </row>
    <row r="2421">
      <c r="A2421" s="31" t="n"/>
      <c r="B2421" s="32" t="n"/>
      <c r="C2421" s="32" t="n"/>
      <c r="D2421" s="33" t="n"/>
      <c r="E2421" s="32" t="n"/>
      <c r="F2421" s="34">
        <f>IF(A2421="","",IFERROR(INT(A2421),"check date"))</f>
        <v/>
      </c>
      <c r="G2421" s="35">
        <f>IF(B2421="","",IFERROR(INDEX(Students!$A:$A,MATCH(TRIM(B2421),Students!$A:$A,0)),"NOT ON LIST"))</f>
        <v/>
      </c>
      <c r="H2421" s="35">
        <f>IF(OR(G2421="",G2421="NOT ON LIST"),"",VLOOKUP(G2421,Students!$A:$C,2,FALSE))</f>
        <v/>
      </c>
      <c r="I2421" s="35">
        <f>IF(OR(G2421="",G2421="NOT ON LIST"),"",VLOOKUP(G2421,Students!$A:$C,3,FALSE)&amp;"")</f>
        <v/>
      </c>
    </row>
    <row r="2422">
      <c r="A2422" s="31" t="n"/>
      <c r="B2422" s="32" t="n"/>
      <c r="C2422" s="32" t="n"/>
      <c r="D2422" s="33" t="n"/>
      <c r="E2422" s="32" t="n"/>
      <c r="F2422" s="34">
        <f>IF(A2422="","",IFERROR(INT(A2422),"check date"))</f>
        <v/>
      </c>
      <c r="G2422" s="35">
        <f>IF(B2422="","",IFERROR(INDEX(Students!$A:$A,MATCH(TRIM(B2422),Students!$A:$A,0)),"NOT ON LIST"))</f>
        <v/>
      </c>
      <c r="H2422" s="35">
        <f>IF(OR(G2422="",G2422="NOT ON LIST"),"",VLOOKUP(G2422,Students!$A:$C,2,FALSE))</f>
        <v/>
      </c>
      <c r="I2422" s="35">
        <f>IF(OR(G2422="",G2422="NOT ON LIST"),"",VLOOKUP(G2422,Students!$A:$C,3,FALSE)&amp;"")</f>
        <v/>
      </c>
    </row>
    <row r="2423">
      <c r="A2423" s="31" t="n"/>
      <c r="B2423" s="32" t="n"/>
      <c r="C2423" s="32" t="n"/>
      <c r="D2423" s="33" t="n"/>
      <c r="E2423" s="32" t="n"/>
      <c r="F2423" s="34">
        <f>IF(A2423="","",IFERROR(INT(A2423),"check date"))</f>
        <v/>
      </c>
      <c r="G2423" s="35">
        <f>IF(B2423="","",IFERROR(INDEX(Students!$A:$A,MATCH(TRIM(B2423),Students!$A:$A,0)),"NOT ON LIST"))</f>
        <v/>
      </c>
      <c r="H2423" s="35">
        <f>IF(OR(G2423="",G2423="NOT ON LIST"),"",VLOOKUP(G2423,Students!$A:$C,2,FALSE))</f>
        <v/>
      </c>
      <c r="I2423" s="35">
        <f>IF(OR(G2423="",G2423="NOT ON LIST"),"",VLOOKUP(G2423,Students!$A:$C,3,FALSE)&amp;"")</f>
        <v/>
      </c>
    </row>
    <row r="2424">
      <c r="A2424" s="31" t="n"/>
      <c r="B2424" s="32" t="n"/>
      <c r="C2424" s="32" t="n"/>
      <c r="D2424" s="33" t="n"/>
      <c r="E2424" s="32" t="n"/>
      <c r="F2424" s="34">
        <f>IF(A2424="","",IFERROR(INT(A2424),"check date"))</f>
        <v/>
      </c>
      <c r="G2424" s="35">
        <f>IF(B2424="","",IFERROR(INDEX(Students!$A:$A,MATCH(TRIM(B2424),Students!$A:$A,0)),"NOT ON LIST"))</f>
        <v/>
      </c>
      <c r="H2424" s="35">
        <f>IF(OR(G2424="",G2424="NOT ON LIST"),"",VLOOKUP(G2424,Students!$A:$C,2,FALSE))</f>
        <v/>
      </c>
      <c r="I2424" s="35">
        <f>IF(OR(G2424="",G2424="NOT ON LIST"),"",VLOOKUP(G2424,Students!$A:$C,3,FALSE)&amp;"")</f>
        <v/>
      </c>
    </row>
    <row r="2425">
      <c r="A2425" s="31" t="n"/>
      <c r="B2425" s="32" t="n"/>
      <c r="C2425" s="32" t="n"/>
      <c r="D2425" s="33" t="n"/>
      <c r="E2425" s="32" t="n"/>
      <c r="F2425" s="34">
        <f>IF(A2425="","",IFERROR(INT(A2425),"check date"))</f>
        <v/>
      </c>
      <c r="G2425" s="35">
        <f>IF(B2425="","",IFERROR(INDEX(Students!$A:$A,MATCH(TRIM(B2425),Students!$A:$A,0)),"NOT ON LIST"))</f>
        <v/>
      </c>
      <c r="H2425" s="35">
        <f>IF(OR(G2425="",G2425="NOT ON LIST"),"",VLOOKUP(G2425,Students!$A:$C,2,FALSE))</f>
        <v/>
      </c>
      <c r="I2425" s="35">
        <f>IF(OR(G2425="",G2425="NOT ON LIST"),"",VLOOKUP(G2425,Students!$A:$C,3,FALSE)&amp;"")</f>
        <v/>
      </c>
    </row>
    <row r="2426">
      <c r="A2426" s="31" t="n"/>
      <c r="B2426" s="32" t="n"/>
      <c r="C2426" s="32" t="n"/>
      <c r="D2426" s="33" t="n"/>
      <c r="E2426" s="32" t="n"/>
      <c r="F2426" s="34">
        <f>IF(A2426="","",IFERROR(INT(A2426),"check date"))</f>
        <v/>
      </c>
      <c r="G2426" s="35">
        <f>IF(B2426="","",IFERROR(INDEX(Students!$A:$A,MATCH(TRIM(B2426),Students!$A:$A,0)),"NOT ON LIST"))</f>
        <v/>
      </c>
      <c r="H2426" s="35">
        <f>IF(OR(G2426="",G2426="NOT ON LIST"),"",VLOOKUP(G2426,Students!$A:$C,2,FALSE))</f>
        <v/>
      </c>
      <c r="I2426" s="35">
        <f>IF(OR(G2426="",G2426="NOT ON LIST"),"",VLOOKUP(G2426,Students!$A:$C,3,FALSE)&amp;"")</f>
        <v/>
      </c>
    </row>
    <row r="2427">
      <c r="A2427" s="31" t="n"/>
      <c r="B2427" s="32" t="n"/>
      <c r="C2427" s="32" t="n"/>
      <c r="D2427" s="33" t="n"/>
      <c r="E2427" s="32" t="n"/>
      <c r="F2427" s="34">
        <f>IF(A2427="","",IFERROR(INT(A2427),"check date"))</f>
        <v/>
      </c>
      <c r="G2427" s="35">
        <f>IF(B2427="","",IFERROR(INDEX(Students!$A:$A,MATCH(TRIM(B2427),Students!$A:$A,0)),"NOT ON LIST"))</f>
        <v/>
      </c>
      <c r="H2427" s="35">
        <f>IF(OR(G2427="",G2427="NOT ON LIST"),"",VLOOKUP(G2427,Students!$A:$C,2,FALSE))</f>
        <v/>
      </c>
      <c r="I2427" s="35">
        <f>IF(OR(G2427="",G2427="NOT ON LIST"),"",VLOOKUP(G2427,Students!$A:$C,3,FALSE)&amp;"")</f>
        <v/>
      </c>
    </row>
    <row r="2428">
      <c r="A2428" s="31" t="n"/>
      <c r="B2428" s="32" t="n"/>
      <c r="C2428" s="32" t="n"/>
      <c r="D2428" s="33" t="n"/>
      <c r="E2428" s="32" t="n"/>
      <c r="F2428" s="34">
        <f>IF(A2428="","",IFERROR(INT(A2428),"check date"))</f>
        <v/>
      </c>
      <c r="G2428" s="35">
        <f>IF(B2428="","",IFERROR(INDEX(Students!$A:$A,MATCH(TRIM(B2428),Students!$A:$A,0)),"NOT ON LIST"))</f>
        <v/>
      </c>
      <c r="H2428" s="35">
        <f>IF(OR(G2428="",G2428="NOT ON LIST"),"",VLOOKUP(G2428,Students!$A:$C,2,FALSE))</f>
        <v/>
      </c>
      <c r="I2428" s="35">
        <f>IF(OR(G2428="",G2428="NOT ON LIST"),"",VLOOKUP(G2428,Students!$A:$C,3,FALSE)&amp;"")</f>
        <v/>
      </c>
    </row>
    <row r="2429">
      <c r="A2429" s="31" t="n"/>
      <c r="B2429" s="32" t="n"/>
      <c r="C2429" s="32" t="n"/>
      <c r="D2429" s="33" t="n"/>
      <c r="E2429" s="32" t="n"/>
      <c r="F2429" s="34">
        <f>IF(A2429="","",IFERROR(INT(A2429),"check date"))</f>
        <v/>
      </c>
      <c r="G2429" s="35">
        <f>IF(B2429="","",IFERROR(INDEX(Students!$A:$A,MATCH(TRIM(B2429),Students!$A:$A,0)),"NOT ON LIST"))</f>
        <v/>
      </c>
      <c r="H2429" s="35">
        <f>IF(OR(G2429="",G2429="NOT ON LIST"),"",VLOOKUP(G2429,Students!$A:$C,2,FALSE))</f>
        <v/>
      </c>
      <c r="I2429" s="35">
        <f>IF(OR(G2429="",G2429="NOT ON LIST"),"",VLOOKUP(G2429,Students!$A:$C,3,FALSE)&amp;"")</f>
        <v/>
      </c>
    </row>
    <row r="2430">
      <c r="A2430" s="31" t="n"/>
      <c r="B2430" s="32" t="n"/>
      <c r="C2430" s="32" t="n"/>
      <c r="D2430" s="33" t="n"/>
      <c r="E2430" s="32" t="n"/>
      <c r="F2430" s="34">
        <f>IF(A2430="","",IFERROR(INT(A2430),"check date"))</f>
        <v/>
      </c>
      <c r="G2430" s="35">
        <f>IF(B2430="","",IFERROR(INDEX(Students!$A:$A,MATCH(TRIM(B2430),Students!$A:$A,0)),"NOT ON LIST"))</f>
        <v/>
      </c>
      <c r="H2430" s="35">
        <f>IF(OR(G2430="",G2430="NOT ON LIST"),"",VLOOKUP(G2430,Students!$A:$C,2,FALSE))</f>
        <v/>
      </c>
      <c r="I2430" s="35">
        <f>IF(OR(G2430="",G2430="NOT ON LIST"),"",VLOOKUP(G2430,Students!$A:$C,3,FALSE)&amp;"")</f>
        <v/>
      </c>
    </row>
    <row r="2431">
      <c r="A2431" s="31" t="n"/>
      <c r="B2431" s="32" t="n"/>
      <c r="C2431" s="32" t="n"/>
      <c r="D2431" s="33" t="n"/>
      <c r="E2431" s="32" t="n"/>
      <c r="F2431" s="34">
        <f>IF(A2431="","",IFERROR(INT(A2431),"check date"))</f>
        <v/>
      </c>
      <c r="G2431" s="35">
        <f>IF(B2431="","",IFERROR(INDEX(Students!$A:$A,MATCH(TRIM(B2431),Students!$A:$A,0)),"NOT ON LIST"))</f>
        <v/>
      </c>
      <c r="H2431" s="35">
        <f>IF(OR(G2431="",G2431="NOT ON LIST"),"",VLOOKUP(G2431,Students!$A:$C,2,FALSE))</f>
        <v/>
      </c>
      <c r="I2431" s="35">
        <f>IF(OR(G2431="",G2431="NOT ON LIST"),"",VLOOKUP(G2431,Students!$A:$C,3,FALSE)&amp;"")</f>
        <v/>
      </c>
    </row>
    <row r="2432">
      <c r="A2432" s="31" t="n"/>
      <c r="B2432" s="32" t="n"/>
      <c r="C2432" s="32" t="n"/>
      <c r="D2432" s="33" t="n"/>
      <c r="E2432" s="32" t="n"/>
      <c r="F2432" s="34">
        <f>IF(A2432="","",IFERROR(INT(A2432),"check date"))</f>
        <v/>
      </c>
      <c r="G2432" s="35">
        <f>IF(B2432="","",IFERROR(INDEX(Students!$A:$A,MATCH(TRIM(B2432),Students!$A:$A,0)),"NOT ON LIST"))</f>
        <v/>
      </c>
      <c r="H2432" s="35">
        <f>IF(OR(G2432="",G2432="NOT ON LIST"),"",VLOOKUP(G2432,Students!$A:$C,2,FALSE))</f>
        <v/>
      </c>
      <c r="I2432" s="35">
        <f>IF(OR(G2432="",G2432="NOT ON LIST"),"",VLOOKUP(G2432,Students!$A:$C,3,FALSE)&amp;"")</f>
        <v/>
      </c>
    </row>
    <row r="2433">
      <c r="A2433" s="31" t="n"/>
      <c r="B2433" s="32" t="n"/>
      <c r="C2433" s="32" t="n"/>
      <c r="D2433" s="33" t="n"/>
      <c r="E2433" s="32" t="n"/>
      <c r="F2433" s="34">
        <f>IF(A2433="","",IFERROR(INT(A2433),"check date"))</f>
        <v/>
      </c>
      <c r="G2433" s="35">
        <f>IF(B2433="","",IFERROR(INDEX(Students!$A:$A,MATCH(TRIM(B2433),Students!$A:$A,0)),"NOT ON LIST"))</f>
        <v/>
      </c>
      <c r="H2433" s="35">
        <f>IF(OR(G2433="",G2433="NOT ON LIST"),"",VLOOKUP(G2433,Students!$A:$C,2,FALSE))</f>
        <v/>
      </c>
      <c r="I2433" s="35">
        <f>IF(OR(G2433="",G2433="NOT ON LIST"),"",VLOOKUP(G2433,Students!$A:$C,3,FALSE)&amp;"")</f>
        <v/>
      </c>
    </row>
    <row r="2434">
      <c r="A2434" s="31" t="n"/>
      <c r="B2434" s="32" t="n"/>
      <c r="C2434" s="32" t="n"/>
      <c r="D2434" s="33" t="n"/>
      <c r="E2434" s="32" t="n"/>
      <c r="F2434" s="34">
        <f>IF(A2434="","",IFERROR(INT(A2434),"check date"))</f>
        <v/>
      </c>
      <c r="G2434" s="35">
        <f>IF(B2434="","",IFERROR(INDEX(Students!$A:$A,MATCH(TRIM(B2434),Students!$A:$A,0)),"NOT ON LIST"))</f>
        <v/>
      </c>
      <c r="H2434" s="35">
        <f>IF(OR(G2434="",G2434="NOT ON LIST"),"",VLOOKUP(G2434,Students!$A:$C,2,FALSE))</f>
        <v/>
      </c>
      <c r="I2434" s="35">
        <f>IF(OR(G2434="",G2434="NOT ON LIST"),"",VLOOKUP(G2434,Students!$A:$C,3,FALSE)&amp;"")</f>
        <v/>
      </c>
    </row>
    <row r="2435">
      <c r="A2435" s="31" t="n"/>
      <c r="B2435" s="32" t="n"/>
      <c r="C2435" s="32" t="n"/>
      <c r="D2435" s="33" t="n"/>
      <c r="E2435" s="32" t="n"/>
      <c r="F2435" s="34">
        <f>IF(A2435="","",IFERROR(INT(A2435),"check date"))</f>
        <v/>
      </c>
      <c r="G2435" s="35">
        <f>IF(B2435="","",IFERROR(INDEX(Students!$A:$A,MATCH(TRIM(B2435),Students!$A:$A,0)),"NOT ON LIST"))</f>
        <v/>
      </c>
      <c r="H2435" s="35">
        <f>IF(OR(G2435="",G2435="NOT ON LIST"),"",VLOOKUP(G2435,Students!$A:$C,2,FALSE))</f>
        <v/>
      </c>
      <c r="I2435" s="35">
        <f>IF(OR(G2435="",G2435="NOT ON LIST"),"",VLOOKUP(G2435,Students!$A:$C,3,FALSE)&amp;"")</f>
        <v/>
      </c>
    </row>
    <row r="2436">
      <c r="A2436" s="31" t="n"/>
      <c r="B2436" s="32" t="n"/>
      <c r="C2436" s="32" t="n"/>
      <c r="D2436" s="33" t="n"/>
      <c r="E2436" s="32" t="n"/>
      <c r="F2436" s="34">
        <f>IF(A2436="","",IFERROR(INT(A2436),"check date"))</f>
        <v/>
      </c>
      <c r="G2436" s="35">
        <f>IF(B2436="","",IFERROR(INDEX(Students!$A:$A,MATCH(TRIM(B2436),Students!$A:$A,0)),"NOT ON LIST"))</f>
        <v/>
      </c>
      <c r="H2436" s="35">
        <f>IF(OR(G2436="",G2436="NOT ON LIST"),"",VLOOKUP(G2436,Students!$A:$C,2,FALSE))</f>
        <v/>
      </c>
      <c r="I2436" s="35">
        <f>IF(OR(G2436="",G2436="NOT ON LIST"),"",VLOOKUP(G2436,Students!$A:$C,3,FALSE)&amp;"")</f>
        <v/>
      </c>
    </row>
    <row r="2437">
      <c r="A2437" s="31" t="n"/>
      <c r="B2437" s="32" t="n"/>
      <c r="C2437" s="32" t="n"/>
      <c r="D2437" s="33" t="n"/>
      <c r="E2437" s="32" t="n"/>
      <c r="F2437" s="34">
        <f>IF(A2437="","",IFERROR(INT(A2437),"check date"))</f>
        <v/>
      </c>
      <c r="G2437" s="35">
        <f>IF(B2437="","",IFERROR(INDEX(Students!$A:$A,MATCH(TRIM(B2437),Students!$A:$A,0)),"NOT ON LIST"))</f>
        <v/>
      </c>
      <c r="H2437" s="35">
        <f>IF(OR(G2437="",G2437="NOT ON LIST"),"",VLOOKUP(G2437,Students!$A:$C,2,FALSE))</f>
        <v/>
      </c>
      <c r="I2437" s="35">
        <f>IF(OR(G2437="",G2437="NOT ON LIST"),"",VLOOKUP(G2437,Students!$A:$C,3,FALSE)&amp;"")</f>
        <v/>
      </c>
    </row>
    <row r="2438">
      <c r="A2438" s="31" t="n"/>
      <c r="B2438" s="32" t="n"/>
      <c r="C2438" s="32" t="n"/>
      <c r="D2438" s="33" t="n"/>
      <c r="E2438" s="32" t="n"/>
      <c r="F2438" s="34">
        <f>IF(A2438="","",IFERROR(INT(A2438),"check date"))</f>
        <v/>
      </c>
      <c r="G2438" s="35">
        <f>IF(B2438="","",IFERROR(INDEX(Students!$A:$A,MATCH(TRIM(B2438),Students!$A:$A,0)),"NOT ON LIST"))</f>
        <v/>
      </c>
      <c r="H2438" s="35">
        <f>IF(OR(G2438="",G2438="NOT ON LIST"),"",VLOOKUP(G2438,Students!$A:$C,2,FALSE))</f>
        <v/>
      </c>
      <c r="I2438" s="35">
        <f>IF(OR(G2438="",G2438="NOT ON LIST"),"",VLOOKUP(G2438,Students!$A:$C,3,FALSE)&amp;"")</f>
        <v/>
      </c>
    </row>
    <row r="2439">
      <c r="A2439" s="31" t="n"/>
      <c r="B2439" s="32" t="n"/>
      <c r="C2439" s="32" t="n"/>
      <c r="D2439" s="33" t="n"/>
      <c r="E2439" s="32" t="n"/>
      <c r="F2439" s="34">
        <f>IF(A2439="","",IFERROR(INT(A2439),"check date"))</f>
        <v/>
      </c>
      <c r="G2439" s="35">
        <f>IF(B2439="","",IFERROR(INDEX(Students!$A:$A,MATCH(TRIM(B2439),Students!$A:$A,0)),"NOT ON LIST"))</f>
        <v/>
      </c>
      <c r="H2439" s="35">
        <f>IF(OR(G2439="",G2439="NOT ON LIST"),"",VLOOKUP(G2439,Students!$A:$C,2,FALSE))</f>
        <v/>
      </c>
      <c r="I2439" s="35">
        <f>IF(OR(G2439="",G2439="NOT ON LIST"),"",VLOOKUP(G2439,Students!$A:$C,3,FALSE)&amp;"")</f>
        <v/>
      </c>
    </row>
    <row r="2440">
      <c r="A2440" s="31" t="n"/>
      <c r="B2440" s="32" t="n"/>
      <c r="C2440" s="32" t="n"/>
      <c r="D2440" s="33" t="n"/>
      <c r="E2440" s="32" t="n"/>
      <c r="F2440" s="34">
        <f>IF(A2440="","",IFERROR(INT(A2440),"check date"))</f>
        <v/>
      </c>
      <c r="G2440" s="35">
        <f>IF(B2440="","",IFERROR(INDEX(Students!$A:$A,MATCH(TRIM(B2440),Students!$A:$A,0)),"NOT ON LIST"))</f>
        <v/>
      </c>
      <c r="H2440" s="35">
        <f>IF(OR(G2440="",G2440="NOT ON LIST"),"",VLOOKUP(G2440,Students!$A:$C,2,FALSE))</f>
        <v/>
      </c>
      <c r="I2440" s="35">
        <f>IF(OR(G2440="",G2440="NOT ON LIST"),"",VLOOKUP(G2440,Students!$A:$C,3,FALSE)&amp;"")</f>
        <v/>
      </c>
    </row>
    <row r="2441">
      <c r="A2441" s="31" t="n"/>
      <c r="B2441" s="32" t="n"/>
      <c r="C2441" s="32" t="n"/>
      <c r="D2441" s="33" t="n"/>
      <c r="E2441" s="32" t="n"/>
      <c r="F2441" s="34">
        <f>IF(A2441="","",IFERROR(INT(A2441),"check date"))</f>
        <v/>
      </c>
      <c r="G2441" s="35">
        <f>IF(B2441="","",IFERROR(INDEX(Students!$A:$A,MATCH(TRIM(B2441),Students!$A:$A,0)),"NOT ON LIST"))</f>
        <v/>
      </c>
      <c r="H2441" s="35">
        <f>IF(OR(G2441="",G2441="NOT ON LIST"),"",VLOOKUP(G2441,Students!$A:$C,2,FALSE))</f>
        <v/>
      </c>
      <c r="I2441" s="35">
        <f>IF(OR(G2441="",G2441="NOT ON LIST"),"",VLOOKUP(G2441,Students!$A:$C,3,FALSE)&amp;"")</f>
        <v/>
      </c>
    </row>
    <row r="2442">
      <c r="A2442" s="31" t="n"/>
      <c r="B2442" s="32" t="n"/>
      <c r="C2442" s="32" t="n"/>
      <c r="D2442" s="33" t="n"/>
      <c r="E2442" s="32" t="n"/>
      <c r="F2442" s="34">
        <f>IF(A2442="","",IFERROR(INT(A2442),"check date"))</f>
        <v/>
      </c>
      <c r="G2442" s="35">
        <f>IF(B2442="","",IFERROR(INDEX(Students!$A:$A,MATCH(TRIM(B2442),Students!$A:$A,0)),"NOT ON LIST"))</f>
        <v/>
      </c>
      <c r="H2442" s="35">
        <f>IF(OR(G2442="",G2442="NOT ON LIST"),"",VLOOKUP(G2442,Students!$A:$C,2,FALSE))</f>
        <v/>
      </c>
      <c r="I2442" s="35">
        <f>IF(OR(G2442="",G2442="NOT ON LIST"),"",VLOOKUP(G2442,Students!$A:$C,3,FALSE)&amp;"")</f>
        <v/>
      </c>
    </row>
    <row r="2443">
      <c r="A2443" s="31" t="n"/>
      <c r="B2443" s="32" t="n"/>
      <c r="C2443" s="32" t="n"/>
      <c r="D2443" s="33" t="n"/>
      <c r="E2443" s="32" t="n"/>
      <c r="F2443" s="34">
        <f>IF(A2443="","",IFERROR(INT(A2443),"check date"))</f>
        <v/>
      </c>
      <c r="G2443" s="35">
        <f>IF(B2443="","",IFERROR(INDEX(Students!$A:$A,MATCH(TRIM(B2443),Students!$A:$A,0)),"NOT ON LIST"))</f>
        <v/>
      </c>
      <c r="H2443" s="35">
        <f>IF(OR(G2443="",G2443="NOT ON LIST"),"",VLOOKUP(G2443,Students!$A:$C,2,FALSE))</f>
        <v/>
      </c>
      <c r="I2443" s="35">
        <f>IF(OR(G2443="",G2443="NOT ON LIST"),"",VLOOKUP(G2443,Students!$A:$C,3,FALSE)&amp;"")</f>
        <v/>
      </c>
    </row>
    <row r="2444">
      <c r="A2444" s="31" t="n"/>
      <c r="B2444" s="32" t="n"/>
      <c r="C2444" s="32" t="n"/>
      <c r="D2444" s="33" t="n"/>
      <c r="E2444" s="32" t="n"/>
      <c r="F2444" s="34">
        <f>IF(A2444="","",IFERROR(INT(A2444),"check date"))</f>
        <v/>
      </c>
      <c r="G2444" s="35">
        <f>IF(B2444="","",IFERROR(INDEX(Students!$A:$A,MATCH(TRIM(B2444),Students!$A:$A,0)),"NOT ON LIST"))</f>
        <v/>
      </c>
      <c r="H2444" s="35">
        <f>IF(OR(G2444="",G2444="NOT ON LIST"),"",VLOOKUP(G2444,Students!$A:$C,2,FALSE))</f>
        <v/>
      </c>
      <c r="I2444" s="35">
        <f>IF(OR(G2444="",G2444="NOT ON LIST"),"",VLOOKUP(G2444,Students!$A:$C,3,FALSE)&amp;"")</f>
        <v/>
      </c>
    </row>
    <row r="2445">
      <c r="A2445" s="31" t="n"/>
      <c r="B2445" s="32" t="n"/>
      <c r="C2445" s="32" t="n"/>
      <c r="D2445" s="33" t="n"/>
      <c r="E2445" s="32" t="n"/>
      <c r="F2445" s="34">
        <f>IF(A2445="","",IFERROR(INT(A2445),"check date"))</f>
        <v/>
      </c>
      <c r="G2445" s="35">
        <f>IF(B2445="","",IFERROR(INDEX(Students!$A:$A,MATCH(TRIM(B2445),Students!$A:$A,0)),"NOT ON LIST"))</f>
        <v/>
      </c>
      <c r="H2445" s="35">
        <f>IF(OR(G2445="",G2445="NOT ON LIST"),"",VLOOKUP(G2445,Students!$A:$C,2,FALSE))</f>
        <v/>
      </c>
      <c r="I2445" s="35">
        <f>IF(OR(G2445="",G2445="NOT ON LIST"),"",VLOOKUP(G2445,Students!$A:$C,3,FALSE)&amp;"")</f>
        <v/>
      </c>
    </row>
    <row r="2446">
      <c r="A2446" s="31" t="n"/>
      <c r="B2446" s="32" t="n"/>
      <c r="C2446" s="32" t="n"/>
      <c r="D2446" s="33" t="n"/>
      <c r="E2446" s="32" t="n"/>
      <c r="F2446" s="34">
        <f>IF(A2446="","",IFERROR(INT(A2446),"check date"))</f>
        <v/>
      </c>
      <c r="G2446" s="35">
        <f>IF(B2446="","",IFERROR(INDEX(Students!$A:$A,MATCH(TRIM(B2446),Students!$A:$A,0)),"NOT ON LIST"))</f>
        <v/>
      </c>
      <c r="H2446" s="35">
        <f>IF(OR(G2446="",G2446="NOT ON LIST"),"",VLOOKUP(G2446,Students!$A:$C,2,FALSE))</f>
        <v/>
      </c>
      <c r="I2446" s="35">
        <f>IF(OR(G2446="",G2446="NOT ON LIST"),"",VLOOKUP(G2446,Students!$A:$C,3,FALSE)&amp;"")</f>
        <v/>
      </c>
    </row>
    <row r="2447">
      <c r="A2447" s="31" t="n"/>
      <c r="B2447" s="32" t="n"/>
      <c r="C2447" s="32" t="n"/>
      <c r="D2447" s="33" t="n"/>
      <c r="E2447" s="32" t="n"/>
      <c r="F2447" s="34">
        <f>IF(A2447="","",IFERROR(INT(A2447),"check date"))</f>
        <v/>
      </c>
      <c r="G2447" s="35">
        <f>IF(B2447="","",IFERROR(INDEX(Students!$A:$A,MATCH(TRIM(B2447),Students!$A:$A,0)),"NOT ON LIST"))</f>
        <v/>
      </c>
      <c r="H2447" s="35">
        <f>IF(OR(G2447="",G2447="NOT ON LIST"),"",VLOOKUP(G2447,Students!$A:$C,2,FALSE))</f>
        <v/>
      </c>
      <c r="I2447" s="35">
        <f>IF(OR(G2447="",G2447="NOT ON LIST"),"",VLOOKUP(G2447,Students!$A:$C,3,FALSE)&amp;"")</f>
        <v/>
      </c>
    </row>
    <row r="2448">
      <c r="A2448" s="31" t="n"/>
      <c r="B2448" s="32" t="n"/>
      <c r="C2448" s="32" t="n"/>
      <c r="D2448" s="33" t="n"/>
      <c r="E2448" s="32" t="n"/>
      <c r="F2448" s="34">
        <f>IF(A2448="","",IFERROR(INT(A2448),"check date"))</f>
        <v/>
      </c>
      <c r="G2448" s="35">
        <f>IF(B2448="","",IFERROR(INDEX(Students!$A:$A,MATCH(TRIM(B2448),Students!$A:$A,0)),"NOT ON LIST"))</f>
        <v/>
      </c>
      <c r="H2448" s="35">
        <f>IF(OR(G2448="",G2448="NOT ON LIST"),"",VLOOKUP(G2448,Students!$A:$C,2,FALSE))</f>
        <v/>
      </c>
      <c r="I2448" s="35">
        <f>IF(OR(G2448="",G2448="NOT ON LIST"),"",VLOOKUP(G2448,Students!$A:$C,3,FALSE)&amp;"")</f>
        <v/>
      </c>
    </row>
    <row r="2449">
      <c r="A2449" s="31" t="n"/>
      <c r="B2449" s="32" t="n"/>
      <c r="C2449" s="32" t="n"/>
      <c r="D2449" s="33" t="n"/>
      <c r="E2449" s="32" t="n"/>
      <c r="F2449" s="34">
        <f>IF(A2449="","",IFERROR(INT(A2449),"check date"))</f>
        <v/>
      </c>
      <c r="G2449" s="35">
        <f>IF(B2449="","",IFERROR(INDEX(Students!$A:$A,MATCH(TRIM(B2449),Students!$A:$A,0)),"NOT ON LIST"))</f>
        <v/>
      </c>
      <c r="H2449" s="35">
        <f>IF(OR(G2449="",G2449="NOT ON LIST"),"",VLOOKUP(G2449,Students!$A:$C,2,FALSE))</f>
        <v/>
      </c>
      <c r="I2449" s="35">
        <f>IF(OR(G2449="",G2449="NOT ON LIST"),"",VLOOKUP(G2449,Students!$A:$C,3,FALSE)&amp;"")</f>
        <v/>
      </c>
    </row>
    <row r="2450">
      <c r="A2450" s="31" t="n"/>
      <c r="B2450" s="32" t="n"/>
      <c r="C2450" s="32" t="n"/>
      <c r="D2450" s="33" t="n"/>
      <c r="E2450" s="32" t="n"/>
      <c r="F2450" s="34">
        <f>IF(A2450="","",IFERROR(INT(A2450),"check date"))</f>
        <v/>
      </c>
      <c r="G2450" s="35">
        <f>IF(B2450="","",IFERROR(INDEX(Students!$A:$A,MATCH(TRIM(B2450),Students!$A:$A,0)),"NOT ON LIST"))</f>
        <v/>
      </c>
      <c r="H2450" s="35">
        <f>IF(OR(G2450="",G2450="NOT ON LIST"),"",VLOOKUP(G2450,Students!$A:$C,2,FALSE))</f>
        <v/>
      </c>
      <c r="I2450" s="35">
        <f>IF(OR(G2450="",G2450="NOT ON LIST"),"",VLOOKUP(G2450,Students!$A:$C,3,FALSE)&amp;"")</f>
        <v/>
      </c>
    </row>
    <row r="2451">
      <c r="A2451" s="31" t="n"/>
      <c r="B2451" s="32" t="n"/>
      <c r="C2451" s="32" t="n"/>
      <c r="D2451" s="33" t="n"/>
      <c r="E2451" s="32" t="n"/>
      <c r="F2451" s="34">
        <f>IF(A2451="","",IFERROR(INT(A2451),"check date"))</f>
        <v/>
      </c>
      <c r="G2451" s="35">
        <f>IF(B2451="","",IFERROR(INDEX(Students!$A:$A,MATCH(TRIM(B2451),Students!$A:$A,0)),"NOT ON LIST"))</f>
        <v/>
      </c>
      <c r="H2451" s="35">
        <f>IF(OR(G2451="",G2451="NOT ON LIST"),"",VLOOKUP(G2451,Students!$A:$C,2,FALSE))</f>
        <v/>
      </c>
      <c r="I2451" s="35">
        <f>IF(OR(G2451="",G2451="NOT ON LIST"),"",VLOOKUP(G2451,Students!$A:$C,3,FALSE)&amp;"")</f>
        <v/>
      </c>
    </row>
    <row r="2452">
      <c r="A2452" s="31" t="n"/>
      <c r="B2452" s="32" t="n"/>
      <c r="C2452" s="32" t="n"/>
      <c r="D2452" s="33" t="n"/>
      <c r="E2452" s="32" t="n"/>
      <c r="F2452" s="34">
        <f>IF(A2452="","",IFERROR(INT(A2452),"check date"))</f>
        <v/>
      </c>
      <c r="G2452" s="35">
        <f>IF(B2452="","",IFERROR(INDEX(Students!$A:$A,MATCH(TRIM(B2452),Students!$A:$A,0)),"NOT ON LIST"))</f>
        <v/>
      </c>
      <c r="H2452" s="35">
        <f>IF(OR(G2452="",G2452="NOT ON LIST"),"",VLOOKUP(G2452,Students!$A:$C,2,FALSE))</f>
        <v/>
      </c>
      <c r="I2452" s="35">
        <f>IF(OR(G2452="",G2452="NOT ON LIST"),"",VLOOKUP(G2452,Students!$A:$C,3,FALSE)&amp;"")</f>
        <v/>
      </c>
    </row>
    <row r="2453">
      <c r="A2453" s="31" t="n"/>
      <c r="B2453" s="32" t="n"/>
      <c r="C2453" s="32" t="n"/>
      <c r="D2453" s="33" t="n"/>
      <c r="E2453" s="32" t="n"/>
      <c r="F2453" s="34">
        <f>IF(A2453="","",IFERROR(INT(A2453),"check date"))</f>
        <v/>
      </c>
      <c r="G2453" s="35">
        <f>IF(B2453="","",IFERROR(INDEX(Students!$A:$A,MATCH(TRIM(B2453),Students!$A:$A,0)),"NOT ON LIST"))</f>
        <v/>
      </c>
      <c r="H2453" s="35">
        <f>IF(OR(G2453="",G2453="NOT ON LIST"),"",VLOOKUP(G2453,Students!$A:$C,2,FALSE))</f>
        <v/>
      </c>
      <c r="I2453" s="35">
        <f>IF(OR(G2453="",G2453="NOT ON LIST"),"",VLOOKUP(G2453,Students!$A:$C,3,FALSE)&amp;"")</f>
        <v/>
      </c>
    </row>
    <row r="2454">
      <c r="A2454" s="31" t="n"/>
      <c r="B2454" s="32" t="n"/>
      <c r="C2454" s="32" t="n"/>
      <c r="D2454" s="33" t="n"/>
      <c r="E2454" s="32" t="n"/>
      <c r="F2454" s="34">
        <f>IF(A2454="","",IFERROR(INT(A2454),"check date"))</f>
        <v/>
      </c>
      <c r="G2454" s="35">
        <f>IF(B2454="","",IFERROR(INDEX(Students!$A:$A,MATCH(TRIM(B2454),Students!$A:$A,0)),"NOT ON LIST"))</f>
        <v/>
      </c>
      <c r="H2454" s="35">
        <f>IF(OR(G2454="",G2454="NOT ON LIST"),"",VLOOKUP(G2454,Students!$A:$C,2,FALSE))</f>
        <v/>
      </c>
      <c r="I2454" s="35">
        <f>IF(OR(G2454="",G2454="NOT ON LIST"),"",VLOOKUP(G2454,Students!$A:$C,3,FALSE)&amp;"")</f>
        <v/>
      </c>
    </row>
    <row r="2455">
      <c r="A2455" s="31" t="n"/>
      <c r="B2455" s="32" t="n"/>
      <c r="C2455" s="32" t="n"/>
      <c r="D2455" s="33" t="n"/>
      <c r="E2455" s="32" t="n"/>
      <c r="F2455" s="34">
        <f>IF(A2455="","",IFERROR(INT(A2455),"check date"))</f>
        <v/>
      </c>
      <c r="G2455" s="35">
        <f>IF(B2455="","",IFERROR(INDEX(Students!$A:$A,MATCH(TRIM(B2455),Students!$A:$A,0)),"NOT ON LIST"))</f>
        <v/>
      </c>
      <c r="H2455" s="35">
        <f>IF(OR(G2455="",G2455="NOT ON LIST"),"",VLOOKUP(G2455,Students!$A:$C,2,FALSE))</f>
        <v/>
      </c>
      <c r="I2455" s="35">
        <f>IF(OR(G2455="",G2455="NOT ON LIST"),"",VLOOKUP(G2455,Students!$A:$C,3,FALSE)&amp;"")</f>
        <v/>
      </c>
    </row>
    <row r="2456">
      <c r="A2456" s="31" t="n"/>
      <c r="B2456" s="32" t="n"/>
      <c r="C2456" s="32" t="n"/>
      <c r="D2456" s="33" t="n"/>
      <c r="E2456" s="32" t="n"/>
      <c r="F2456" s="34">
        <f>IF(A2456="","",IFERROR(INT(A2456),"check date"))</f>
        <v/>
      </c>
      <c r="G2456" s="35">
        <f>IF(B2456="","",IFERROR(INDEX(Students!$A:$A,MATCH(TRIM(B2456),Students!$A:$A,0)),"NOT ON LIST"))</f>
        <v/>
      </c>
      <c r="H2456" s="35">
        <f>IF(OR(G2456="",G2456="NOT ON LIST"),"",VLOOKUP(G2456,Students!$A:$C,2,FALSE))</f>
        <v/>
      </c>
      <c r="I2456" s="35">
        <f>IF(OR(G2456="",G2456="NOT ON LIST"),"",VLOOKUP(G2456,Students!$A:$C,3,FALSE)&amp;"")</f>
        <v/>
      </c>
    </row>
    <row r="2457">
      <c r="A2457" s="31" t="n"/>
      <c r="B2457" s="32" t="n"/>
      <c r="C2457" s="32" t="n"/>
      <c r="D2457" s="33" t="n"/>
      <c r="E2457" s="32" t="n"/>
      <c r="F2457" s="34">
        <f>IF(A2457="","",IFERROR(INT(A2457),"check date"))</f>
        <v/>
      </c>
      <c r="G2457" s="35">
        <f>IF(B2457="","",IFERROR(INDEX(Students!$A:$A,MATCH(TRIM(B2457),Students!$A:$A,0)),"NOT ON LIST"))</f>
        <v/>
      </c>
      <c r="H2457" s="35">
        <f>IF(OR(G2457="",G2457="NOT ON LIST"),"",VLOOKUP(G2457,Students!$A:$C,2,FALSE))</f>
        <v/>
      </c>
      <c r="I2457" s="35">
        <f>IF(OR(G2457="",G2457="NOT ON LIST"),"",VLOOKUP(G2457,Students!$A:$C,3,FALSE)&amp;"")</f>
        <v/>
      </c>
    </row>
    <row r="2458">
      <c r="A2458" s="31" t="n"/>
      <c r="B2458" s="32" t="n"/>
      <c r="C2458" s="32" t="n"/>
      <c r="D2458" s="33" t="n"/>
      <c r="E2458" s="32" t="n"/>
      <c r="F2458" s="34">
        <f>IF(A2458="","",IFERROR(INT(A2458),"check date"))</f>
        <v/>
      </c>
      <c r="G2458" s="35">
        <f>IF(B2458="","",IFERROR(INDEX(Students!$A:$A,MATCH(TRIM(B2458),Students!$A:$A,0)),"NOT ON LIST"))</f>
        <v/>
      </c>
      <c r="H2458" s="35">
        <f>IF(OR(G2458="",G2458="NOT ON LIST"),"",VLOOKUP(G2458,Students!$A:$C,2,FALSE))</f>
        <v/>
      </c>
      <c r="I2458" s="35">
        <f>IF(OR(G2458="",G2458="NOT ON LIST"),"",VLOOKUP(G2458,Students!$A:$C,3,FALSE)&amp;"")</f>
        <v/>
      </c>
    </row>
    <row r="2459">
      <c r="A2459" s="31" t="n"/>
      <c r="B2459" s="32" t="n"/>
      <c r="C2459" s="32" t="n"/>
      <c r="D2459" s="33" t="n"/>
      <c r="E2459" s="32" t="n"/>
      <c r="F2459" s="34">
        <f>IF(A2459="","",IFERROR(INT(A2459),"check date"))</f>
        <v/>
      </c>
      <c r="G2459" s="35">
        <f>IF(B2459="","",IFERROR(INDEX(Students!$A:$A,MATCH(TRIM(B2459),Students!$A:$A,0)),"NOT ON LIST"))</f>
        <v/>
      </c>
      <c r="H2459" s="35">
        <f>IF(OR(G2459="",G2459="NOT ON LIST"),"",VLOOKUP(G2459,Students!$A:$C,2,FALSE))</f>
        <v/>
      </c>
      <c r="I2459" s="35">
        <f>IF(OR(G2459="",G2459="NOT ON LIST"),"",VLOOKUP(G2459,Students!$A:$C,3,FALSE)&amp;"")</f>
        <v/>
      </c>
    </row>
    <row r="2460">
      <c r="A2460" s="31" t="n"/>
      <c r="B2460" s="32" t="n"/>
      <c r="C2460" s="32" t="n"/>
      <c r="D2460" s="33" t="n"/>
      <c r="E2460" s="32" t="n"/>
      <c r="F2460" s="34">
        <f>IF(A2460="","",IFERROR(INT(A2460),"check date"))</f>
        <v/>
      </c>
      <c r="G2460" s="35">
        <f>IF(B2460="","",IFERROR(INDEX(Students!$A:$A,MATCH(TRIM(B2460),Students!$A:$A,0)),"NOT ON LIST"))</f>
        <v/>
      </c>
      <c r="H2460" s="35">
        <f>IF(OR(G2460="",G2460="NOT ON LIST"),"",VLOOKUP(G2460,Students!$A:$C,2,FALSE))</f>
        <v/>
      </c>
      <c r="I2460" s="35">
        <f>IF(OR(G2460="",G2460="NOT ON LIST"),"",VLOOKUP(G2460,Students!$A:$C,3,FALSE)&amp;"")</f>
        <v/>
      </c>
    </row>
    <row r="2461">
      <c r="A2461" s="31" t="n"/>
      <c r="B2461" s="32" t="n"/>
      <c r="C2461" s="32" t="n"/>
      <c r="D2461" s="33" t="n"/>
      <c r="E2461" s="32" t="n"/>
      <c r="F2461" s="34">
        <f>IF(A2461="","",IFERROR(INT(A2461),"check date"))</f>
        <v/>
      </c>
      <c r="G2461" s="35">
        <f>IF(B2461="","",IFERROR(INDEX(Students!$A:$A,MATCH(TRIM(B2461),Students!$A:$A,0)),"NOT ON LIST"))</f>
        <v/>
      </c>
      <c r="H2461" s="35">
        <f>IF(OR(G2461="",G2461="NOT ON LIST"),"",VLOOKUP(G2461,Students!$A:$C,2,FALSE))</f>
        <v/>
      </c>
      <c r="I2461" s="35">
        <f>IF(OR(G2461="",G2461="NOT ON LIST"),"",VLOOKUP(G2461,Students!$A:$C,3,FALSE)&amp;"")</f>
        <v/>
      </c>
    </row>
    <row r="2462">
      <c r="A2462" s="31" t="n"/>
      <c r="B2462" s="32" t="n"/>
      <c r="C2462" s="32" t="n"/>
      <c r="D2462" s="33" t="n"/>
      <c r="E2462" s="32" t="n"/>
      <c r="F2462" s="34">
        <f>IF(A2462="","",IFERROR(INT(A2462),"check date"))</f>
        <v/>
      </c>
      <c r="G2462" s="35">
        <f>IF(B2462="","",IFERROR(INDEX(Students!$A:$A,MATCH(TRIM(B2462),Students!$A:$A,0)),"NOT ON LIST"))</f>
        <v/>
      </c>
      <c r="H2462" s="35">
        <f>IF(OR(G2462="",G2462="NOT ON LIST"),"",VLOOKUP(G2462,Students!$A:$C,2,FALSE))</f>
        <v/>
      </c>
      <c r="I2462" s="35">
        <f>IF(OR(G2462="",G2462="NOT ON LIST"),"",VLOOKUP(G2462,Students!$A:$C,3,FALSE)&amp;"")</f>
        <v/>
      </c>
    </row>
    <row r="2463">
      <c r="A2463" s="31" t="n"/>
      <c r="B2463" s="32" t="n"/>
      <c r="C2463" s="32" t="n"/>
      <c r="D2463" s="33" t="n"/>
      <c r="E2463" s="32" t="n"/>
      <c r="F2463" s="34">
        <f>IF(A2463="","",IFERROR(INT(A2463),"check date"))</f>
        <v/>
      </c>
      <c r="G2463" s="35">
        <f>IF(B2463="","",IFERROR(INDEX(Students!$A:$A,MATCH(TRIM(B2463),Students!$A:$A,0)),"NOT ON LIST"))</f>
        <v/>
      </c>
      <c r="H2463" s="35">
        <f>IF(OR(G2463="",G2463="NOT ON LIST"),"",VLOOKUP(G2463,Students!$A:$C,2,FALSE))</f>
        <v/>
      </c>
      <c r="I2463" s="35">
        <f>IF(OR(G2463="",G2463="NOT ON LIST"),"",VLOOKUP(G2463,Students!$A:$C,3,FALSE)&amp;"")</f>
        <v/>
      </c>
    </row>
    <row r="2464">
      <c r="A2464" s="31" t="n"/>
      <c r="B2464" s="32" t="n"/>
      <c r="C2464" s="32" t="n"/>
      <c r="D2464" s="33" t="n"/>
      <c r="E2464" s="32" t="n"/>
      <c r="F2464" s="34">
        <f>IF(A2464="","",IFERROR(INT(A2464),"check date"))</f>
        <v/>
      </c>
      <c r="G2464" s="35">
        <f>IF(B2464="","",IFERROR(INDEX(Students!$A:$A,MATCH(TRIM(B2464),Students!$A:$A,0)),"NOT ON LIST"))</f>
        <v/>
      </c>
      <c r="H2464" s="35">
        <f>IF(OR(G2464="",G2464="NOT ON LIST"),"",VLOOKUP(G2464,Students!$A:$C,2,FALSE))</f>
        <v/>
      </c>
      <c r="I2464" s="35">
        <f>IF(OR(G2464="",G2464="NOT ON LIST"),"",VLOOKUP(G2464,Students!$A:$C,3,FALSE)&amp;"")</f>
        <v/>
      </c>
    </row>
    <row r="2465">
      <c r="A2465" s="31" t="n"/>
      <c r="B2465" s="32" t="n"/>
      <c r="C2465" s="32" t="n"/>
      <c r="D2465" s="33" t="n"/>
      <c r="E2465" s="32" t="n"/>
      <c r="F2465" s="34">
        <f>IF(A2465="","",IFERROR(INT(A2465),"check date"))</f>
        <v/>
      </c>
      <c r="G2465" s="35">
        <f>IF(B2465="","",IFERROR(INDEX(Students!$A:$A,MATCH(TRIM(B2465),Students!$A:$A,0)),"NOT ON LIST"))</f>
        <v/>
      </c>
      <c r="H2465" s="35">
        <f>IF(OR(G2465="",G2465="NOT ON LIST"),"",VLOOKUP(G2465,Students!$A:$C,2,FALSE))</f>
        <v/>
      </c>
      <c r="I2465" s="35">
        <f>IF(OR(G2465="",G2465="NOT ON LIST"),"",VLOOKUP(G2465,Students!$A:$C,3,FALSE)&amp;"")</f>
        <v/>
      </c>
    </row>
    <row r="2466">
      <c r="A2466" s="31" t="n"/>
      <c r="B2466" s="32" t="n"/>
      <c r="C2466" s="32" t="n"/>
      <c r="D2466" s="33" t="n"/>
      <c r="E2466" s="32" t="n"/>
      <c r="F2466" s="34">
        <f>IF(A2466="","",IFERROR(INT(A2466),"check date"))</f>
        <v/>
      </c>
      <c r="G2466" s="35">
        <f>IF(B2466="","",IFERROR(INDEX(Students!$A:$A,MATCH(TRIM(B2466),Students!$A:$A,0)),"NOT ON LIST"))</f>
        <v/>
      </c>
      <c r="H2466" s="35">
        <f>IF(OR(G2466="",G2466="NOT ON LIST"),"",VLOOKUP(G2466,Students!$A:$C,2,FALSE))</f>
        <v/>
      </c>
      <c r="I2466" s="35">
        <f>IF(OR(G2466="",G2466="NOT ON LIST"),"",VLOOKUP(G2466,Students!$A:$C,3,FALSE)&amp;"")</f>
        <v/>
      </c>
    </row>
    <row r="2467">
      <c r="A2467" s="31" t="n"/>
      <c r="B2467" s="32" t="n"/>
      <c r="C2467" s="32" t="n"/>
      <c r="D2467" s="33" t="n"/>
      <c r="E2467" s="32" t="n"/>
      <c r="F2467" s="34">
        <f>IF(A2467="","",IFERROR(INT(A2467),"check date"))</f>
        <v/>
      </c>
      <c r="G2467" s="35">
        <f>IF(B2467="","",IFERROR(INDEX(Students!$A:$A,MATCH(TRIM(B2467),Students!$A:$A,0)),"NOT ON LIST"))</f>
        <v/>
      </c>
      <c r="H2467" s="35">
        <f>IF(OR(G2467="",G2467="NOT ON LIST"),"",VLOOKUP(G2467,Students!$A:$C,2,FALSE))</f>
        <v/>
      </c>
      <c r="I2467" s="35">
        <f>IF(OR(G2467="",G2467="NOT ON LIST"),"",VLOOKUP(G2467,Students!$A:$C,3,FALSE)&amp;"")</f>
        <v/>
      </c>
    </row>
    <row r="2468">
      <c r="A2468" s="31" t="n"/>
      <c r="B2468" s="32" t="n"/>
      <c r="C2468" s="32" t="n"/>
      <c r="D2468" s="33" t="n"/>
      <c r="E2468" s="32" t="n"/>
      <c r="F2468" s="34">
        <f>IF(A2468="","",IFERROR(INT(A2468),"check date"))</f>
        <v/>
      </c>
      <c r="G2468" s="35">
        <f>IF(B2468="","",IFERROR(INDEX(Students!$A:$A,MATCH(TRIM(B2468),Students!$A:$A,0)),"NOT ON LIST"))</f>
        <v/>
      </c>
      <c r="H2468" s="35">
        <f>IF(OR(G2468="",G2468="NOT ON LIST"),"",VLOOKUP(G2468,Students!$A:$C,2,FALSE))</f>
        <v/>
      </c>
      <c r="I2468" s="35">
        <f>IF(OR(G2468="",G2468="NOT ON LIST"),"",VLOOKUP(G2468,Students!$A:$C,3,FALSE)&amp;"")</f>
        <v/>
      </c>
    </row>
    <row r="2469">
      <c r="A2469" s="31" t="n"/>
      <c r="B2469" s="32" t="n"/>
      <c r="C2469" s="32" t="n"/>
      <c r="D2469" s="33" t="n"/>
      <c r="E2469" s="32" t="n"/>
      <c r="F2469" s="34">
        <f>IF(A2469="","",IFERROR(INT(A2469),"check date"))</f>
        <v/>
      </c>
      <c r="G2469" s="35">
        <f>IF(B2469="","",IFERROR(INDEX(Students!$A:$A,MATCH(TRIM(B2469),Students!$A:$A,0)),"NOT ON LIST"))</f>
        <v/>
      </c>
      <c r="H2469" s="35">
        <f>IF(OR(G2469="",G2469="NOT ON LIST"),"",VLOOKUP(G2469,Students!$A:$C,2,FALSE))</f>
        <v/>
      </c>
      <c r="I2469" s="35">
        <f>IF(OR(G2469="",G2469="NOT ON LIST"),"",VLOOKUP(G2469,Students!$A:$C,3,FALSE)&amp;"")</f>
        <v/>
      </c>
    </row>
    <row r="2470">
      <c r="A2470" s="31" t="n"/>
      <c r="B2470" s="32" t="n"/>
      <c r="C2470" s="32" t="n"/>
      <c r="D2470" s="33" t="n"/>
      <c r="E2470" s="32" t="n"/>
      <c r="F2470" s="34">
        <f>IF(A2470="","",IFERROR(INT(A2470),"check date"))</f>
        <v/>
      </c>
      <c r="G2470" s="35">
        <f>IF(B2470="","",IFERROR(INDEX(Students!$A:$A,MATCH(TRIM(B2470),Students!$A:$A,0)),"NOT ON LIST"))</f>
        <v/>
      </c>
      <c r="H2470" s="35">
        <f>IF(OR(G2470="",G2470="NOT ON LIST"),"",VLOOKUP(G2470,Students!$A:$C,2,FALSE))</f>
        <v/>
      </c>
      <c r="I2470" s="35">
        <f>IF(OR(G2470="",G2470="NOT ON LIST"),"",VLOOKUP(G2470,Students!$A:$C,3,FALSE)&amp;"")</f>
        <v/>
      </c>
    </row>
    <row r="2471">
      <c r="A2471" s="31" t="n"/>
      <c r="B2471" s="32" t="n"/>
      <c r="C2471" s="32" t="n"/>
      <c r="D2471" s="33" t="n"/>
      <c r="E2471" s="32" t="n"/>
      <c r="F2471" s="34">
        <f>IF(A2471="","",IFERROR(INT(A2471),"check date"))</f>
        <v/>
      </c>
      <c r="G2471" s="35">
        <f>IF(B2471="","",IFERROR(INDEX(Students!$A:$A,MATCH(TRIM(B2471),Students!$A:$A,0)),"NOT ON LIST"))</f>
        <v/>
      </c>
      <c r="H2471" s="35">
        <f>IF(OR(G2471="",G2471="NOT ON LIST"),"",VLOOKUP(G2471,Students!$A:$C,2,FALSE))</f>
        <v/>
      </c>
      <c r="I2471" s="35">
        <f>IF(OR(G2471="",G2471="NOT ON LIST"),"",VLOOKUP(G2471,Students!$A:$C,3,FALSE)&amp;"")</f>
        <v/>
      </c>
    </row>
    <row r="2472">
      <c r="A2472" s="31" t="n"/>
      <c r="B2472" s="32" t="n"/>
      <c r="C2472" s="32" t="n"/>
      <c r="D2472" s="33" t="n"/>
      <c r="E2472" s="32" t="n"/>
      <c r="F2472" s="34">
        <f>IF(A2472="","",IFERROR(INT(A2472),"check date"))</f>
        <v/>
      </c>
      <c r="G2472" s="35">
        <f>IF(B2472="","",IFERROR(INDEX(Students!$A:$A,MATCH(TRIM(B2472),Students!$A:$A,0)),"NOT ON LIST"))</f>
        <v/>
      </c>
      <c r="H2472" s="35">
        <f>IF(OR(G2472="",G2472="NOT ON LIST"),"",VLOOKUP(G2472,Students!$A:$C,2,FALSE))</f>
        <v/>
      </c>
      <c r="I2472" s="35">
        <f>IF(OR(G2472="",G2472="NOT ON LIST"),"",VLOOKUP(G2472,Students!$A:$C,3,FALSE)&amp;"")</f>
        <v/>
      </c>
    </row>
    <row r="2473">
      <c r="A2473" s="31" t="n"/>
      <c r="B2473" s="32" t="n"/>
      <c r="C2473" s="32" t="n"/>
      <c r="D2473" s="33" t="n"/>
      <c r="E2473" s="32" t="n"/>
      <c r="F2473" s="34">
        <f>IF(A2473="","",IFERROR(INT(A2473),"check date"))</f>
        <v/>
      </c>
      <c r="G2473" s="35">
        <f>IF(B2473="","",IFERROR(INDEX(Students!$A:$A,MATCH(TRIM(B2473),Students!$A:$A,0)),"NOT ON LIST"))</f>
        <v/>
      </c>
      <c r="H2473" s="35">
        <f>IF(OR(G2473="",G2473="NOT ON LIST"),"",VLOOKUP(G2473,Students!$A:$C,2,FALSE))</f>
        <v/>
      </c>
      <c r="I2473" s="35">
        <f>IF(OR(G2473="",G2473="NOT ON LIST"),"",VLOOKUP(G2473,Students!$A:$C,3,FALSE)&amp;"")</f>
        <v/>
      </c>
    </row>
    <row r="2474">
      <c r="A2474" s="31" t="n"/>
      <c r="B2474" s="32" t="n"/>
      <c r="C2474" s="32" t="n"/>
      <c r="D2474" s="33" t="n"/>
      <c r="E2474" s="32" t="n"/>
      <c r="F2474" s="34">
        <f>IF(A2474="","",IFERROR(INT(A2474),"check date"))</f>
        <v/>
      </c>
      <c r="G2474" s="35">
        <f>IF(B2474="","",IFERROR(INDEX(Students!$A:$A,MATCH(TRIM(B2474),Students!$A:$A,0)),"NOT ON LIST"))</f>
        <v/>
      </c>
      <c r="H2474" s="35">
        <f>IF(OR(G2474="",G2474="NOT ON LIST"),"",VLOOKUP(G2474,Students!$A:$C,2,FALSE))</f>
        <v/>
      </c>
      <c r="I2474" s="35">
        <f>IF(OR(G2474="",G2474="NOT ON LIST"),"",VLOOKUP(G2474,Students!$A:$C,3,FALSE)&amp;"")</f>
        <v/>
      </c>
    </row>
    <row r="2475">
      <c r="A2475" s="31" t="n"/>
      <c r="B2475" s="32" t="n"/>
      <c r="C2475" s="32" t="n"/>
      <c r="D2475" s="33" t="n"/>
      <c r="E2475" s="32" t="n"/>
      <c r="F2475" s="34">
        <f>IF(A2475="","",IFERROR(INT(A2475),"check date"))</f>
        <v/>
      </c>
      <c r="G2475" s="35">
        <f>IF(B2475="","",IFERROR(INDEX(Students!$A:$A,MATCH(TRIM(B2475),Students!$A:$A,0)),"NOT ON LIST"))</f>
        <v/>
      </c>
      <c r="H2475" s="35">
        <f>IF(OR(G2475="",G2475="NOT ON LIST"),"",VLOOKUP(G2475,Students!$A:$C,2,FALSE))</f>
        <v/>
      </c>
      <c r="I2475" s="35">
        <f>IF(OR(G2475="",G2475="NOT ON LIST"),"",VLOOKUP(G2475,Students!$A:$C,3,FALSE)&amp;"")</f>
        <v/>
      </c>
    </row>
    <row r="2476">
      <c r="A2476" s="31" t="n"/>
      <c r="B2476" s="32" t="n"/>
      <c r="C2476" s="32" t="n"/>
      <c r="D2476" s="33" t="n"/>
      <c r="E2476" s="32" t="n"/>
      <c r="F2476" s="34">
        <f>IF(A2476="","",IFERROR(INT(A2476),"check date"))</f>
        <v/>
      </c>
      <c r="G2476" s="35">
        <f>IF(B2476="","",IFERROR(INDEX(Students!$A:$A,MATCH(TRIM(B2476),Students!$A:$A,0)),"NOT ON LIST"))</f>
        <v/>
      </c>
      <c r="H2476" s="35">
        <f>IF(OR(G2476="",G2476="NOT ON LIST"),"",VLOOKUP(G2476,Students!$A:$C,2,FALSE))</f>
        <v/>
      </c>
      <c r="I2476" s="35">
        <f>IF(OR(G2476="",G2476="NOT ON LIST"),"",VLOOKUP(G2476,Students!$A:$C,3,FALSE)&amp;"")</f>
        <v/>
      </c>
    </row>
    <row r="2477">
      <c r="A2477" s="31" t="n"/>
      <c r="B2477" s="32" t="n"/>
      <c r="C2477" s="32" t="n"/>
      <c r="D2477" s="33" t="n"/>
      <c r="E2477" s="32" t="n"/>
      <c r="F2477" s="34">
        <f>IF(A2477="","",IFERROR(INT(A2477),"check date"))</f>
        <v/>
      </c>
      <c r="G2477" s="35">
        <f>IF(B2477="","",IFERROR(INDEX(Students!$A:$A,MATCH(TRIM(B2477),Students!$A:$A,0)),"NOT ON LIST"))</f>
        <v/>
      </c>
      <c r="H2477" s="35">
        <f>IF(OR(G2477="",G2477="NOT ON LIST"),"",VLOOKUP(G2477,Students!$A:$C,2,FALSE))</f>
        <v/>
      </c>
      <c r="I2477" s="35">
        <f>IF(OR(G2477="",G2477="NOT ON LIST"),"",VLOOKUP(G2477,Students!$A:$C,3,FALSE)&amp;"")</f>
        <v/>
      </c>
    </row>
    <row r="2478">
      <c r="A2478" s="31" t="n"/>
      <c r="B2478" s="32" t="n"/>
      <c r="C2478" s="32" t="n"/>
      <c r="D2478" s="33" t="n"/>
      <c r="E2478" s="32" t="n"/>
      <c r="F2478" s="34">
        <f>IF(A2478="","",IFERROR(INT(A2478),"check date"))</f>
        <v/>
      </c>
      <c r="G2478" s="35">
        <f>IF(B2478="","",IFERROR(INDEX(Students!$A:$A,MATCH(TRIM(B2478),Students!$A:$A,0)),"NOT ON LIST"))</f>
        <v/>
      </c>
      <c r="H2478" s="35">
        <f>IF(OR(G2478="",G2478="NOT ON LIST"),"",VLOOKUP(G2478,Students!$A:$C,2,FALSE))</f>
        <v/>
      </c>
      <c r="I2478" s="35">
        <f>IF(OR(G2478="",G2478="NOT ON LIST"),"",VLOOKUP(G2478,Students!$A:$C,3,FALSE)&amp;"")</f>
        <v/>
      </c>
    </row>
    <row r="2479">
      <c r="A2479" s="31" t="n"/>
      <c r="B2479" s="32" t="n"/>
      <c r="C2479" s="32" t="n"/>
      <c r="D2479" s="33" t="n"/>
      <c r="E2479" s="32" t="n"/>
      <c r="F2479" s="34">
        <f>IF(A2479="","",IFERROR(INT(A2479),"check date"))</f>
        <v/>
      </c>
      <c r="G2479" s="35">
        <f>IF(B2479="","",IFERROR(INDEX(Students!$A:$A,MATCH(TRIM(B2479),Students!$A:$A,0)),"NOT ON LIST"))</f>
        <v/>
      </c>
      <c r="H2479" s="35">
        <f>IF(OR(G2479="",G2479="NOT ON LIST"),"",VLOOKUP(G2479,Students!$A:$C,2,FALSE))</f>
        <v/>
      </c>
      <c r="I2479" s="35">
        <f>IF(OR(G2479="",G2479="NOT ON LIST"),"",VLOOKUP(G2479,Students!$A:$C,3,FALSE)&amp;"")</f>
        <v/>
      </c>
    </row>
    <row r="2480">
      <c r="A2480" s="31" t="n"/>
      <c r="B2480" s="32" t="n"/>
      <c r="C2480" s="32" t="n"/>
      <c r="D2480" s="33" t="n"/>
      <c r="E2480" s="32" t="n"/>
      <c r="F2480" s="34">
        <f>IF(A2480="","",IFERROR(INT(A2480),"check date"))</f>
        <v/>
      </c>
      <c r="G2480" s="35">
        <f>IF(B2480="","",IFERROR(INDEX(Students!$A:$A,MATCH(TRIM(B2480),Students!$A:$A,0)),"NOT ON LIST"))</f>
        <v/>
      </c>
      <c r="H2480" s="35">
        <f>IF(OR(G2480="",G2480="NOT ON LIST"),"",VLOOKUP(G2480,Students!$A:$C,2,FALSE))</f>
        <v/>
      </c>
      <c r="I2480" s="35">
        <f>IF(OR(G2480="",G2480="NOT ON LIST"),"",VLOOKUP(G2480,Students!$A:$C,3,FALSE)&amp;"")</f>
        <v/>
      </c>
    </row>
    <row r="2481">
      <c r="A2481" s="31" t="n"/>
      <c r="B2481" s="32" t="n"/>
      <c r="C2481" s="32" t="n"/>
      <c r="D2481" s="33" t="n"/>
      <c r="E2481" s="32" t="n"/>
      <c r="F2481" s="34">
        <f>IF(A2481="","",IFERROR(INT(A2481),"check date"))</f>
        <v/>
      </c>
      <c r="G2481" s="35">
        <f>IF(B2481="","",IFERROR(INDEX(Students!$A:$A,MATCH(TRIM(B2481),Students!$A:$A,0)),"NOT ON LIST"))</f>
        <v/>
      </c>
      <c r="H2481" s="35">
        <f>IF(OR(G2481="",G2481="NOT ON LIST"),"",VLOOKUP(G2481,Students!$A:$C,2,FALSE))</f>
        <v/>
      </c>
      <c r="I2481" s="35">
        <f>IF(OR(G2481="",G2481="NOT ON LIST"),"",VLOOKUP(G2481,Students!$A:$C,3,FALSE)&amp;"")</f>
        <v/>
      </c>
    </row>
    <row r="2482">
      <c r="A2482" s="31" t="n"/>
      <c r="B2482" s="32" t="n"/>
      <c r="C2482" s="32" t="n"/>
      <c r="D2482" s="33" t="n"/>
      <c r="E2482" s="32" t="n"/>
      <c r="F2482" s="34">
        <f>IF(A2482="","",IFERROR(INT(A2482),"check date"))</f>
        <v/>
      </c>
      <c r="G2482" s="35">
        <f>IF(B2482="","",IFERROR(INDEX(Students!$A:$A,MATCH(TRIM(B2482),Students!$A:$A,0)),"NOT ON LIST"))</f>
        <v/>
      </c>
      <c r="H2482" s="35">
        <f>IF(OR(G2482="",G2482="NOT ON LIST"),"",VLOOKUP(G2482,Students!$A:$C,2,FALSE))</f>
        <v/>
      </c>
      <c r="I2482" s="35">
        <f>IF(OR(G2482="",G2482="NOT ON LIST"),"",VLOOKUP(G2482,Students!$A:$C,3,FALSE)&amp;"")</f>
        <v/>
      </c>
    </row>
    <row r="2483">
      <c r="A2483" s="31" t="n"/>
      <c r="B2483" s="32" t="n"/>
      <c r="C2483" s="32" t="n"/>
      <c r="D2483" s="33" t="n"/>
      <c r="E2483" s="32" t="n"/>
      <c r="F2483" s="34">
        <f>IF(A2483="","",IFERROR(INT(A2483),"check date"))</f>
        <v/>
      </c>
      <c r="G2483" s="35">
        <f>IF(B2483="","",IFERROR(INDEX(Students!$A:$A,MATCH(TRIM(B2483),Students!$A:$A,0)),"NOT ON LIST"))</f>
        <v/>
      </c>
      <c r="H2483" s="35">
        <f>IF(OR(G2483="",G2483="NOT ON LIST"),"",VLOOKUP(G2483,Students!$A:$C,2,FALSE))</f>
        <v/>
      </c>
      <c r="I2483" s="35">
        <f>IF(OR(G2483="",G2483="NOT ON LIST"),"",VLOOKUP(G2483,Students!$A:$C,3,FALSE)&amp;"")</f>
        <v/>
      </c>
    </row>
    <row r="2484">
      <c r="A2484" s="31" t="n"/>
      <c r="B2484" s="32" t="n"/>
      <c r="C2484" s="32" t="n"/>
      <c r="D2484" s="33" t="n"/>
      <c r="E2484" s="32" t="n"/>
      <c r="F2484" s="34">
        <f>IF(A2484="","",IFERROR(INT(A2484),"check date"))</f>
        <v/>
      </c>
      <c r="G2484" s="35">
        <f>IF(B2484="","",IFERROR(INDEX(Students!$A:$A,MATCH(TRIM(B2484),Students!$A:$A,0)),"NOT ON LIST"))</f>
        <v/>
      </c>
      <c r="H2484" s="35">
        <f>IF(OR(G2484="",G2484="NOT ON LIST"),"",VLOOKUP(G2484,Students!$A:$C,2,FALSE))</f>
        <v/>
      </c>
      <c r="I2484" s="35">
        <f>IF(OR(G2484="",G2484="NOT ON LIST"),"",VLOOKUP(G2484,Students!$A:$C,3,FALSE)&amp;"")</f>
        <v/>
      </c>
    </row>
    <row r="2485">
      <c r="A2485" s="31" t="n"/>
      <c r="B2485" s="32" t="n"/>
      <c r="C2485" s="32" t="n"/>
      <c r="D2485" s="33" t="n"/>
      <c r="E2485" s="32" t="n"/>
      <c r="F2485" s="34">
        <f>IF(A2485="","",IFERROR(INT(A2485),"check date"))</f>
        <v/>
      </c>
      <c r="G2485" s="35">
        <f>IF(B2485="","",IFERROR(INDEX(Students!$A:$A,MATCH(TRIM(B2485),Students!$A:$A,0)),"NOT ON LIST"))</f>
        <v/>
      </c>
      <c r="H2485" s="35">
        <f>IF(OR(G2485="",G2485="NOT ON LIST"),"",VLOOKUP(G2485,Students!$A:$C,2,FALSE))</f>
        <v/>
      </c>
      <c r="I2485" s="35">
        <f>IF(OR(G2485="",G2485="NOT ON LIST"),"",VLOOKUP(G2485,Students!$A:$C,3,FALSE)&amp;"")</f>
        <v/>
      </c>
    </row>
    <row r="2486">
      <c r="A2486" s="31" t="n"/>
      <c r="B2486" s="32" t="n"/>
      <c r="C2486" s="32" t="n"/>
      <c r="D2486" s="33" t="n"/>
      <c r="E2486" s="32" t="n"/>
      <c r="F2486" s="34">
        <f>IF(A2486="","",IFERROR(INT(A2486),"check date"))</f>
        <v/>
      </c>
      <c r="G2486" s="35">
        <f>IF(B2486="","",IFERROR(INDEX(Students!$A:$A,MATCH(TRIM(B2486),Students!$A:$A,0)),"NOT ON LIST"))</f>
        <v/>
      </c>
      <c r="H2486" s="35">
        <f>IF(OR(G2486="",G2486="NOT ON LIST"),"",VLOOKUP(G2486,Students!$A:$C,2,FALSE))</f>
        <v/>
      </c>
      <c r="I2486" s="35">
        <f>IF(OR(G2486="",G2486="NOT ON LIST"),"",VLOOKUP(G2486,Students!$A:$C,3,FALSE)&amp;"")</f>
        <v/>
      </c>
    </row>
    <row r="2487">
      <c r="A2487" s="31" t="n"/>
      <c r="B2487" s="32" t="n"/>
      <c r="C2487" s="32" t="n"/>
      <c r="D2487" s="33" t="n"/>
      <c r="E2487" s="32" t="n"/>
      <c r="F2487" s="34">
        <f>IF(A2487="","",IFERROR(INT(A2487),"check date"))</f>
        <v/>
      </c>
      <c r="G2487" s="35">
        <f>IF(B2487="","",IFERROR(INDEX(Students!$A:$A,MATCH(TRIM(B2487),Students!$A:$A,0)),"NOT ON LIST"))</f>
        <v/>
      </c>
      <c r="H2487" s="35">
        <f>IF(OR(G2487="",G2487="NOT ON LIST"),"",VLOOKUP(G2487,Students!$A:$C,2,FALSE))</f>
        <v/>
      </c>
      <c r="I2487" s="35">
        <f>IF(OR(G2487="",G2487="NOT ON LIST"),"",VLOOKUP(G2487,Students!$A:$C,3,FALSE)&amp;"")</f>
        <v/>
      </c>
    </row>
    <row r="2488">
      <c r="A2488" s="31" t="n"/>
      <c r="B2488" s="32" t="n"/>
      <c r="C2488" s="32" t="n"/>
      <c r="D2488" s="33" t="n"/>
      <c r="E2488" s="32" t="n"/>
      <c r="F2488" s="34">
        <f>IF(A2488="","",IFERROR(INT(A2488),"check date"))</f>
        <v/>
      </c>
      <c r="G2488" s="35">
        <f>IF(B2488="","",IFERROR(INDEX(Students!$A:$A,MATCH(TRIM(B2488),Students!$A:$A,0)),"NOT ON LIST"))</f>
        <v/>
      </c>
      <c r="H2488" s="35">
        <f>IF(OR(G2488="",G2488="NOT ON LIST"),"",VLOOKUP(G2488,Students!$A:$C,2,FALSE))</f>
        <v/>
      </c>
      <c r="I2488" s="35">
        <f>IF(OR(G2488="",G2488="NOT ON LIST"),"",VLOOKUP(G2488,Students!$A:$C,3,FALSE)&amp;"")</f>
        <v/>
      </c>
    </row>
    <row r="2489">
      <c r="A2489" s="31" t="n"/>
      <c r="B2489" s="32" t="n"/>
      <c r="C2489" s="32" t="n"/>
      <c r="D2489" s="33" t="n"/>
      <c r="E2489" s="32" t="n"/>
      <c r="F2489" s="34">
        <f>IF(A2489="","",IFERROR(INT(A2489),"check date"))</f>
        <v/>
      </c>
      <c r="G2489" s="35">
        <f>IF(B2489="","",IFERROR(INDEX(Students!$A:$A,MATCH(TRIM(B2489),Students!$A:$A,0)),"NOT ON LIST"))</f>
        <v/>
      </c>
      <c r="H2489" s="35">
        <f>IF(OR(G2489="",G2489="NOT ON LIST"),"",VLOOKUP(G2489,Students!$A:$C,2,FALSE))</f>
        <v/>
      </c>
      <c r="I2489" s="35">
        <f>IF(OR(G2489="",G2489="NOT ON LIST"),"",VLOOKUP(G2489,Students!$A:$C,3,FALSE)&amp;"")</f>
        <v/>
      </c>
    </row>
    <row r="2490">
      <c r="A2490" s="31" t="n"/>
      <c r="B2490" s="32" t="n"/>
      <c r="C2490" s="32" t="n"/>
      <c r="D2490" s="33" t="n"/>
      <c r="E2490" s="32" t="n"/>
      <c r="F2490" s="34">
        <f>IF(A2490="","",IFERROR(INT(A2490),"check date"))</f>
        <v/>
      </c>
      <c r="G2490" s="35">
        <f>IF(B2490="","",IFERROR(INDEX(Students!$A:$A,MATCH(TRIM(B2490),Students!$A:$A,0)),"NOT ON LIST"))</f>
        <v/>
      </c>
      <c r="H2490" s="35">
        <f>IF(OR(G2490="",G2490="NOT ON LIST"),"",VLOOKUP(G2490,Students!$A:$C,2,FALSE))</f>
        <v/>
      </c>
      <c r="I2490" s="35">
        <f>IF(OR(G2490="",G2490="NOT ON LIST"),"",VLOOKUP(G2490,Students!$A:$C,3,FALSE)&amp;"")</f>
        <v/>
      </c>
    </row>
    <row r="2491">
      <c r="A2491" s="31" t="n"/>
      <c r="B2491" s="32" t="n"/>
      <c r="C2491" s="32" t="n"/>
      <c r="D2491" s="33" t="n"/>
      <c r="E2491" s="32" t="n"/>
      <c r="F2491" s="34">
        <f>IF(A2491="","",IFERROR(INT(A2491),"check date"))</f>
        <v/>
      </c>
      <c r="G2491" s="35">
        <f>IF(B2491="","",IFERROR(INDEX(Students!$A:$A,MATCH(TRIM(B2491),Students!$A:$A,0)),"NOT ON LIST"))</f>
        <v/>
      </c>
      <c r="H2491" s="35">
        <f>IF(OR(G2491="",G2491="NOT ON LIST"),"",VLOOKUP(G2491,Students!$A:$C,2,FALSE))</f>
        <v/>
      </c>
      <c r="I2491" s="35">
        <f>IF(OR(G2491="",G2491="NOT ON LIST"),"",VLOOKUP(G2491,Students!$A:$C,3,FALSE)&amp;"")</f>
        <v/>
      </c>
    </row>
    <row r="2492">
      <c r="A2492" s="31" t="n"/>
      <c r="B2492" s="32" t="n"/>
      <c r="C2492" s="32" t="n"/>
      <c r="D2492" s="33" t="n"/>
      <c r="E2492" s="32" t="n"/>
      <c r="F2492" s="34">
        <f>IF(A2492="","",IFERROR(INT(A2492),"check date"))</f>
        <v/>
      </c>
      <c r="G2492" s="35">
        <f>IF(B2492="","",IFERROR(INDEX(Students!$A:$A,MATCH(TRIM(B2492),Students!$A:$A,0)),"NOT ON LIST"))</f>
        <v/>
      </c>
      <c r="H2492" s="35">
        <f>IF(OR(G2492="",G2492="NOT ON LIST"),"",VLOOKUP(G2492,Students!$A:$C,2,FALSE))</f>
        <v/>
      </c>
      <c r="I2492" s="35">
        <f>IF(OR(G2492="",G2492="NOT ON LIST"),"",VLOOKUP(G2492,Students!$A:$C,3,FALSE)&amp;"")</f>
        <v/>
      </c>
    </row>
    <row r="2493">
      <c r="A2493" s="31" t="n"/>
      <c r="B2493" s="32" t="n"/>
      <c r="C2493" s="32" t="n"/>
      <c r="D2493" s="33" t="n"/>
      <c r="E2493" s="32" t="n"/>
      <c r="F2493" s="34">
        <f>IF(A2493="","",IFERROR(INT(A2493),"check date"))</f>
        <v/>
      </c>
      <c r="G2493" s="35">
        <f>IF(B2493="","",IFERROR(INDEX(Students!$A:$A,MATCH(TRIM(B2493),Students!$A:$A,0)),"NOT ON LIST"))</f>
        <v/>
      </c>
      <c r="H2493" s="35">
        <f>IF(OR(G2493="",G2493="NOT ON LIST"),"",VLOOKUP(G2493,Students!$A:$C,2,FALSE))</f>
        <v/>
      </c>
      <c r="I2493" s="35">
        <f>IF(OR(G2493="",G2493="NOT ON LIST"),"",VLOOKUP(G2493,Students!$A:$C,3,FALSE)&amp;"")</f>
        <v/>
      </c>
    </row>
    <row r="2494">
      <c r="A2494" s="31" t="n"/>
      <c r="B2494" s="32" t="n"/>
      <c r="C2494" s="32" t="n"/>
      <c r="D2494" s="33" t="n"/>
      <c r="E2494" s="32" t="n"/>
      <c r="F2494" s="34">
        <f>IF(A2494="","",IFERROR(INT(A2494),"check date"))</f>
        <v/>
      </c>
      <c r="G2494" s="35">
        <f>IF(B2494="","",IFERROR(INDEX(Students!$A:$A,MATCH(TRIM(B2494),Students!$A:$A,0)),"NOT ON LIST"))</f>
        <v/>
      </c>
      <c r="H2494" s="35">
        <f>IF(OR(G2494="",G2494="NOT ON LIST"),"",VLOOKUP(G2494,Students!$A:$C,2,FALSE))</f>
        <v/>
      </c>
      <c r="I2494" s="35">
        <f>IF(OR(G2494="",G2494="NOT ON LIST"),"",VLOOKUP(G2494,Students!$A:$C,3,FALSE)&amp;"")</f>
        <v/>
      </c>
    </row>
    <row r="2495">
      <c r="A2495" s="31" t="n"/>
      <c r="B2495" s="32" t="n"/>
      <c r="C2495" s="32" t="n"/>
      <c r="D2495" s="33" t="n"/>
      <c r="E2495" s="32" t="n"/>
      <c r="F2495" s="34">
        <f>IF(A2495="","",IFERROR(INT(A2495),"check date"))</f>
        <v/>
      </c>
      <c r="G2495" s="35">
        <f>IF(B2495="","",IFERROR(INDEX(Students!$A:$A,MATCH(TRIM(B2495),Students!$A:$A,0)),"NOT ON LIST"))</f>
        <v/>
      </c>
      <c r="H2495" s="35">
        <f>IF(OR(G2495="",G2495="NOT ON LIST"),"",VLOOKUP(G2495,Students!$A:$C,2,FALSE))</f>
        <v/>
      </c>
      <c r="I2495" s="35">
        <f>IF(OR(G2495="",G2495="NOT ON LIST"),"",VLOOKUP(G2495,Students!$A:$C,3,FALSE)&amp;"")</f>
        <v/>
      </c>
    </row>
    <row r="2496">
      <c r="A2496" s="31" t="n"/>
      <c r="B2496" s="32" t="n"/>
      <c r="C2496" s="32" t="n"/>
      <c r="D2496" s="33" t="n"/>
      <c r="E2496" s="32" t="n"/>
      <c r="F2496" s="34">
        <f>IF(A2496="","",IFERROR(INT(A2496),"check date"))</f>
        <v/>
      </c>
      <c r="G2496" s="35">
        <f>IF(B2496="","",IFERROR(INDEX(Students!$A:$A,MATCH(TRIM(B2496),Students!$A:$A,0)),"NOT ON LIST"))</f>
        <v/>
      </c>
      <c r="H2496" s="35">
        <f>IF(OR(G2496="",G2496="NOT ON LIST"),"",VLOOKUP(G2496,Students!$A:$C,2,FALSE))</f>
        <v/>
      </c>
      <c r="I2496" s="35">
        <f>IF(OR(G2496="",G2496="NOT ON LIST"),"",VLOOKUP(G2496,Students!$A:$C,3,FALSE)&amp;"")</f>
        <v/>
      </c>
    </row>
    <row r="2497">
      <c r="A2497" s="31" t="n"/>
      <c r="B2497" s="32" t="n"/>
      <c r="C2497" s="32" t="n"/>
      <c r="D2497" s="33" t="n"/>
      <c r="E2497" s="32" t="n"/>
      <c r="F2497" s="34">
        <f>IF(A2497="","",IFERROR(INT(A2497),"check date"))</f>
        <v/>
      </c>
      <c r="G2497" s="35">
        <f>IF(B2497="","",IFERROR(INDEX(Students!$A:$A,MATCH(TRIM(B2497),Students!$A:$A,0)),"NOT ON LIST"))</f>
        <v/>
      </c>
      <c r="H2497" s="35">
        <f>IF(OR(G2497="",G2497="NOT ON LIST"),"",VLOOKUP(G2497,Students!$A:$C,2,FALSE))</f>
        <v/>
      </c>
      <c r="I2497" s="35">
        <f>IF(OR(G2497="",G2497="NOT ON LIST"),"",VLOOKUP(G2497,Students!$A:$C,3,FALSE)&amp;"")</f>
        <v/>
      </c>
    </row>
    <row r="2498">
      <c r="A2498" s="31" t="n"/>
      <c r="B2498" s="32" t="n"/>
      <c r="C2498" s="32" t="n"/>
      <c r="D2498" s="33" t="n"/>
      <c r="E2498" s="32" t="n"/>
      <c r="F2498" s="34">
        <f>IF(A2498="","",IFERROR(INT(A2498),"check date"))</f>
        <v/>
      </c>
      <c r="G2498" s="35">
        <f>IF(B2498="","",IFERROR(INDEX(Students!$A:$A,MATCH(TRIM(B2498),Students!$A:$A,0)),"NOT ON LIST"))</f>
        <v/>
      </c>
      <c r="H2498" s="35">
        <f>IF(OR(G2498="",G2498="NOT ON LIST"),"",VLOOKUP(G2498,Students!$A:$C,2,FALSE))</f>
        <v/>
      </c>
      <c r="I2498" s="35">
        <f>IF(OR(G2498="",G2498="NOT ON LIST"),"",VLOOKUP(G2498,Students!$A:$C,3,FALSE)&amp;"")</f>
        <v/>
      </c>
    </row>
    <row r="2499">
      <c r="A2499" s="31" t="n"/>
      <c r="B2499" s="32" t="n"/>
      <c r="C2499" s="32" t="n"/>
      <c r="D2499" s="33" t="n"/>
      <c r="E2499" s="32" t="n"/>
      <c r="F2499" s="34">
        <f>IF(A2499="","",IFERROR(INT(A2499),"check date"))</f>
        <v/>
      </c>
      <c r="G2499" s="35">
        <f>IF(B2499="","",IFERROR(INDEX(Students!$A:$A,MATCH(TRIM(B2499),Students!$A:$A,0)),"NOT ON LIST"))</f>
        <v/>
      </c>
      <c r="H2499" s="35">
        <f>IF(OR(G2499="",G2499="NOT ON LIST"),"",VLOOKUP(G2499,Students!$A:$C,2,FALSE))</f>
        <v/>
      </c>
      <c r="I2499" s="35">
        <f>IF(OR(G2499="",G2499="NOT ON LIST"),"",VLOOKUP(G2499,Students!$A:$C,3,FALSE)&amp;"")</f>
        <v/>
      </c>
    </row>
    <row r="2500">
      <c r="A2500" s="31" t="n"/>
      <c r="B2500" s="32" t="n"/>
      <c r="C2500" s="32" t="n"/>
      <c r="D2500" s="33" t="n"/>
      <c r="E2500" s="32" t="n"/>
      <c r="F2500" s="34">
        <f>IF(A2500="","",IFERROR(INT(A2500),"check date"))</f>
        <v/>
      </c>
      <c r="G2500" s="35">
        <f>IF(B2500="","",IFERROR(INDEX(Students!$A:$A,MATCH(TRIM(B2500),Students!$A:$A,0)),"NOT ON LIST"))</f>
        <v/>
      </c>
      <c r="H2500" s="35">
        <f>IF(OR(G2500="",G2500="NOT ON LIST"),"",VLOOKUP(G2500,Students!$A:$C,2,FALSE))</f>
        <v/>
      </c>
      <c r="I2500" s="35">
        <f>IF(OR(G2500="",G2500="NOT ON LIST"),"",VLOOKUP(G2500,Students!$A:$C,3,FALSE)&amp;"")</f>
        <v/>
      </c>
    </row>
    <row r="2501">
      <c r="A2501" s="31" t="n"/>
      <c r="B2501" s="32" t="n"/>
      <c r="C2501" s="32" t="n"/>
      <c r="D2501" s="33" t="n"/>
      <c r="E2501" s="32" t="n"/>
      <c r="F2501" s="34">
        <f>IF(A2501="","",IFERROR(INT(A2501),"check date"))</f>
        <v/>
      </c>
      <c r="G2501" s="35">
        <f>IF(B2501="","",IFERROR(INDEX(Students!$A:$A,MATCH(TRIM(B2501),Students!$A:$A,0)),"NOT ON LIST"))</f>
        <v/>
      </c>
      <c r="H2501" s="35">
        <f>IF(OR(G2501="",G2501="NOT ON LIST"),"",VLOOKUP(G2501,Students!$A:$C,2,FALSE))</f>
        <v/>
      </c>
      <c r="I2501" s="35">
        <f>IF(OR(G2501="",G2501="NOT ON LIST"),"",VLOOKUP(G2501,Students!$A:$C,3,FALSE)&amp;"")</f>
        <v/>
      </c>
    </row>
    <row r="2502">
      <c r="A2502" s="31" t="n"/>
      <c r="B2502" s="32" t="n"/>
      <c r="C2502" s="32" t="n"/>
      <c r="D2502" s="33" t="n"/>
      <c r="E2502" s="32" t="n"/>
      <c r="F2502" s="34">
        <f>IF(A2502="","",IFERROR(INT(A2502),"check date"))</f>
        <v/>
      </c>
      <c r="G2502" s="35">
        <f>IF(B2502="","",IFERROR(INDEX(Students!$A:$A,MATCH(TRIM(B2502),Students!$A:$A,0)),"NOT ON LIST"))</f>
        <v/>
      </c>
      <c r="H2502" s="35">
        <f>IF(OR(G2502="",G2502="NOT ON LIST"),"",VLOOKUP(G2502,Students!$A:$C,2,FALSE))</f>
        <v/>
      </c>
      <c r="I2502" s="35">
        <f>IF(OR(G2502="",G2502="NOT ON LIST"),"",VLOOKUP(G2502,Students!$A:$C,3,FALSE)&amp;"")</f>
        <v/>
      </c>
    </row>
    <row r="2503">
      <c r="A2503" s="31" t="n"/>
      <c r="B2503" s="32" t="n"/>
      <c r="C2503" s="32" t="n"/>
      <c r="D2503" s="33" t="n"/>
      <c r="E2503" s="32" t="n"/>
      <c r="F2503" s="34">
        <f>IF(A2503="","",IFERROR(INT(A2503),"check date"))</f>
        <v/>
      </c>
      <c r="G2503" s="35">
        <f>IF(B2503="","",IFERROR(INDEX(Students!$A:$A,MATCH(TRIM(B2503),Students!$A:$A,0)),"NOT ON LIST"))</f>
        <v/>
      </c>
      <c r="H2503" s="35">
        <f>IF(OR(G2503="",G2503="NOT ON LIST"),"",VLOOKUP(G2503,Students!$A:$C,2,FALSE))</f>
        <v/>
      </c>
      <c r="I2503" s="35">
        <f>IF(OR(G2503="",G2503="NOT ON LIST"),"",VLOOKUP(G2503,Students!$A:$C,3,FALSE)&amp;"")</f>
        <v/>
      </c>
    </row>
    <row r="2504">
      <c r="A2504" s="31" t="n"/>
      <c r="B2504" s="32" t="n"/>
      <c r="C2504" s="32" t="n"/>
      <c r="D2504" s="33" t="n"/>
      <c r="E2504" s="32" t="n"/>
      <c r="F2504" s="34">
        <f>IF(A2504="","",IFERROR(INT(A2504),"check date"))</f>
        <v/>
      </c>
      <c r="G2504" s="35">
        <f>IF(B2504="","",IFERROR(INDEX(Students!$A:$A,MATCH(TRIM(B2504),Students!$A:$A,0)),"NOT ON LIST"))</f>
        <v/>
      </c>
      <c r="H2504" s="35">
        <f>IF(OR(G2504="",G2504="NOT ON LIST"),"",VLOOKUP(G2504,Students!$A:$C,2,FALSE))</f>
        <v/>
      </c>
      <c r="I2504" s="35">
        <f>IF(OR(G2504="",G2504="NOT ON LIST"),"",VLOOKUP(G2504,Students!$A:$C,3,FALSE)&amp;"")</f>
        <v/>
      </c>
    </row>
    <row r="2505">
      <c r="A2505" s="31" t="n"/>
      <c r="B2505" s="32" t="n"/>
      <c r="C2505" s="32" t="n"/>
      <c r="D2505" s="33" t="n"/>
      <c r="E2505" s="32" t="n"/>
      <c r="F2505" s="34">
        <f>IF(A2505="","",IFERROR(INT(A2505),"check date"))</f>
        <v/>
      </c>
      <c r="G2505" s="35">
        <f>IF(B2505="","",IFERROR(INDEX(Students!$A:$A,MATCH(TRIM(B2505),Students!$A:$A,0)),"NOT ON LIST"))</f>
        <v/>
      </c>
      <c r="H2505" s="35">
        <f>IF(OR(G2505="",G2505="NOT ON LIST"),"",VLOOKUP(G2505,Students!$A:$C,2,FALSE))</f>
        <v/>
      </c>
      <c r="I2505" s="35">
        <f>IF(OR(G2505="",G2505="NOT ON LIST"),"",VLOOKUP(G2505,Students!$A:$C,3,FALSE)&amp;"")</f>
        <v/>
      </c>
    </row>
    <row r="2506">
      <c r="A2506" s="31" t="n"/>
      <c r="B2506" s="32" t="n"/>
      <c r="C2506" s="32" t="n"/>
      <c r="D2506" s="33" t="n"/>
      <c r="E2506" s="32" t="n"/>
      <c r="F2506" s="34">
        <f>IF(A2506="","",IFERROR(INT(A2506),"check date"))</f>
        <v/>
      </c>
      <c r="G2506" s="35">
        <f>IF(B2506="","",IFERROR(INDEX(Students!$A:$A,MATCH(TRIM(B2506),Students!$A:$A,0)),"NOT ON LIST"))</f>
        <v/>
      </c>
      <c r="H2506" s="35">
        <f>IF(OR(G2506="",G2506="NOT ON LIST"),"",VLOOKUP(G2506,Students!$A:$C,2,FALSE))</f>
        <v/>
      </c>
      <c r="I2506" s="35">
        <f>IF(OR(G2506="",G2506="NOT ON LIST"),"",VLOOKUP(G2506,Students!$A:$C,3,FALSE)&amp;"")</f>
        <v/>
      </c>
    </row>
    <row r="2507">
      <c r="A2507" s="31" t="n"/>
      <c r="B2507" s="32" t="n"/>
      <c r="C2507" s="32" t="n"/>
      <c r="D2507" s="33" t="n"/>
      <c r="E2507" s="32" t="n"/>
      <c r="F2507" s="34">
        <f>IF(A2507="","",IFERROR(INT(A2507),"check date"))</f>
        <v/>
      </c>
      <c r="G2507" s="35">
        <f>IF(B2507="","",IFERROR(INDEX(Students!$A:$A,MATCH(TRIM(B2507),Students!$A:$A,0)),"NOT ON LIST"))</f>
        <v/>
      </c>
      <c r="H2507" s="35">
        <f>IF(OR(G2507="",G2507="NOT ON LIST"),"",VLOOKUP(G2507,Students!$A:$C,2,FALSE))</f>
        <v/>
      </c>
      <c r="I2507" s="35">
        <f>IF(OR(G2507="",G2507="NOT ON LIST"),"",VLOOKUP(G2507,Students!$A:$C,3,FALSE)&amp;"")</f>
        <v/>
      </c>
    </row>
    <row r="2508">
      <c r="A2508" s="31" t="n"/>
      <c r="B2508" s="32" t="n"/>
      <c r="C2508" s="32" t="n"/>
      <c r="D2508" s="33" t="n"/>
      <c r="E2508" s="32" t="n"/>
      <c r="F2508" s="34">
        <f>IF(A2508="","",IFERROR(INT(A2508),"check date"))</f>
        <v/>
      </c>
      <c r="G2508" s="35">
        <f>IF(B2508="","",IFERROR(INDEX(Students!$A:$A,MATCH(TRIM(B2508),Students!$A:$A,0)),"NOT ON LIST"))</f>
        <v/>
      </c>
      <c r="H2508" s="35">
        <f>IF(OR(G2508="",G2508="NOT ON LIST"),"",VLOOKUP(G2508,Students!$A:$C,2,FALSE))</f>
        <v/>
      </c>
      <c r="I2508" s="35">
        <f>IF(OR(G2508="",G2508="NOT ON LIST"),"",VLOOKUP(G2508,Students!$A:$C,3,FALSE)&amp;"")</f>
        <v/>
      </c>
    </row>
    <row r="2509">
      <c r="A2509" s="31" t="n"/>
      <c r="B2509" s="32" t="n"/>
      <c r="C2509" s="32" t="n"/>
      <c r="D2509" s="33" t="n"/>
      <c r="E2509" s="32" t="n"/>
      <c r="F2509" s="34">
        <f>IF(A2509="","",IFERROR(INT(A2509),"check date"))</f>
        <v/>
      </c>
      <c r="G2509" s="35">
        <f>IF(B2509="","",IFERROR(INDEX(Students!$A:$A,MATCH(TRIM(B2509),Students!$A:$A,0)),"NOT ON LIST"))</f>
        <v/>
      </c>
      <c r="H2509" s="35">
        <f>IF(OR(G2509="",G2509="NOT ON LIST"),"",VLOOKUP(G2509,Students!$A:$C,2,FALSE))</f>
        <v/>
      </c>
      <c r="I2509" s="35">
        <f>IF(OR(G2509="",G2509="NOT ON LIST"),"",VLOOKUP(G2509,Students!$A:$C,3,FALSE)&amp;"")</f>
        <v/>
      </c>
    </row>
    <row r="2510">
      <c r="A2510" s="31" t="n"/>
      <c r="B2510" s="32" t="n"/>
      <c r="C2510" s="32" t="n"/>
      <c r="D2510" s="33" t="n"/>
      <c r="E2510" s="32" t="n"/>
      <c r="F2510" s="34">
        <f>IF(A2510="","",IFERROR(INT(A2510),"check date"))</f>
        <v/>
      </c>
      <c r="G2510" s="35">
        <f>IF(B2510="","",IFERROR(INDEX(Students!$A:$A,MATCH(TRIM(B2510),Students!$A:$A,0)),"NOT ON LIST"))</f>
        <v/>
      </c>
      <c r="H2510" s="35">
        <f>IF(OR(G2510="",G2510="NOT ON LIST"),"",VLOOKUP(G2510,Students!$A:$C,2,FALSE))</f>
        <v/>
      </c>
      <c r="I2510" s="35">
        <f>IF(OR(G2510="",G2510="NOT ON LIST"),"",VLOOKUP(G2510,Students!$A:$C,3,FALSE)&amp;"")</f>
        <v/>
      </c>
    </row>
    <row r="2511">
      <c r="A2511" s="31" t="n"/>
      <c r="B2511" s="32" t="n"/>
      <c r="C2511" s="32" t="n"/>
      <c r="D2511" s="33" t="n"/>
      <c r="E2511" s="32" t="n"/>
      <c r="F2511" s="34">
        <f>IF(A2511="","",IFERROR(INT(A2511),"check date"))</f>
        <v/>
      </c>
      <c r="G2511" s="35">
        <f>IF(B2511="","",IFERROR(INDEX(Students!$A:$A,MATCH(TRIM(B2511),Students!$A:$A,0)),"NOT ON LIST"))</f>
        <v/>
      </c>
      <c r="H2511" s="35">
        <f>IF(OR(G2511="",G2511="NOT ON LIST"),"",VLOOKUP(G2511,Students!$A:$C,2,FALSE))</f>
        <v/>
      </c>
      <c r="I2511" s="35">
        <f>IF(OR(G2511="",G2511="NOT ON LIST"),"",VLOOKUP(G2511,Students!$A:$C,3,FALSE)&amp;"")</f>
        <v/>
      </c>
    </row>
    <row r="2512">
      <c r="A2512" s="31" t="n"/>
      <c r="B2512" s="32" t="n"/>
      <c r="C2512" s="32" t="n"/>
      <c r="D2512" s="33" t="n"/>
      <c r="E2512" s="32" t="n"/>
      <c r="F2512" s="34">
        <f>IF(A2512="","",IFERROR(INT(A2512),"check date"))</f>
        <v/>
      </c>
      <c r="G2512" s="35">
        <f>IF(B2512="","",IFERROR(INDEX(Students!$A:$A,MATCH(TRIM(B2512),Students!$A:$A,0)),"NOT ON LIST"))</f>
        <v/>
      </c>
      <c r="H2512" s="35">
        <f>IF(OR(G2512="",G2512="NOT ON LIST"),"",VLOOKUP(G2512,Students!$A:$C,2,FALSE))</f>
        <v/>
      </c>
      <c r="I2512" s="35">
        <f>IF(OR(G2512="",G2512="NOT ON LIST"),"",VLOOKUP(G2512,Students!$A:$C,3,FALSE)&amp;"")</f>
        <v/>
      </c>
    </row>
    <row r="2513">
      <c r="A2513" s="31" t="n"/>
      <c r="B2513" s="32" t="n"/>
      <c r="C2513" s="32" t="n"/>
      <c r="D2513" s="33" t="n"/>
      <c r="E2513" s="32" t="n"/>
      <c r="F2513" s="34">
        <f>IF(A2513="","",IFERROR(INT(A2513),"check date"))</f>
        <v/>
      </c>
      <c r="G2513" s="35">
        <f>IF(B2513="","",IFERROR(INDEX(Students!$A:$A,MATCH(TRIM(B2513),Students!$A:$A,0)),"NOT ON LIST"))</f>
        <v/>
      </c>
      <c r="H2513" s="35">
        <f>IF(OR(G2513="",G2513="NOT ON LIST"),"",VLOOKUP(G2513,Students!$A:$C,2,FALSE))</f>
        <v/>
      </c>
      <c r="I2513" s="35">
        <f>IF(OR(G2513="",G2513="NOT ON LIST"),"",VLOOKUP(G2513,Students!$A:$C,3,FALSE)&amp;"")</f>
        <v/>
      </c>
    </row>
    <row r="2514">
      <c r="A2514" s="31" t="n"/>
      <c r="B2514" s="32" t="n"/>
      <c r="C2514" s="32" t="n"/>
      <c r="D2514" s="33" t="n"/>
      <c r="E2514" s="32" t="n"/>
      <c r="F2514" s="34">
        <f>IF(A2514="","",IFERROR(INT(A2514),"check date"))</f>
        <v/>
      </c>
      <c r="G2514" s="35">
        <f>IF(B2514="","",IFERROR(INDEX(Students!$A:$A,MATCH(TRIM(B2514),Students!$A:$A,0)),"NOT ON LIST"))</f>
        <v/>
      </c>
      <c r="H2514" s="35">
        <f>IF(OR(G2514="",G2514="NOT ON LIST"),"",VLOOKUP(G2514,Students!$A:$C,2,FALSE))</f>
        <v/>
      </c>
      <c r="I2514" s="35">
        <f>IF(OR(G2514="",G2514="NOT ON LIST"),"",VLOOKUP(G2514,Students!$A:$C,3,FALSE)&amp;"")</f>
        <v/>
      </c>
    </row>
    <row r="2515">
      <c r="A2515" s="31" t="n"/>
      <c r="B2515" s="32" t="n"/>
      <c r="C2515" s="32" t="n"/>
      <c r="D2515" s="33" t="n"/>
      <c r="E2515" s="32" t="n"/>
      <c r="F2515" s="34">
        <f>IF(A2515="","",IFERROR(INT(A2515),"check date"))</f>
        <v/>
      </c>
      <c r="G2515" s="35">
        <f>IF(B2515="","",IFERROR(INDEX(Students!$A:$A,MATCH(TRIM(B2515),Students!$A:$A,0)),"NOT ON LIST"))</f>
        <v/>
      </c>
      <c r="H2515" s="35">
        <f>IF(OR(G2515="",G2515="NOT ON LIST"),"",VLOOKUP(G2515,Students!$A:$C,2,FALSE))</f>
        <v/>
      </c>
      <c r="I2515" s="35">
        <f>IF(OR(G2515="",G2515="NOT ON LIST"),"",VLOOKUP(G2515,Students!$A:$C,3,FALSE)&amp;"")</f>
        <v/>
      </c>
    </row>
    <row r="2516">
      <c r="A2516" s="31" t="n"/>
      <c r="B2516" s="32" t="n"/>
      <c r="C2516" s="32" t="n"/>
      <c r="D2516" s="33" t="n"/>
      <c r="E2516" s="32" t="n"/>
      <c r="F2516" s="34">
        <f>IF(A2516="","",IFERROR(INT(A2516),"check date"))</f>
        <v/>
      </c>
      <c r="G2516" s="35">
        <f>IF(B2516="","",IFERROR(INDEX(Students!$A:$A,MATCH(TRIM(B2516),Students!$A:$A,0)),"NOT ON LIST"))</f>
        <v/>
      </c>
      <c r="H2516" s="35">
        <f>IF(OR(G2516="",G2516="NOT ON LIST"),"",VLOOKUP(G2516,Students!$A:$C,2,FALSE))</f>
        <v/>
      </c>
      <c r="I2516" s="35">
        <f>IF(OR(G2516="",G2516="NOT ON LIST"),"",VLOOKUP(G2516,Students!$A:$C,3,FALSE)&amp;"")</f>
        <v/>
      </c>
    </row>
    <row r="2517">
      <c r="A2517" s="31" t="n"/>
      <c r="B2517" s="32" t="n"/>
      <c r="C2517" s="32" t="n"/>
      <c r="D2517" s="33" t="n"/>
      <c r="E2517" s="32" t="n"/>
      <c r="F2517" s="34">
        <f>IF(A2517="","",IFERROR(INT(A2517),"check date"))</f>
        <v/>
      </c>
      <c r="G2517" s="35">
        <f>IF(B2517="","",IFERROR(INDEX(Students!$A:$A,MATCH(TRIM(B2517),Students!$A:$A,0)),"NOT ON LIST"))</f>
        <v/>
      </c>
      <c r="H2517" s="35">
        <f>IF(OR(G2517="",G2517="NOT ON LIST"),"",VLOOKUP(G2517,Students!$A:$C,2,FALSE))</f>
        <v/>
      </c>
      <c r="I2517" s="35">
        <f>IF(OR(G2517="",G2517="NOT ON LIST"),"",VLOOKUP(G2517,Students!$A:$C,3,FALSE)&amp;"")</f>
        <v/>
      </c>
    </row>
    <row r="2518">
      <c r="A2518" s="31" t="n"/>
      <c r="B2518" s="32" t="n"/>
      <c r="C2518" s="32" t="n"/>
      <c r="D2518" s="33" t="n"/>
      <c r="E2518" s="32" t="n"/>
      <c r="F2518" s="34">
        <f>IF(A2518="","",IFERROR(INT(A2518),"check date"))</f>
        <v/>
      </c>
      <c r="G2518" s="35">
        <f>IF(B2518="","",IFERROR(INDEX(Students!$A:$A,MATCH(TRIM(B2518),Students!$A:$A,0)),"NOT ON LIST"))</f>
        <v/>
      </c>
      <c r="H2518" s="35">
        <f>IF(OR(G2518="",G2518="NOT ON LIST"),"",VLOOKUP(G2518,Students!$A:$C,2,FALSE))</f>
        <v/>
      </c>
      <c r="I2518" s="35">
        <f>IF(OR(G2518="",G2518="NOT ON LIST"),"",VLOOKUP(G2518,Students!$A:$C,3,FALSE)&amp;"")</f>
        <v/>
      </c>
    </row>
    <row r="2519">
      <c r="A2519" s="31" t="n"/>
      <c r="B2519" s="32" t="n"/>
      <c r="C2519" s="32" t="n"/>
      <c r="D2519" s="33" t="n"/>
      <c r="E2519" s="32" t="n"/>
      <c r="F2519" s="34">
        <f>IF(A2519="","",IFERROR(INT(A2519),"check date"))</f>
        <v/>
      </c>
      <c r="G2519" s="35">
        <f>IF(B2519="","",IFERROR(INDEX(Students!$A:$A,MATCH(TRIM(B2519),Students!$A:$A,0)),"NOT ON LIST"))</f>
        <v/>
      </c>
      <c r="H2519" s="35">
        <f>IF(OR(G2519="",G2519="NOT ON LIST"),"",VLOOKUP(G2519,Students!$A:$C,2,FALSE))</f>
        <v/>
      </c>
      <c r="I2519" s="35">
        <f>IF(OR(G2519="",G2519="NOT ON LIST"),"",VLOOKUP(G2519,Students!$A:$C,3,FALSE)&amp;"")</f>
        <v/>
      </c>
    </row>
    <row r="2520">
      <c r="A2520" s="31" t="n"/>
      <c r="B2520" s="32" t="n"/>
      <c r="C2520" s="32" t="n"/>
      <c r="D2520" s="33" t="n"/>
      <c r="E2520" s="32" t="n"/>
      <c r="F2520" s="34">
        <f>IF(A2520="","",IFERROR(INT(A2520),"check date"))</f>
        <v/>
      </c>
      <c r="G2520" s="35">
        <f>IF(B2520="","",IFERROR(INDEX(Students!$A:$A,MATCH(TRIM(B2520),Students!$A:$A,0)),"NOT ON LIST"))</f>
        <v/>
      </c>
      <c r="H2520" s="35">
        <f>IF(OR(G2520="",G2520="NOT ON LIST"),"",VLOOKUP(G2520,Students!$A:$C,2,FALSE))</f>
        <v/>
      </c>
      <c r="I2520" s="35">
        <f>IF(OR(G2520="",G2520="NOT ON LIST"),"",VLOOKUP(G2520,Students!$A:$C,3,FALSE)&amp;"")</f>
        <v/>
      </c>
    </row>
    <row r="2521">
      <c r="A2521" s="31" t="n"/>
      <c r="B2521" s="32" t="n"/>
      <c r="C2521" s="32" t="n"/>
      <c r="D2521" s="33" t="n"/>
      <c r="E2521" s="32" t="n"/>
      <c r="F2521" s="34">
        <f>IF(A2521="","",IFERROR(INT(A2521),"check date"))</f>
        <v/>
      </c>
      <c r="G2521" s="35">
        <f>IF(B2521="","",IFERROR(INDEX(Students!$A:$A,MATCH(TRIM(B2521),Students!$A:$A,0)),"NOT ON LIST"))</f>
        <v/>
      </c>
      <c r="H2521" s="35">
        <f>IF(OR(G2521="",G2521="NOT ON LIST"),"",VLOOKUP(G2521,Students!$A:$C,2,FALSE))</f>
        <v/>
      </c>
      <c r="I2521" s="35">
        <f>IF(OR(G2521="",G2521="NOT ON LIST"),"",VLOOKUP(G2521,Students!$A:$C,3,FALSE)&amp;"")</f>
        <v/>
      </c>
    </row>
    <row r="2522">
      <c r="A2522" s="31" t="n"/>
      <c r="B2522" s="32" t="n"/>
      <c r="C2522" s="32" t="n"/>
      <c r="D2522" s="33" t="n"/>
      <c r="E2522" s="32" t="n"/>
      <c r="F2522" s="34">
        <f>IF(A2522="","",IFERROR(INT(A2522),"check date"))</f>
        <v/>
      </c>
      <c r="G2522" s="35">
        <f>IF(B2522="","",IFERROR(INDEX(Students!$A:$A,MATCH(TRIM(B2522),Students!$A:$A,0)),"NOT ON LIST"))</f>
        <v/>
      </c>
      <c r="H2522" s="35">
        <f>IF(OR(G2522="",G2522="NOT ON LIST"),"",VLOOKUP(G2522,Students!$A:$C,2,FALSE))</f>
        <v/>
      </c>
      <c r="I2522" s="35">
        <f>IF(OR(G2522="",G2522="NOT ON LIST"),"",VLOOKUP(G2522,Students!$A:$C,3,FALSE)&amp;"")</f>
        <v/>
      </c>
    </row>
    <row r="2523">
      <c r="A2523" s="31" t="n"/>
      <c r="B2523" s="32" t="n"/>
      <c r="C2523" s="32" t="n"/>
      <c r="D2523" s="33" t="n"/>
      <c r="E2523" s="32" t="n"/>
      <c r="F2523" s="34">
        <f>IF(A2523="","",IFERROR(INT(A2523),"check date"))</f>
        <v/>
      </c>
      <c r="G2523" s="35">
        <f>IF(B2523="","",IFERROR(INDEX(Students!$A:$A,MATCH(TRIM(B2523),Students!$A:$A,0)),"NOT ON LIST"))</f>
        <v/>
      </c>
      <c r="H2523" s="35">
        <f>IF(OR(G2523="",G2523="NOT ON LIST"),"",VLOOKUP(G2523,Students!$A:$C,2,FALSE))</f>
        <v/>
      </c>
      <c r="I2523" s="35">
        <f>IF(OR(G2523="",G2523="NOT ON LIST"),"",VLOOKUP(G2523,Students!$A:$C,3,FALSE)&amp;"")</f>
        <v/>
      </c>
    </row>
    <row r="2524">
      <c r="A2524" s="31" t="n"/>
      <c r="B2524" s="32" t="n"/>
      <c r="C2524" s="32" t="n"/>
      <c r="D2524" s="33" t="n"/>
      <c r="E2524" s="32" t="n"/>
      <c r="F2524" s="34">
        <f>IF(A2524="","",IFERROR(INT(A2524),"check date"))</f>
        <v/>
      </c>
      <c r="G2524" s="35">
        <f>IF(B2524="","",IFERROR(INDEX(Students!$A:$A,MATCH(TRIM(B2524),Students!$A:$A,0)),"NOT ON LIST"))</f>
        <v/>
      </c>
      <c r="H2524" s="35">
        <f>IF(OR(G2524="",G2524="NOT ON LIST"),"",VLOOKUP(G2524,Students!$A:$C,2,FALSE))</f>
        <v/>
      </c>
      <c r="I2524" s="35">
        <f>IF(OR(G2524="",G2524="NOT ON LIST"),"",VLOOKUP(G2524,Students!$A:$C,3,FALSE)&amp;"")</f>
        <v/>
      </c>
    </row>
    <row r="2525">
      <c r="A2525" s="31" t="n"/>
      <c r="B2525" s="32" t="n"/>
      <c r="C2525" s="32" t="n"/>
      <c r="D2525" s="33" t="n"/>
      <c r="E2525" s="32" t="n"/>
      <c r="F2525" s="34">
        <f>IF(A2525="","",IFERROR(INT(A2525),"check date"))</f>
        <v/>
      </c>
      <c r="G2525" s="35">
        <f>IF(B2525="","",IFERROR(INDEX(Students!$A:$A,MATCH(TRIM(B2525),Students!$A:$A,0)),"NOT ON LIST"))</f>
        <v/>
      </c>
      <c r="H2525" s="35">
        <f>IF(OR(G2525="",G2525="NOT ON LIST"),"",VLOOKUP(G2525,Students!$A:$C,2,FALSE))</f>
        <v/>
      </c>
      <c r="I2525" s="35">
        <f>IF(OR(G2525="",G2525="NOT ON LIST"),"",VLOOKUP(G2525,Students!$A:$C,3,FALSE)&amp;"")</f>
        <v/>
      </c>
    </row>
    <row r="2526">
      <c r="A2526" s="31" t="n"/>
      <c r="B2526" s="32" t="n"/>
      <c r="C2526" s="32" t="n"/>
      <c r="D2526" s="33" t="n"/>
      <c r="E2526" s="32" t="n"/>
      <c r="F2526" s="34">
        <f>IF(A2526="","",IFERROR(INT(A2526),"check date"))</f>
        <v/>
      </c>
      <c r="G2526" s="35">
        <f>IF(B2526="","",IFERROR(INDEX(Students!$A:$A,MATCH(TRIM(B2526),Students!$A:$A,0)),"NOT ON LIST"))</f>
        <v/>
      </c>
      <c r="H2526" s="35">
        <f>IF(OR(G2526="",G2526="NOT ON LIST"),"",VLOOKUP(G2526,Students!$A:$C,2,FALSE))</f>
        <v/>
      </c>
      <c r="I2526" s="35">
        <f>IF(OR(G2526="",G2526="NOT ON LIST"),"",VLOOKUP(G2526,Students!$A:$C,3,FALSE)&amp;"")</f>
        <v/>
      </c>
    </row>
    <row r="2527">
      <c r="A2527" s="31" t="n"/>
      <c r="B2527" s="32" t="n"/>
      <c r="C2527" s="32" t="n"/>
      <c r="D2527" s="33" t="n"/>
      <c r="E2527" s="32" t="n"/>
      <c r="F2527" s="34">
        <f>IF(A2527="","",IFERROR(INT(A2527),"check date"))</f>
        <v/>
      </c>
      <c r="G2527" s="35">
        <f>IF(B2527="","",IFERROR(INDEX(Students!$A:$A,MATCH(TRIM(B2527),Students!$A:$A,0)),"NOT ON LIST"))</f>
        <v/>
      </c>
      <c r="H2527" s="35">
        <f>IF(OR(G2527="",G2527="NOT ON LIST"),"",VLOOKUP(G2527,Students!$A:$C,2,FALSE))</f>
        <v/>
      </c>
      <c r="I2527" s="35">
        <f>IF(OR(G2527="",G2527="NOT ON LIST"),"",VLOOKUP(G2527,Students!$A:$C,3,FALSE)&amp;"")</f>
        <v/>
      </c>
    </row>
    <row r="2528">
      <c r="A2528" s="31" t="n"/>
      <c r="B2528" s="32" t="n"/>
      <c r="C2528" s="32" t="n"/>
      <c r="D2528" s="33" t="n"/>
      <c r="E2528" s="32" t="n"/>
      <c r="F2528" s="34">
        <f>IF(A2528="","",IFERROR(INT(A2528),"check date"))</f>
        <v/>
      </c>
      <c r="G2528" s="35">
        <f>IF(B2528="","",IFERROR(INDEX(Students!$A:$A,MATCH(TRIM(B2528),Students!$A:$A,0)),"NOT ON LIST"))</f>
        <v/>
      </c>
      <c r="H2528" s="35">
        <f>IF(OR(G2528="",G2528="NOT ON LIST"),"",VLOOKUP(G2528,Students!$A:$C,2,FALSE))</f>
        <v/>
      </c>
      <c r="I2528" s="35">
        <f>IF(OR(G2528="",G2528="NOT ON LIST"),"",VLOOKUP(G2528,Students!$A:$C,3,FALSE)&amp;"")</f>
        <v/>
      </c>
    </row>
    <row r="2529">
      <c r="A2529" s="31" t="n"/>
      <c r="B2529" s="32" t="n"/>
      <c r="C2529" s="32" t="n"/>
      <c r="D2529" s="33" t="n"/>
      <c r="E2529" s="32" t="n"/>
      <c r="F2529" s="34">
        <f>IF(A2529="","",IFERROR(INT(A2529),"check date"))</f>
        <v/>
      </c>
      <c r="G2529" s="35">
        <f>IF(B2529="","",IFERROR(INDEX(Students!$A:$A,MATCH(TRIM(B2529),Students!$A:$A,0)),"NOT ON LIST"))</f>
        <v/>
      </c>
      <c r="H2529" s="35">
        <f>IF(OR(G2529="",G2529="NOT ON LIST"),"",VLOOKUP(G2529,Students!$A:$C,2,FALSE))</f>
        <v/>
      </c>
      <c r="I2529" s="35">
        <f>IF(OR(G2529="",G2529="NOT ON LIST"),"",VLOOKUP(G2529,Students!$A:$C,3,FALSE)&amp;"")</f>
        <v/>
      </c>
    </row>
    <row r="2530">
      <c r="A2530" s="31" t="n"/>
      <c r="B2530" s="32" t="n"/>
      <c r="C2530" s="32" t="n"/>
      <c r="D2530" s="33" t="n"/>
      <c r="E2530" s="32" t="n"/>
      <c r="F2530" s="34">
        <f>IF(A2530="","",IFERROR(INT(A2530),"check date"))</f>
        <v/>
      </c>
      <c r="G2530" s="35">
        <f>IF(B2530="","",IFERROR(INDEX(Students!$A:$A,MATCH(TRIM(B2530),Students!$A:$A,0)),"NOT ON LIST"))</f>
        <v/>
      </c>
      <c r="H2530" s="35">
        <f>IF(OR(G2530="",G2530="NOT ON LIST"),"",VLOOKUP(G2530,Students!$A:$C,2,FALSE))</f>
        <v/>
      </c>
      <c r="I2530" s="35">
        <f>IF(OR(G2530="",G2530="NOT ON LIST"),"",VLOOKUP(G2530,Students!$A:$C,3,FALSE)&amp;"")</f>
        <v/>
      </c>
    </row>
    <row r="2531">
      <c r="A2531" s="31" t="n"/>
      <c r="B2531" s="32" t="n"/>
      <c r="C2531" s="32" t="n"/>
      <c r="D2531" s="33" t="n"/>
      <c r="E2531" s="32" t="n"/>
      <c r="F2531" s="34">
        <f>IF(A2531="","",IFERROR(INT(A2531),"check date"))</f>
        <v/>
      </c>
      <c r="G2531" s="35">
        <f>IF(B2531="","",IFERROR(INDEX(Students!$A:$A,MATCH(TRIM(B2531),Students!$A:$A,0)),"NOT ON LIST"))</f>
        <v/>
      </c>
      <c r="H2531" s="35">
        <f>IF(OR(G2531="",G2531="NOT ON LIST"),"",VLOOKUP(G2531,Students!$A:$C,2,FALSE))</f>
        <v/>
      </c>
      <c r="I2531" s="35">
        <f>IF(OR(G2531="",G2531="NOT ON LIST"),"",VLOOKUP(G2531,Students!$A:$C,3,FALSE)&amp;"")</f>
        <v/>
      </c>
    </row>
    <row r="2532">
      <c r="A2532" s="31" t="n"/>
      <c r="B2532" s="32" t="n"/>
      <c r="C2532" s="32" t="n"/>
      <c r="D2532" s="33" t="n"/>
      <c r="E2532" s="32" t="n"/>
      <c r="F2532" s="34">
        <f>IF(A2532="","",IFERROR(INT(A2532),"check date"))</f>
        <v/>
      </c>
      <c r="G2532" s="35">
        <f>IF(B2532="","",IFERROR(INDEX(Students!$A:$A,MATCH(TRIM(B2532),Students!$A:$A,0)),"NOT ON LIST"))</f>
        <v/>
      </c>
      <c r="H2532" s="35">
        <f>IF(OR(G2532="",G2532="NOT ON LIST"),"",VLOOKUP(G2532,Students!$A:$C,2,FALSE))</f>
        <v/>
      </c>
      <c r="I2532" s="35">
        <f>IF(OR(G2532="",G2532="NOT ON LIST"),"",VLOOKUP(G2532,Students!$A:$C,3,FALSE)&amp;"")</f>
        <v/>
      </c>
    </row>
    <row r="2533">
      <c r="A2533" s="31" t="n"/>
      <c r="B2533" s="32" t="n"/>
      <c r="C2533" s="32" t="n"/>
      <c r="D2533" s="33" t="n"/>
      <c r="E2533" s="32" t="n"/>
      <c r="F2533" s="34">
        <f>IF(A2533="","",IFERROR(INT(A2533),"check date"))</f>
        <v/>
      </c>
      <c r="G2533" s="35">
        <f>IF(B2533="","",IFERROR(INDEX(Students!$A:$A,MATCH(TRIM(B2533),Students!$A:$A,0)),"NOT ON LIST"))</f>
        <v/>
      </c>
      <c r="H2533" s="35">
        <f>IF(OR(G2533="",G2533="NOT ON LIST"),"",VLOOKUP(G2533,Students!$A:$C,2,FALSE))</f>
        <v/>
      </c>
      <c r="I2533" s="35">
        <f>IF(OR(G2533="",G2533="NOT ON LIST"),"",VLOOKUP(G2533,Students!$A:$C,3,FALSE)&amp;"")</f>
        <v/>
      </c>
    </row>
    <row r="2534">
      <c r="A2534" s="31" t="n"/>
      <c r="B2534" s="32" t="n"/>
      <c r="C2534" s="32" t="n"/>
      <c r="D2534" s="33" t="n"/>
      <c r="E2534" s="32" t="n"/>
      <c r="F2534" s="34">
        <f>IF(A2534="","",IFERROR(INT(A2534),"check date"))</f>
        <v/>
      </c>
      <c r="G2534" s="35">
        <f>IF(B2534="","",IFERROR(INDEX(Students!$A:$A,MATCH(TRIM(B2534),Students!$A:$A,0)),"NOT ON LIST"))</f>
        <v/>
      </c>
      <c r="H2534" s="35">
        <f>IF(OR(G2534="",G2534="NOT ON LIST"),"",VLOOKUP(G2534,Students!$A:$C,2,FALSE))</f>
        <v/>
      </c>
      <c r="I2534" s="35">
        <f>IF(OR(G2534="",G2534="NOT ON LIST"),"",VLOOKUP(G2534,Students!$A:$C,3,FALSE)&amp;"")</f>
        <v/>
      </c>
    </row>
    <row r="2535">
      <c r="A2535" s="31" t="n"/>
      <c r="B2535" s="32" t="n"/>
      <c r="C2535" s="32" t="n"/>
      <c r="D2535" s="33" t="n"/>
      <c r="E2535" s="32" t="n"/>
      <c r="F2535" s="34">
        <f>IF(A2535="","",IFERROR(INT(A2535),"check date"))</f>
        <v/>
      </c>
      <c r="G2535" s="35">
        <f>IF(B2535="","",IFERROR(INDEX(Students!$A:$A,MATCH(TRIM(B2535),Students!$A:$A,0)),"NOT ON LIST"))</f>
        <v/>
      </c>
      <c r="H2535" s="35">
        <f>IF(OR(G2535="",G2535="NOT ON LIST"),"",VLOOKUP(G2535,Students!$A:$C,2,FALSE))</f>
        <v/>
      </c>
      <c r="I2535" s="35">
        <f>IF(OR(G2535="",G2535="NOT ON LIST"),"",VLOOKUP(G2535,Students!$A:$C,3,FALSE)&amp;"")</f>
        <v/>
      </c>
    </row>
    <row r="2536">
      <c r="A2536" s="31" t="n"/>
      <c r="B2536" s="32" t="n"/>
      <c r="C2536" s="32" t="n"/>
      <c r="D2536" s="33" t="n"/>
      <c r="E2536" s="32" t="n"/>
      <c r="F2536" s="34">
        <f>IF(A2536="","",IFERROR(INT(A2536),"check date"))</f>
        <v/>
      </c>
      <c r="G2536" s="35">
        <f>IF(B2536="","",IFERROR(INDEX(Students!$A:$A,MATCH(TRIM(B2536),Students!$A:$A,0)),"NOT ON LIST"))</f>
        <v/>
      </c>
      <c r="H2536" s="35">
        <f>IF(OR(G2536="",G2536="NOT ON LIST"),"",VLOOKUP(G2536,Students!$A:$C,2,FALSE))</f>
        <v/>
      </c>
      <c r="I2536" s="35">
        <f>IF(OR(G2536="",G2536="NOT ON LIST"),"",VLOOKUP(G2536,Students!$A:$C,3,FALSE)&amp;"")</f>
        <v/>
      </c>
    </row>
    <row r="2537">
      <c r="A2537" s="31" t="n"/>
      <c r="B2537" s="32" t="n"/>
      <c r="C2537" s="32" t="n"/>
      <c r="D2537" s="33" t="n"/>
      <c r="E2537" s="32" t="n"/>
      <c r="F2537" s="34">
        <f>IF(A2537="","",IFERROR(INT(A2537),"check date"))</f>
        <v/>
      </c>
      <c r="G2537" s="35">
        <f>IF(B2537="","",IFERROR(INDEX(Students!$A:$A,MATCH(TRIM(B2537),Students!$A:$A,0)),"NOT ON LIST"))</f>
        <v/>
      </c>
      <c r="H2537" s="35">
        <f>IF(OR(G2537="",G2537="NOT ON LIST"),"",VLOOKUP(G2537,Students!$A:$C,2,FALSE))</f>
        <v/>
      </c>
      <c r="I2537" s="35">
        <f>IF(OR(G2537="",G2537="NOT ON LIST"),"",VLOOKUP(G2537,Students!$A:$C,3,FALSE)&amp;"")</f>
        <v/>
      </c>
    </row>
    <row r="2538">
      <c r="A2538" s="31" t="n"/>
      <c r="B2538" s="32" t="n"/>
      <c r="C2538" s="32" t="n"/>
      <c r="D2538" s="33" t="n"/>
      <c r="E2538" s="32" t="n"/>
      <c r="F2538" s="34">
        <f>IF(A2538="","",IFERROR(INT(A2538),"check date"))</f>
        <v/>
      </c>
      <c r="G2538" s="35">
        <f>IF(B2538="","",IFERROR(INDEX(Students!$A:$A,MATCH(TRIM(B2538),Students!$A:$A,0)),"NOT ON LIST"))</f>
        <v/>
      </c>
      <c r="H2538" s="35">
        <f>IF(OR(G2538="",G2538="NOT ON LIST"),"",VLOOKUP(G2538,Students!$A:$C,2,FALSE))</f>
        <v/>
      </c>
      <c r="I2538" s="35">
        <f>IF(OR(G2538="",G2538="NOT ON LIST"),"",VLOOKUP(G2538,Students!$A:$C,3,FALSE)&amp;"")</f>
        <v/>
      </c>
    </row>
    <row r="2539">
      <c r="A2539" s="31" t="n"/>
      <c r="B2539" s="32" t="n"/>
      <c r="C2539" s="32" t="n"/>
      <c r="D2539" s="33" t="n"/>
      <c r="E2539" s="32" t="n"/>
      <c r="F2539" s="34">
        <f>IF(A2539="","",IFERROR(INT(A2539),"check date"))</f>
        <v/>
      </c>
      <c r="G2539" s="35">
        <f>IF(B2539="","",IFERROR(INDEX(Students!$A:$A,MATCH(TRIM(B2539),Students!$A:$A,0)),"NOT ON LIST"))</f>
        <v/>
      </c>
      <c r="H2539" s="35">
        <f>IF(OR(G2539="",G2539="NOT ON LIST"),"",VLOOKUP(G2539,Students!$A:$C,2,FALSE))</f>
        <v/>
      </c>
      <c r="I2539" s="35">
        <f>IF(OR(G2539="",G2539="NOT ON LIST"),"",VLOOKUP(G2539,Students!$A:$C,3,FALSE)&amp;"")</f>
        <v/>
      </c>
    </row>
    <row r="2540">
      <c r="A2540" s="31" t="n"/>
      <c r="B2540" s="32" t="n"/>
      <c r="C2540" s="32" t="n"/>
      <c r="D2540" s="33" t="n"/>
      <c r="E2540" s="32" t="n"/>
      <c r="F2540" s="34">
        <f>IF(A2540="","",IFERROR(INT(A2540),"check date"))</f>
        <v/>
      </c>
      <c r="G2540" s="35">
        <f>IF(B2540="","",IFERROR(INDEX(Students!$A:$A,MATCH(TRIM(B2540),Students!$A:$A,0)),"NOT ON LIST"))</f>
        <v/>
      </c>
      <c r="H2540" s="35">
        <f>IF(OR(G2540="",G2540="NOT ON LIST"),"",VLOOKUP(G2540,Students!$A:$C,2,FALSE))</f>
        <v/>
      </c>
      <c r="I2540" s="35">
        <f>IF(OR(G2540="",G2540="NOT ON LIST"),"",VLOOKUP(G2540,Students!$A:$C,3,FALSE)&amp;"")</f>
        <v/>
      </c>
    </row>
    <row r="2541">
      <c r="A2541" s="31" t="n"/>
      <c r="B2541" s="32" t="n"/>
      <c r="C2541" s="32" t="n"/>
      <c r="D2541" s="33" t="n"/>
      <c r="E2541" s="32" t="n"/>
      <c r="F2541" s="34">
        <f>IF(A2541="","",IFERROR(INT(A2541),"check date"))</f>
        <v/>
      </c>
      <c r="G2541" s="35">
        <f>IF(B2541="","",IFERROR(INDEX(Students!$A:$A,MATCH(TRIM(B2541),Students!$A:$A,0)),"NOT ON LIST"))</f>
        <v/>
      </c>
      <c r="H2541" s="35">
        <f>IF(OR(G2541="",G2541="NOT ON LIST"),"",VLOOKUP(G2541,Students!$A:$C,2,FALSE))</f>
        <v/>
      </c>
      <c r="I2541" s="35">
        <f>IF(OR(G2541="",G2541="NOT ON LIST"),"",VLOOKUP(G2541,Students!$A:$C,3,FALSE)&amp;"")</f>
        <v/>
      </c>
    </row>
    <row r="2542">
      <c r="A2542" s="31" t="n"/>
      <c r="B2542" s="32" t="n"/>
      <c r="C2542" s="32" t="n"/>
      <c r="D2542" s="33" t="n"/>
      <c r="E2542" s="32" t="n"/>
      <c r="F2542" s="34">
        <f>IF(A2542="","",IFERROR(INT(A2542),"check date"))</f>
        <v/>
      </c>
      <c r="G2542" s="35">
        <f>IF(B2542="","",IFERROR(INDEX(Students!$A:$A,MATCH(TRIM(B2542),Students!$A:$A,0)),"NOT ON LIST"))</f>
        <v/>
      </c>
      <c r="H2542" s="35">
        <f>IF(OR(G2542="",G2542="NOT ON LIST"),"",VLOOKUP(G2542,Students!$A:$C,2,FALSE))</f>
        <v/>
      </c>
      <c r="I2542" s="35">
        <f>IF(OR(G2542="",G2542="NOT ON LIST"),"",VLOOKUP(G2542,Students!$A:$C,3,FALSE)&amp;"")</f>
        <v/>
      </c>
    </row>
    <row r="2543">
      <c r="A2543" s="31" t="n"/>
      <c r="B2543" s="32" t="n"/>
      <c r="C2543" s="32" t="n"/>
      <c r="D2543" s="33" t="n"/>
      <c r="E2543" s="32" t="n"/>
      <c r="F2543" s="34">
        <f>IF(A2543="","",IFERROR(INT(A2543),"check date"))</f>
        <v/>
      </c>
      <c r="G2543" s="35">
        <f>IF(B2543="","",IFERROR(INDEX(Students!$A:$A,MATCH(TRIM(B2543),Students!$A:$A,0)),"NOT ON LIST"))</f>
        <v/>
      </c>
      <c r="H2543" s="35">
        <f>IF(OR(G2543="",G2543="NOT ON LIST"),"",VLOOKUP(G2543,Students!$A:$C,2,FALSE))</f>
        <v/>
      </c>
      <c r="I2543" s="35">
        <f>IF(OR(G2543="",G2543="NOT ON LIST"),"",VLOOKUP(G2543,Students!$A:$C,3,FALSE)&amp;"")</f>
        <v/>
      </c>
    </row>
    <row r="2544">
      <c r="A2544" s="31" t="n"/>
      <c r="B2544" s="32" t="n"/>
      <c r="C2544" s="32" t="n"/>
      <c r="D2544" s="33" t="n"/>
      <c r="E2544" s="32" t="n"/>
      <c r="F2544" s="34">
        <f>IF(A2544="","",IFERROR(INT(A2544),"check date"))</f>
        <v/>
      </c>
      <c r="G2544" s="35">
        <f>IF(B2544="","",IFERROR(INDEX(Students!$A:$A,MATCH(TRIM(B2544),Students!$A:$A,0)),"NOT ON LIST"))</f>
        <v/>
      </c>
      <c r="H2544" s="35">
        <f>IF(OR(G2544="",G2544="NOT ON LIST"),"",VLOOKUP(G2544,Students!$A:$C,2,FALSE))</f>
        <v/>
      </c>
      <c r="I2544" s="35">
        <f>IF(OR(G2544="",G2544="NOT ON LIST"),"",VLOOKUP(G2544,Students!$A:$C,3,FALSE)&amp;"")</f>
        <v/>
      </c>
    </row>
    <row r="2545">
      <c r="A2545" s="31" t="n"/>
      <c r="B2545" s="32" t="n"/>
      <c r="C2545" s="32" t="n"/>
      <c r="D2545" s="33" t="n"/>
      <c r="E2545" s="32" t="n"/>
      <c r="F2545" s="34">
        <f>IF(A2545="","",IFERROR(INT(A2545),"check date"))</f>
        <v/>
      </c>
      <c r="G2545" s="35">
        <f>IF(B2545="","",IFERROR(INDEX(Students!$A:$A,MATCH(TRIM(B2545),Students!$A:$A,0)),"NOT ON LIST"))</f>
        <v/>
      </c>
      <c r="H2545" s="35">
        <f>IF(OR(G2545="",G2545="NOT ON LIST"),"",VLOOKUP(G2545,Students!$A:$C,2,FALSE))</f>
        <v/>
      </c>
      <c r="I2545" s="35">
        <f>IF(OR(G2545="",G2545="NOT ON LIST"),"",VLOOKUP(G2545,Students!$A:$C,3,FALSE)&amp;"")</f>
        <v/>
      </c>
    </row>
    <row r="2546">
      <c r="A2546" s="31" t="n"/>
      <c r="B2546" s="32" t="n"/>
      <c r="C2546" s="32" t="n"/>
      <c r="D2546" s="33" t="n"/>
      <c r="E2546" s="32" t="n"/>
      <c r="F2546" s="34">
        <f>IF(A2546="","",IFERROR(INT(A2546),"check date"))</f>
        <v/>
      </c>
      <c r="G2546" s="35">
        <f>IF(B2546="","",IFERROR(INDEX(Students!$A:$A,MATCH(TRIM(B2546),Students!$A:$A,0)),"NOT ON LIST"))</f>
        <v/>
      </c>
      <c r="H2546" s="35">
        <f>IF(OR(G2546="",G2546="NOT ON LIST"),"",VLOOKUP(G2546,Students!$A:$C,2,FALSE))</f>
        <v/>
      </c>
      <c r="I2546" s="35">
        <f>IF(OR(G2546="",G2546="NOT ON LIST"),"",VLOOKUP(G2546,Students!$A:$C,3,FALSE)&amp;"")</f>
        <v/>
      </c>
    </row>
    <row r="2547">
      <c r="A2547" s="31" t="n"/>
      <c r="B2547" s="32" t="n"/>
      <c r="C2547" s="32" t="n"/>
      <c r="D2547" s="33" t="n"/>
      <c r="E2547" s="32" t="n"/>
      <c r="F2547" s="34">
        <f>IF(A2547="","",IFERROR(INT(A2547),"check date"))</f>
        <v/>
      </c>
      <c r="G2547" s="35">
        <f>IF(B2547="","",IFERROR(INDEX(Students!$A:$A,MATCH(TRIM(B2547),Students!$A:$A,0)),"NOT ON LIST"))</f>
        <v/>
      </c>
      <c r="H2547" s="35">
        <f>IF(OR(G2547="",G2547="NOT ON LIST"),"",VLOOKUP(G2547,Students!$A:$C,2,FALSE))</f>
        <v/>
      </c>
      <c r="I2547" s="35">
        <f>IF(OR(G2547="",G2547="NOT ON LIST"),"",VLOOKUP(G2547,Students!$A:$C,3,FALSE)&amp;"")</f>
        <v/>
      </c>
    </row>
    <row r="2548">
      <c r="A2548" s="31" t="n"/>
      <c r="B2548" s="32" t="n"/>
      <c r="C2548" s="32" t="n"/>
      <c r="D2548" s="33" t="n"/>
      <c r="E2548" s="32" t="n"/>
      <c r="F2548" s="34">
        <f>IF(A2548="","",IFERROR(INT(A2548),"check date"))</f>
        <v/>
      </c>
      <c r="G2548" s="35">
        <f>IF(B2548="","",IFERROR(INDEX(Students!$A:$A,MATCH(TRIM(B2548),Students!$A:$A,0)),"NOT ON LIST"))</f>
        <v/>
      </c>
      <c r="H2548" s="35">
        <f>IF(OR(G2548="",G2548="NOT ON LIST"),"",VLOOKUP(G2548,Students!$A:$C,2,FALSE))</f>
        <v/>
      </c>
      <c r="I2548" s="35">
        <f>IF(OR(G2548="",G2548="NOT ON LIST"),"",VLOOKUP(G2548,Students!$A:$C,3,FALSE)&amp;"")</f>
        <v/>
      </c>
    </row>
    <row r="2549">
      <c r="A2549" s="31" t="n"/>
      <c r="B2549" s="32" t="n"/>
      <c r="C2549" s="32" t="n"/>
      <c r="D2549" s="33" t="n"/>
      <c r="E2549" s="32" t="n"/>
      <c r="F2549" s="34">
        <f>IF(A2549="","",IFERROR(INT(A2549),"check date"))</f>
        <v/>
      </c>
      <c r="G2549" s="35">
        <f>IF(B2549="","",IFERROR(INDEX(Students!$A:$A,MATCH(TRIM(B2549),Students!$A:$A,0)),"NOT ON LIST"))</f>
        <v/>
      </c>
      <c r="H2549" s="35">
        <f>IF(OR(G2549="",G2549="NOT ON LIST"),"",VLOOKUP(G2549,Students!$A:$C,2,FALSE))</f>
        <v/>
      </c>
      <c r="I2549" s="35">
        <f>IF(OR(G2549="",G2549="NOT ON LIST"),"",VLOOKUP(G2549,Students!$A:$C,3,FALSE)&amp;"")</f>
        <v/>
      </c>
    </row>
    <row r="2550">
      <c r="A2550" s="31" t="n"/>
      <c r="B2550" s="32" t="n"/>
      <c r="C2550" s="32" t="n"/>
      <c r="D2550" s="33" t="n"/>
      <c r="E2550" s="32" t="n"/>
      <c r="F2550" s="34">
        <f>IF(A2550="","",IFERROR(INT(A2550),"check date"))</f>
        <v/>
      </c>
      <c r="G2550" s="35">
        <f>IF(B2550="","",IFERROR(INDEX(Students!$A:$A,MATCH(TRIM(B2550),Students!$A:$A,0)),"NOT ON LIST"))</f>
        <v/>
      </c>
      <c r="H2550" s="35">
        <f>IF(OR(G2550="",G2550="NOT ON LIST"),"",VLOOKUP(G2550,Students!$A:$C,2,FALSE))</f>
        <v/>
      </c>
      <c r="I2550" s="35">
        <f>IF(OR(G2550="",G2550="NOT ON LIST"),"",VLOOKUP(G2550,Students!$A:$C,3,FALSE)&amp;"")</f>
        <v/>
      </c>
    </row>
    <row r="2551">
      <c r="A2551" s="31" t="n"/>
      <c r="B2551" s="32" t="n"/>
      <c r="C2551" s="32" t="n"/>
      <c r="D2551" s="33" t="n"/>
      <c r="E2551" s="32" t="n"/>
      <c r="F2551" s="34">
        <f>IF(A2551="","",IFERROR(INT(A2551),"check date"))</f>
        <v/>
      </c>
      <c r="G2551" s="35">
        <f>IF(B2551="","",IFERROR(INDEX(Students!$A:$A,MATCH(TRIM(B2551),Students!$A:$A,0)),"NOT ON LIST"))</f>
        <v/>
      </c>
      <c r="H2551" s="35">
        <f>IF(OR(G2551="",G2551="NOT ON LIST"),"",VLOOKUP(G2551,Students!$A:$C,2,FALSE))</f>
        <v/>
      </c>
      <c r="I2551" s="35">
        <f>IF(OR(G2551="",G2551="NOT ON LIST"),"",VLOOKUP(G2551,Students!$A:$C,3,FALSE)&amp;"")</f>
        <v/>
      </c>
    </row>
    <row r="2552">
      <c r="A2552" s="31" t="n"/>
      <c r="B2552" s="32" t="n"/>
      <c r="C2552" s="32" t="n"/>
      <c r="D2552" s="33" t="n"/>
      <c r="E2552" s="32" t="n"/>
      <c r="F2552" s="34">
        <f>IF(A2552="","",IFERROR(INT(A2552),"check date"))</f>
        <v/>
      </c>
      <c r="G2552" s="35">
        <f>IF(B2552="","",IFERROR(INDEX(Students!$A:$A,MATCH(TRIM(B2552),Students!$A:$A,0)),"NOT ON LIST"))</f>
        <v/>
      </c>
      <c r="H2552" s="35">
        <f>IF(OR(G2552="",G2552="NOT ON LIST"),"",VLOOKUP(G2552,Students!$A:$C,2,FALSE))</f>
        <v/>
      </c>
      <c r="I2552" s="35">
        <f>IF(OR(G2552="",G2552="NOT ON LIST"),"",VLOOKUP(G2552,Students!$A:$C,3,FALSE)&amp;"")</f>
        <v/>
      </c>
    </row>
    <row r="2553">
      <c r="A2553" s="31" t="n"/>
      <c r="B2553" s="32" t="n"/>
      <c r="C2553" s="32" t="n"/>
      <c r="D2553" s="33" t="n"/>
      <c r="E2553" s="32" t="n"/>
      <c r="F2553" s="34">
        <f>IF(A2553="","",IFERROR(INT(A2553),"check date"))</f>
        <v/>
      </c>
      <c r="G2553" s="35">
        <f>IF(B2553="","",IFERROR(INDEX(Students!$A:$A,MATCH(TRIM(B2553),Students!$A:$A,0)),"NOT ON LIST"))</f>
        <v/>
      </c>
      <c r="H2553" s="35">
        <f>IF(OR(G2553="",G2553="NOT ON LIST"),"",VLOOKUP(G2553,Students!$A:$C,2,FALSE))</f>
        <v/>
      </c>
      <c r="I2553" s="35">
        <f>IF(OR(G2553="",G2553="NOT ON LIST"),"",VLOOKUP(G2553,Students!$A:$C,3,FALSE)&amp;"")</f>
        <v/>
      </c>
    </row>
    <row r="2554">
      <c r="A2554" s="31" t="n"/>
      <c r="B2554" s="32" t="n"/>
      <c r="C2554" s="32" t="n"/>
      <c r="D2554" s="33" t="n"/>
      <c r="E2554" s="32" t="n"/>
      <c r="F2554" s="34">
        <f>IF(A2554="","",IFERROR(INT(A2554),"check date"))</f>
        <v/>
      </c>
      <c r="G2554" s="35">
        <f>IF(B2554="","",IFERROR(INDEX(Students!$A:$A,MATCH(TRIM(B2554),Students!$A:$A,0)),"NOT ON LIST"))</f>
        <v/>
      </c>
      <c r="H2554" s="35">
        <f>IF(OR(G2554="",G2554="NOT ON LIST"),"",VLOOKUP(G2554,Students!$A:$C,2,FALSE))</f>
        <v/>
      </c>
      <c r="I2554" s="35">
        <f>IF(OR(G2554="",G2554="NOT ON LIST"),"",VLOOKUP(G2554,Students!$A:$C,3,FALSE)&amp;"")</f>
        <v/>
      </c>
    </row>
    <row r="2555">
      <c r="A2555" s="31" t="n"/>
      <c r="B2555" s="32" t="n"/>
      <c r="C2555" s="32" t="n"/>
      <c r="D2555" s="33" t="n"/>
      <c r="E2555" s="32" t="n"/>
      <c r="F2555" s="34">
        <f>IF(A2555="","",IFERROR(INT(A2555),"check date"))</f>
        <v/>
      </c>
      <c r="G2555" s="35">
        <f>IF(B2555="","",IFERROR(INDEX(Students!$A:$A,MATCH(TRIM(B2555),Students!$A:$A,0)),"NOT ON LIST"))</f>
        <v/>
      </c>
      <c r="H2555" s="35">
        <f>IF(OR(G2555="",G2555="NOT ON LIST"),"",VLOOKUP(G2555,Students!$A:$C,2,FALSE))</f>
        <v/>
      </c>
      <c r="I2555" s="35">
        <f>IF(OR(G2555="",G2555="NOT ON LIST"),"",VLOOKUP(G2555,Students!$A:$C,3,FALSE)&amp;"")</f>
        <v/>
      </c>
    </row>
    <row r="2556">
      <c r="A2556" s="31" t="n"/>
      <c r="B2556" s="32" t="n"/>
      <c r="C2556" s="32" t="n"/>
      <c r="D2556" s="33" t="n"/>
      <c r="E2556" s="32" t="n"/>
      <c r="F2556" s="34">
        <f>IF(A2556="","",IFERROR(INT(A2556),"check date"))</f>
        <v/>
      </c>
      <c r="G2556" s="35">
        <f>IF(B2556="","",IFERROR(INDEX(Students!$A:$A,MATCH(TRIM(B2556),Students!$A:$A,0)),"NOT ON LIST"))</f>
        <v/>
      </c>
      <c r="H2556" s="35">
        <f>IF(OR(G2556="",G2556="NOT ON LIST"),"",VLOOKUP(G2556,Students!$A:$C,2,FALSE))</f>
        <v/>
      </c>
      <c r="I2556" s="35">
        <f>IF(OR(G2556="",G2556="NOT ON LIST"),"",VLOOKUP(G2556,Students!$A:$C,3,FALSE)&amp;"")</f>
        <v/>
      </c>
    </row>
    <row r="2557">
      <c r="A2557" s="31" t="n"/>
      <c r="B2557" s="32" t="n"/>
      <c r="C2557" s="32" t="n"/>
      <c r="D2557" s="33" t="n"/>
      <c r="E2557" s="32" t="n"/>
      <c r="F2557" s="34">
        <f>IF(A2557="","",IFERROR(INT(A2557),"check date"))</f>
        <v/>
      </c>
      <c r="G2557" s="35">
        <f>IF(B2557="","",IFERROR(INDEX(Students!$A:$A,MATCH(TRIM(B2557),Students!$A:$A,0)),"NOT ON LIST"))</f>
        <v/>
      </c>
      <c r="H2557" s="35">
        <f>IF(OR(G2557="",G2557="NOT ON LIST"),"",VLOOKUP(G2557,Students!$A:$C,2,FALSE))</f>
        <v/>
      </c>
      <c r="I2557" s="35">
        <f>IF(OR(G2557="",G2557="NOT ON LIST"),"",VLOOKUP(G2557,Students!$A:$C,3,FALSE)&amp;"")</f>
        <v/>
      </c>
    </row>
    <row r="2558">
      <c r="A2558" s="31" t="n"/>
      <c r="B2558" s="32" t="n"/>
      <c r="C2558" s="32" t="n"/>
      <c r="D2558" s="33" t="n"/>
      <c r="E2558" s="32" t="n"/>
      <c r="F2558" s="34">
        <f>IF(A2558="","",IFERROR(INT(A2558),"check date"))</f>
        <v/>
      </c>
      <c r="G2558" s="35">
        <f>IF(B2558="","",IFERROR(INDEX(Students!$A:$A,MATCH(TRIM(B2558),Students!$A:$A,0)),"NOT ON LIST"))</f>
        <v/>
      </c>
      <c r="H2558" s="35">
        <f>IF(OR(G2558="",G2558="NOT ON LIST"),"",VLOOKUP(G2558,Students!$A:$C,2,FALSE))</f>
        <v/>
      </c>
      <c r="I2558" s="35">
        <f>IF(OR(G2558="",G2558="NOT ON LIST"),"",VLOOKUP(G2558,Students!$A:$C,3,FALSE)&amp;"")</f>
        <v/>
      </c>
    </row>
    <row r="2559">
      <c r="A2559" s="31" t="n"/>
      <c r="B2559" s="32" t="n"/>
      <c r="C2559" s="32" t="n"/>
      <c r="D2559" s="33" t="n"/>
      <c r="E2559" s="32" t="n"/>
      <c r="F2559" s="34">
        <f>IF(A2559="","",IFERROR(INT(A2559),"check date"))</f>
        <v/>
      </c>
      <c r="G2559" s="35">
        <f>IF(B2559="","",IFERROR(INDEX(Students!$A:$A,MATCH(TRIM(B2559),Students!$A:$A,0)),"NOT ON LIST"))</f>
        <v/>
      </c>
      <c r="H2559" s="35">
        <f>IF(OR(G2559="",G2559="NOT ON LIST"),"",VLOOKUP(G2559,Students!$A:$C,2,FALSE))</f>
        <v/>
      </c>
      <c r="I2559" s="35">
        <f>IF(OR(G2559="",G2559="NOT ON LIST"),"",VLOOKUP(G2559,Students!$A:$C,3,FALSE)&amp;"")</f>
        <v/>
      </c>
    </row>
    <row r="2560">
      <c r="A2560" s="31" t="n"/>
      <c r="B2560" s="32" t="n"/>
      <c r="C2560" s="32" t="n"/>
      <c r="D2560" s="33" t="n"/>
      <c r="E2560" s="32" t="n"/>
      <c r="F2560" s="34">
        <f>IF(A2560="","",IFERROR(INT(A2560),"check date"))</f>
        <v/>
      </c>
      <c r="G2560" s="35">
        <f>IF(B2560="","",IFERROR(INDEX(Students!$A:$A,MATCH(TRIM(B2560),Students!$A:$A,0)),"NOT ON LIST"))</f>
        <v/>
      </c>
      <c r="H2560" s="35">
        <f>IF(OR(G2560="",G2560="NOT ON LIST"),"",VLOOKUP(G2560,Students!$A:$C,2,FALSE))</f>
        <v/>
      </c>
      <c r="I2560" s="35">
        <f>IF(OR(G2560="",G2560="NOT ON LIST"),"",VLOOKUP(G2560,Students!$A:$C,3,FALSE)&amp;"")</f>
        <v/>
      </c>
    </row>
    <row r="2561">
      <c r="A2561" s="31" t="n"/>
      <c r="B2561" s="32" t="n"/>
      <c r="C2561" s="32" t="n"/>
      <c r="D2561" s="33" t="n"/>
      <c r="E2561" s="32" t="n"/>
      <c r="F2561" s="34">
        <f>IF(A2561="","",IFERROR(INT(A2561),"check date"))</f>
        <v/>
      </c>
      <c r="G2561" s="35">
        <f>IF(B2561="","",IFERROR(INDEX(Students!$A:$A,MATCH(TRIM(B2561),Students!$A:$A,0)),"NOT ON LIST"))</f>
        <v/>
      </c>
      <c r="H2561" s="35">
        <f>IF(OR(G2561="",G2561="NOT ON LIST"),"",VLOOKUP(G2561,Students!$A:$C,2,FALSE))</f>
        <v/>
      </c>
      <c r="I2561" s="35">
        <f>IF(OR(G2561="",G2561="NOT ON LIST"),"",VLOOKUP(G2561,Students!$A:$C,3,FALSE)&amp;"")</f>
        <v/>
      </c>
    </row>
    <row r="2562">
      <c r="A2562" s="31" t="n"/>
      <c r="B2562" s="32" t="n"/>
      <c r="C2562" s="32" t="n"/>
      <c r="D2562" s="33" t="n"/>
      <c r="E2562" s="32" t="n"/>
      <c r="F2562" s="34">
        <f>IF(A2562="","",IFERROR(INT(A2562),"check date"))</f>
        <v/>
      </c>
      <c r="G2562" s="35">
        <f>IF(B2562="","",IFERROR(INDEX(Students!$A:$A,MATCH(TRIM(B2562),Students!$A:$A,0)),"NOT ON LIST"))</f>
        <v/>
      </c>
      <c r="H2562" s="35">
        <f>IF(OR(G2562="",G2562="NOT ON LIST"),"",VLOOKUP(G2562,Students!$A:$C,2,FALSE))</f>
        <v/>
      </c>
      <c r="I2562" s="35">
        <f>IF(OR(G2562="",G2562="NOT ON LIST"),"",VLOOKUP(G2562,Students!$A:$C,3,FALSE)&amp;"")</f>
        <v/>
      </c>
    </row>
    <row r="2563">
      <c r="A2563" s="31" t="n"/>
      <c r="B2563" s="32" t="n"/>
      <c r="C2563" s="32" t="n"/>
      <c r="D2563" s="33" t="n"/>
      <c r="E2563" s="32" t="n"/>
      <c r="F2563" s="34">
        <f>IF(A2563="","",IFERROR(INT(A2563),"check date"))</f>
        <v/>
      </c>
      <c r="G2563" s="35">
        <f>IF(B2563="","",IFERROR(INDEX(Students!$A:$A,MATCH(TRIM(B2563),Students!$A:$A,0)),"NOT ON LIST"))</f>
        <v/>
      </c>
      <c r="H2563" s="35">
        <f>IF(OR(G2563="",G2563="NOT ON LIST"),"",VLOOKUP(G2563,Students!$A:$C,2,FALSE))</f>
        <v/>
      </c>
      <c r="I2563" s="35">
        <f>IF(OR(G2563="",G2563="NOT ON LIST"),"",VLOOKUP(G2563,Students!$A:$C,3,FALSE)&amp;"")</f>
        <v/>
      </c>
    </row>
    <row r="2564">
      <c r="A2564" s="31" t="n"/>
      <c r="B2564" s="32" t="n"/>
      <c r="C2564" s="32" t="n"/>
      <c r="D2564" s="33" t="n"/>
      <c r="E2564" s="32" t="n"/>
      <c r="F2564" s="34">
        <f>IF(A2564="","",IFERROR(INT(A2564),"check date"))</f>
        <v/>
      </c>
      <c r="G2564" s="35">
        <f>IF(B2564="","",IFERROR(INDEX(Students!$A:$A,MATCH(TRIM(B2564),Students!$A:$A,0)),"NOT ON LIST"))</f>
        <v/>
      </c>
      <c r="H2564" s="35">
        <f>IF(OR(G2564="",G2564="NOT ON LIST"),"",VLOOKUP(G2564,Students!$A:$C,2,FALSE))</f>
        <v/>
      </c>
      <c r="I2564" s="35">
        <f>IF(OR(G2564="",G2564="NOT ON LIST"),"",VLOOKUP(G2564,Students!$A:$C,3,FALSE)&amp;"")</f>
        <v/>
      </c>
    </row>
    <row r="2565">
      <c r="A2565" s="31" t="n"/>
      <c r="B2565" s="32" t="n"/>
      <c r="C2565" s="32" t="n"/>
      <c r="D2565" s="33" t="n"/>
      <c r="E2565" s="32" t="n"/>
      <c r="F2565" s="34">
        <f>IF(A2565="","",IFERROR(INT(A2565),"check date"))</f>
        <v/>
      </c>
      <c r="G2565" s="35">
        <f>IF(B2565="","",IFERROR(INDEX(Students!$A:$A,MATCH(TRIM(B2565),Students!$A:$A,0)),"NOT ON LIST"))</f>
        <v/>
      </c>
      <c r="H2565" s="35">
        <f>IF(OR(G2565="",G2565="NOT ON LIST"),"",VLOOKUP(G2565,Students!$A:$C,2,FALSE))</f>
        <v/>
      </c>
      <c r="I2565" s="35">
        <f>IF(OR(G2565="",G2565="NOT ON LIST"),"",VLOOKUP(G2565,Students!$A:$C,3,FALSE)&amp;"")</f>
        <v/>
      </c>
    </row>
    <row r="2566">
      <c r="A2566" s="31" t="n"/>
      <c r="B2566" s="32" t="n"/>
      <c r="C2566" s="32" t="n"/>
      <c r="D2566" s="33" t="n"/>
      <c r="E2566" s="32" t="n"/>
      <c r="F2566" s="34">
        <f>IF(A2566="","",IFERROR(INT(A2566),"check date"))</f>
        <v/>
      </c>
      <c r="G2566" s="35">
        <f>IF(B2566="","",IFERROR(INDEX(Students!$A:$A,MATCH(TRIM(B2566),Students!$A:$A,0)),"NOT ON LIST"))</f>
        <v/>
      </c>
      <c r="H2566" s="35">
        <f>IF(OR(G2566="",G2566="NOT ON LIST"),"",VLOOKUP(G2566,Students!$A:$C,2,FALSE))</f>
        <v/>
      </c>
      <c r="I2566" s="35">
        <f>IF(OR(G2566="",G2566="NOT ON LIST"),"",VLOOKUP(G2566,Students!$A:$C,3,FALSE)&amp;"")</f>
        <v/>
      </c>
    </row>
    <row r="2567">
      <c r="A2567" s="31" t="n"/>
      <c r="B2567" s="32" t="n"/>
      <c r="C2567" s="32" t="n"/>
      <c r="D2567" s="33" t="n"/>
      <c r="E2567" s="32" t="n"/>
      <c r="F2567" s="34">
        <f>IF(A2567="","",IFERROR(INT(A2567),"check date"))</f>
        <v/>
      </c>
      <c r="G2567" s="35">
        <f>IF(B2567="","",IFERROR(INDEX(Students!$A:$A,MATCH(TRIM(B2567),Students!$A:$A,0)),"NOT ON LIST"))</f>
        <v/>
      </c>
      <c r="H2567" s="35">
        <f>IF(OR(G2567="",G2567="NOT ON LIST"),"",VLOOKUP(G2567,Students!$A:$C,2,FALSE))</f>
        <v/>
      </c>
      <c r="I2567" s="35">
        <f>IF(OR(G2567="",G2567="NOT ON LIST"),"",VLOOKUP(G2567,Students!$A:$C,3,FALSE)&amp;"")</f>
        <v/>
      </c>
    </row>
    <row r="2568">
      <c r="A2568" s="31" t="n"/>
      <c r="B2568" s="32" t="n"/>
      <c r="C2568" s="32" t="n"/>
      <c r="D2568" s="33" t="n"/>
      <c r="E2568" s="32" t="n"/>
      <c r="F2568" s="34">
        <f>IF(A2568="","",IFERROR(INT(A2568),"check date"))</f>
        <v/>
      </c>
      <c r="G2568" s="35">
        <f>IF(B2568="","",IFERROR(INDEX(Students!$A:$A,MATCH(TRIM(B2568),Students!$A:$A,0)),"NOT ON LIST"))</f>
        <v/>
      </c>
      <c r="H2568" s="35">
        <f>IF(OR(G2568="",G2568="NOT ON LIST"),"",VLOOKUP(G2568,Students!$A:$C,2,FALSE))</f>
        <v/>
      </c>
      <c r="I2568" s="35">
        <f>IF(OR(G2568="",G2568="NOT ON LIST"),"",VLOOKUP(G2568,Students!$A:$C,3,FALSE)&amp;"")</f>
        <v/>
      </c>
    </row>
    <row r="2569">
      <c r="A2569" s="31" t="n"/>
      <c r="B2569" s="32" t="n"/>
      <c r="C2569" s="32" t="n"/>
      <c r="D2569" s="33" t="n"/>
      <c r="E2569" s="32" t="n"/>
      <c r="F2569" s="34">
        <f>IF(A2569="","",IFERROR(INT(A2569),"check date"))</f>
        <v/>
      </c>
      <c r="G2569" s="35">
        <f>IF(B2569="","",IFERROR(INDEX(Students!$A:$A,MATCH(TRIM(B2569),Students!$A:$A,0)),"NOT ON LIST"))</f>
        <v/>
      </c>
      <c r="H2569" s="35">
        <f>IF(OR(G2569="",G2569="NOT ON LIST"),"",VLOOKUP(G2569,Students!$A:$C,2,FALSE))</f>
        <v/>
      </c>
      <c r="I2569" s="35">
        <f>IF(OR(G2569="",G2569="NOT ON LIST"),"",VLOOKUP(G2569,Students!$A:$C,3,FALSE)&amp;"")</f>
        <v/>
      </c>
    </row>
    <row r="2570">
      <c r="A2570" s="31" t="n"/>
      <c r="B2570" s="32" t="n"/>
      <c r="C2570" s="32" t="n"/>
      <c r="D2570" s="33" t="n"/>
      <c r="E2570" s="32" t="n"/>
      <c r="F2570" s="34">
        <f>IF(A2570="","",IFERROR(INT(A2570),"check date"))</f>
        <v/>
      </c>
      <c r="G2570" s="35">
        <f>IF(B2570="","",IFERROR(INDEX(Students!$A:$A,MATCH(TRIM(B2570),Students!$A:$A,0)),"NOT ON LIST"))</f>
        <v/>
      </c>
      <c r="H2570" s="35">
        <f>IF(OR(G2570="",G2570="NOT ON LIST"),"",VLOOKUP(G2570,Students!$A:$C,2,FALSE))</f>
        <v/>
      </c>
      <c r="I2570" s="35">
        <f>IF(OR(G2570="",G2570="NOT ON LIST"),"",VLOOKUP(G2570,Students!$A:$C,3,FALSE)&amp;"")</f>
        <v/>
      </c>
    </row>
    <row r="2571">
      <c r="A2571" s="31" t="n"/>
      <c r="B2571" s="32" t="n"/>
      <c r="C2571" s="32" t="n"/>
      <c r="D2571" s="33" t="n"/>
      <c r="E2571" s="32" t="n"/>
      <c r="F2571" s="34">
        <f>IF(A2571="","",IFERROR(INT(A2571),"check date"))</f>
        <v/>
      </c>
      <c r="G2571" s="35">
        <f>IF(B2571="","",IFERROR(INDEX(Students!$A:$A,MATCH(TRIM(B2571),Students!$A:$A,0)),"NOT ON LIST"))</f>
        <v/>
      </c>
      <c r="H2571" s="35">
        <f>IF(OR(G2571="",G2571="NOT ON LIST"),"",VLOOKUP(G2571,Students!$A:$C,2,FALSE))</f>
        <v/>
      </c>
      <c r="I2571" s="35">
        <f>IF(OR(G2571="",G2571="NOT ON LIST"),"",VLOOKUP(G2571,Students!$A:$C,3,FALSE)&amp;"")</f>
        <v/>
      </c>
    </row>
    <row r="2572">
      <c r="A2572" s="31" t="n"/>
      <c r="B2572" s="32" t="n"/>
      <c r="C2572" s="32" t="n"/>
      <c r="D2572" s="33" t="n"/>
      <c r="E2572" s="32" t="n"/>
      <c r="F2572" s="34">
        <f>IF(A2572="","",IFERROR(INT(A2572),"check date"))</f>
        <v/>
      </c>
      <c r="G2572" s="35">
        <f>IF(B2572="","",IFERROR(INDEX(Students!$A:$A,MATCH(TRIM(B2572),Students!$A:$A,0)),"NOT ON LIST"))</f>
        <v/>
      </c>
      <c r="H2572" s="35">
        <f>IF(OR(G2572="",G2572="NOT ON LIST"),"",VLOOKUP(G2572,Students!$A:$C,2,FALSE))</f>
        <v/>
      </c>
      <c r="I2572" s="35">
        <f>IF(OR(G2572="",G2572="NOT ON LIST"),"",VLOOKUP(G2572,Students!$A:$C,3,FALSE)&amp;"")</f>
        <v/>
      </c>
    </row>
    <row r="2573">
      <c r="A2573" s="31" t="n"/>
      <c r="B2573" s="32" t="n"/>
      <c r="C2573" s="32" t="n"/>
      <c r="D2573" s="33" t="n"/>
      <c r="E2573" s="32" t="n"/>
      <c r="F2573" s="34">
        <f>IF(A2573="","",IFERROR(INT(A2573),"check date"))</f>
        <v/>
      </c>
      <c r="G2573" s="35">
        <f>IF(B2573="","",IFERROR(INDEX(Students!$A:$A,MATCH(TRIM(B2573),Students!$A:$A,0)),"NOT ON LIST"))</f>
        <v/>
      </c>
      <c r="H2573" s="35">
        <f>IF(OR(G2573="",G2573="NOT ON LIST"),"",VLOOKUP(G2573,Students!$A:$C,2,FALSE))</f>
        <v/>
      </c>
      <c r="I2573" s="35">
        <f>IF(OR(G2573="",G2573="NOT ON LIST"),"",VLOOKUP(G2573,Students!$A:$C,3,FALSE)&amp;"")</f>
        <v/>
      </c>
    </row>
    <row r="2574">
      <c r="A2574" s="31" t="n"/>
      <c r="B2574" s="32" t="n"/>
      <c r="C2574" s="32" t="n"/>
      <c r="D2574" s="33" t="n"/>
      <c r="E2574" s="32" t="n"/>
      <c r="F2574" s="34">
        <f>IF(A2574="","",IFERROR(INT(A2574),"check date"))</f>
        <v/>
      </c>
      <c r="G2574" s="35">
        <f>IF(B2574="","",IFERROR(INDEX(Students!$A:$A,MATCH(TRIM(B2574),Students!$A:$A,0)),"NOT ON LIST"))</f>
        <v/>
      </c>
      <c r="H2574" s="35">
        <f>IF(OR(G2574="",G2574="NOT ON LIST"),"",VLOOKUP(G2574,Students!$A:$C,2,FALSE))</f>
        <v/>
      </c>
      <c r="I2574" s="35">
        <f>IF(OR(G2574="",G2574="NOT ON LIST"),"",VLOOKUP(G2574,Students!$A:$C,3,FALSE)&amp;"")</f>
        <v/>
      </c>
    </row>
    <row r="2575">
      <c r="A2575" s="31" t="n"/>
      <c r="B2575" s="32" t="n"/>
      <c r="C2575" s="32" t="n"/>
      <c r="D2575" s="33" t="n"/>
      <c r="E2575" s="32" t="n"/>
      <c r="F2575" s="34">
        <f>IF(A2575="","",IFERROR(INT(A2575),"check date"))</f>
        <v/>
      </c>
      <c r="G2575" s="35">
        <f>IF(B2575="","",IFERROR(INDEX(Students!$A:$A,MATCH(TRIM(B2575),Students!$A:$A,0)),"NOT ON LIST"))</f>
        <v/>
      </c>
      <c r="H2575" s="35">
        <f>IF(OR(G2575="",G2575="NOT ON LIST"),"",VLOOKUP(G2575,Students!$A:$C,2,FALSE))</f>
        <v/>
      </c>
      <c r="I2575" s="35">
        <f>IF(OR(G2575="",G2575="NOT ON LIST"),"",VLOOKUP(G2575,Students!$A:$C,3,FALSE)&amp;"")</f>
        <v/>
      </c>
    </row>
    <row r="2576">
      <c r="A2576" s="31" t="n"/>
      <c r="B2576" s="32" t="n"/>
      <c r="C2576" s="32" t="n"/>
      <c r="D2576" s="33" t="n"/>
      <c r="E2576" s="32" t="n"/>
      <c r="F2576" s="34">
        <f>IF(A2576="","",IFERROR(INT(A2576),"check date"))</f>
        <v/>
      </c>
      <c r="G2576" s="35">
        <f>IF(B2576="","",IFERROR(INDEX(Students!$A:$A,MATCH(TRIM(B2576),Students!$A:$A,0)),"NOT ON LIST"))</f>
        <v/>
      </c>
      <c r="H2576" s="35">
        <f>IF(OR(G2576="",G2576="NOT ON LIST"),"",VLOOKUP(G2576,Students!$A:$C,2,FALSE))</f>
        <v/>
      </c>
      <c r="I2576" s="35">
        <f>IF(OR(G2576="",G2576="NOT ON LIST"),"",VLOOKUP(G2576,Students!$A:$C,3,FALSE)&amp;"")</f>
        <v/>
      </c>
    </row>
    <row r="2577">
      <c r="A2577" s="31" t="n"/>
      <c r="B2577" s="32" t="n"/>
      <c r="C2577" s="32" t="n"/>
      <c r="D2577" s="33" t="n"/>
      <c r="E2577" s="32" t="n"/>
      <c r="F2577" s="34">
        <f>IF(A2577="","",IFERROR(INT(A2577),"check date"))</f>
        <v/>
      </c>
      <c r="G2577" s="35">
        <f>IF(B2577="","",IFERROR(INDEX(Students!$A:$A,MATCH(TRIM(B2577),Students!$A:$A,0)),"NOT ON LIST"))</f>
        <v/>
      </c>
      <c r="H2577" s="35">
        <f>IF(OR(G2577="",G2577="NOT ON LIST"),"",VLOOKUP(G2577,Students!$A:$C,2,FALSE))</f>
        <v/>
      </c>
      <c r="I2577" s="35">
        <f>IF(OR(G2577="",G2577="NOT ON LIST"),"",VLOOKUP(G2577,Students!$A:$C,3,FALSE)&amp;"")</f>
        <v/>
      </c>
    </row>
    <row r="2578">
      <c r="A2578" s="31" t="n"/>
      <c r="B2578" s="32" t="n"/>
      <c r="C2578" s="32" t="n"/>
      <c r="D2578" s="33" t="n"/>
      <c r="E2578" s="32" t="n"/>
      <c r="F2578" s="34">
        <f>IF(A2578="","",IFERROR(INT(A2578),"check date"))</f>
        <v/>
      </c>
      <c r="G2578" s="35">
        <f>IF(B2578="","",IFERROR(INDEX(Students!$A:$A,MATCH(TRIM(B2578),Students!$A:$A,0)),"NOT ON LIST"))</f>
        <v/>
      </c>
      <c r="H2578" s="35">
        <f>IF(OR(G2578="",G2578="NOT ON LIST"),"",VLOOKUP(G2578,Students!$A:$C,2,FALSE))</f>
        <v/>
      </c>
      <c r="I2578" s="35">
        <f>IF(OR(G2578="",G2578="NOT ON LIST"),"",VLOOKUP(G2578,Students!$A:$C,3,FALSE)&amp;"")</f>
        <v/>
      </c>
    </row>
    <row r="2579">
      <c r="A2579" s="31" t="n"/>
      <c r="B2579" s="32" t="n"/>
      <c r="C2579" s="32" t="n"/>
      <c r="D2579" s="33" t="n"/>
      <c r="E2579" s="32" t="n"/>
      <c r="F2579" s="34">
        <f>IF(A2579="","",IFERROR(INT(A2579),"check date"))</f>
        <v/>
      </c>
      <c r="G2579" s="35">
        <f>IF(B2579="","",IFERROR(INDEX(Students!$A:$A,MATCH(TRIM(B2579),Students!$A:$A,0)),"NOT ON LIST"))</f>
        <v/>
      </c>
      <c r="H2579" s="35">
        <f>IF(OR(G2579="",G2579="NOT ON LIST"),"",VLOOKUP(G2579,Students!$A:$C,2,FALSE))</f>
        <v/>
      </c>
      <c r="I2579" s="35">
        <f>IF(OR(G2579="",G2579="NOT ON LIST"),"",VLOOKUP(G2579,Students!$A:$C,3,FALSE)&amp;"")</f>
        <v/>
      </c>
    </row>
    <row r="2580">
      <c r="A2580" s="31" t="n"/>
      <c r="B2580" s="32" t="n"/>
      <c r="C2580" s="32" t="n"/>
      <c r="D2580" s="33" t="n"/>
      <c r="E2580" s="32" t="n"/>
      <c r="F2580" s="34">
        <f>IF(A2580="","",IFERROR(INT(A2580),"check date"))</f>
        <v/>
      </c>
      <c r="G2580" s="35">
        <f>IF(B2580="","",IFERROR(INDEX(Students!$A:$A,MATCH(TRIM(B2580),Students!$A:$A,0)),"NOT ON LIST"))</f>
        <v/>
      </c>
      <c r="H2580" s="35">
        <f>IF(OR(G2580="",G2580="NOT ON LIST"),"",VLOOKUP(G2580,Students!$A:$C,2,FALSE))</f>
        <v/>
      </c>
      <c r="I2580" s="35">
        <f>IF(OR(G2580="",G2580="NOT ON LIST"),"",VLOOKUP(G2580,Students!$A:$C,3,FALSE)&amp;"")</f>
        <v/>
      </c>
    </row>
    <row r="2581">
      <c r="A2581" s="31" t="n"/>
      <c r="B2581" s="32" t="n"/>
      <c r="C2581" s="32" t="n"/>
      <c r="D2581" s="33" t="n"/>
      <c r="E2581" s="32" t="n"/>
      <c r="F2581" s="34">
        <f>IF(A2581="","",IFERROR(INT(A2581),"check date"))</f>
        <v/>
      </c>
      <c r="G2581" s="35">
        <f>IF(B2581="","",IFERROR(INDEX(Students!$A:$A,MATCH(TRIM(B2581),Students!$A:$A,0)),"NOT ON LIST"))</f>
        <v/>
      </c>
      <c r="H2581" s="35">
        <f>IF(OR(G2581="",G2581="NOT ON LIST"),"",VLOOKUP(G2581,Students!$A:$C,2,FALSE))</f>
        <v/>
      </c>
      <c r="I2581" s="35">
        <f>IF(OR(G2581="",G2581="NOT ON LIST"),"",VLOOKUP(G2581,Students!$A:$C,3,FALSE)&amp;"")</f>
        <v/>
      </c>
    </row>
    <row r="2582">
      <c r="A2582" s="31" t="n"/>
      <c r="B2582" s="32" t="n"/>
      <c r="C2582" s="32" t="n"/>
      <c r="D2582" s="33" t="n"/>
      <c r="E2582" s="32" t="n"/>
      <c r="F2582" s="34">
        <f>IF(A2582="","",IFERROR(INT(A2582),"check date"))</f>
        <v/>
      </c>
      <c r="G2582" s="35">
        <f>IF(B2582="","",IFERROR(INDEX(Students!$A:$A,MATCH(TRIM(B2582),Students!$A:$A,0)),"NOT ON LIST"))</f>
        <v/>
      </c>
      <c r="H2582" s="35">
        <f>IF(OR(G2582="",G2582="NOT ON LIST"),"",VLOOKUP(G2582,Students!$A:$C,2,FALSE))</f>
        <v/>
      </c>
      <c r="I2582" s="35">
        <f>IF(OR(G2582="",G2582="NOT ON LIST"),"",VLOOKUP(G2582,Students!$A:$C,3,FALSE)&amp;"")</f>
        <v/>
      </c>
    </row>
    <row r="2583">
      <c r="A2583" s="31" t="n"/>
      <c r="B2583" s="32" t="n"/>
      <c r="C2583" s="32" t="n"/>
      <c r="D2583" s="33" t="n"/>
      <c r="E2583" s="32" t="n"/>
      <c r="F2583" s="34">
        <f>IF(A2583="","",IFERROR(INT(A2583),"check date"))</f>
        <v/>
      </c>
      <c r="G2583" s="35">
        <f>IF(B2583="","",IFERROR(INDEX(Students!$A:$A,MATCH(TRIM(B2583),Students!$A:$A,0)),"NOT ON LIST"))</f>
        <v/>
      </c>
      <c r="H2583" s="35">
        <f>IF(OR(G2583="",G2583="NOT ON LIST"),"",VLOOKUP(G2583,Students!$A:$C,2,FALSE))</f>
        <v/>
      </c>
      <c r="I2583" s="35">
        <f>IF(OR(G2583="",G2583="NOT ON LIST"),"",VLOOKUP(G2583,Students!$A:$C,3,FALSE)&amp;"")</f>
        <v/>
      </c>
    </row>
    <row r="2584">
      <c r="A2584" s="31" t="n"/>
      <c r="B2584" s="32" t="n"/>
      <c r="C2584" s="32" t="n"/>
      <c r="D2584" s="33" t="n"/>
      <c r="E2584" s="32" t="n"/>
      <c r="F2584" s="34">
        <f>IF(A2584="","",IFERROR(INT(A2584),"check date"))</f>
        <v/>
      </c>
      <c r="G2584" s="35">
        <f>IF(B2584="","",IFERROR(INDEX(Students!$A:$A,MATCH(TRIM(B2584),Students!$A:$A,0)),"NOT ON LIST"))</f>
        <v/>
      </c>
      <c r="H2584" s="35">
        <f>IF(OR(G2584="",G2584="NOT ON LIST"),"",VLOOKUP(G2584,Students!$A:$C,2,FALSE))</f>
        <v/>
      </c>
      <c r="I2584" s="35">
        <f>IF(OR(G2584="",G2584="NOT ON LIST"),"",VLOOKUP(G2584,Students!$A:$C,3,FALSE)&amp;"")</f>
        <v/>
      </c>
    </row>
    <row r="2585">
      <c r="A2585" s="31" t="n"/>
      <c r="B2585" s="32" t="n"/>
      <c r="C2585" s="32" t="n"/>
      <c r="D2585" s="33" t="n"/>
      <c r="E2585" s="32" t="n"/>
      <c r="F2585" s="34">
        <f>IF(A2585="","",IFERROR(INT(A2585),"check date"))</f>
        <v/>
      </c>
      <c r="G2585" s="35">
        <f>IF(B2585="","",IFERROR(INDEX(Students!$A:$A,MATCH(TRIM(B2585),Students!$A:$A,0)),"NOT ON LIST"))</f>
        <v/>
      </c>
      <c r="H2585" s="35">
        <f>IF(OR(G2585="",G2585="NOT ON LIST"),"",VLOOKUP(G2585,Students!$A:$C,2,FALSE))</f>
        <v/>
      </c>
      <c r="I2585" s="35">
        <f>IF(OR(G2585="",G2585="NOT ON LIST"),"",VLOOKUP(G2585,Students!$A:$C,3,FALSE)&amp;"")</f>
        <v/>
      </c>
    </row>
    <row r="2586">
      <c r="A2586" s="31" t="n"/>
      <c r="B2586" s="32" t="n"/>
      <c r="C2586" s="32" t="n"/>
      <c r="D2586" s="33" t="n"/>
      <c r="E2586" s="32" t="n"/>
      <c r="F2586" s="34">
        <f>IF(A2586="","",IFERROR(INT(A2586),"check date"))</f>
        <v/>
      </c>
      <c r="G2586" s="35">
        <f>IF(B2586="","",IFERROR(INDEX(Students!$A:$A,MATCH(TRIM(B2586),Students!$A:$A,0)),"NOT ON LIST"))</f>
        <v/>
      </c>
      <c r="H2586" s="35">
        <f>IF(OR(G2586="",G2586="NOT ON LIST"),"",VLOOKUP(G2586,Students!$A:$C,2,FALSE))</f>
        <v/>
      </c>
      <c r="I2586" s="35">
        <f>IF(OR(G2586="",G2586="NOT ON LIST"),"",VLOOKUP(G2586,Students!$A:$C,3,FALSE)&amp;"")</f>
        <v/>
      </c>
    </row>
    <row r="2587">
      <c r="A2587" s="31" t="n"/>
      <c r="B2587" s="32" t="n"/>
      <c r="C2587" s="32" t="n"/>
      <c r="D2587" s="33" t="n"/>
      <c r="E2587" s="32" t="n"/>
      <c r="F2587" s="34">
        <f>IF(A2587="","",IFERROR(INT(A2587),"check date"))</f>
        <v/>
      </c>
      <c r="G2587" s="35">
        <f>IF(B2587="","",IFERROR(INDEX(Students!$A:$A,MATCH(TRIM(B2587),Students!$A:$A,0)),"NOT ON LIST"))</f>
        <v/>
      </c>
      <c r="H2587" s="35">
        <f>IF(OR(G2587="",G2587="NOT ON LIST"),"",VLOOKUP(G2587,Students!$A:$C,2,FALSE))</f>
        <v/>
      </c>
      <c r="I2587" s="35">
        <f>IF(OR(G2587="",G2587="NOT ON LIST"),"",VLOOKUP(G2587,Students!$A:$C,3,FALSE)&amp;"")</f>
        <v/>
      </c>
    </row>
    <row r="2588">
      <c r="A2588" s="31" t="n"/>
      <c r="B2588" s="32" t="n"/>
      <c r="C2588" s="32" t="n"/>
      <c r="D2588" s="33" t="n"/>
      <c r="E2588" s="32" t="n"/>
      <c r="F2588" s="34">
        <f>IF(A2588="","",IFERROR(INT(A2588),"check date"))</f>
        <v/>
      </c>
      <c r="G2588" s="35">
        <f>IF(B2588="","",IFERROR(INDEX(Students!$A:$A,MATCH(TRIM(B2588),Students!$A:$A,0)),"NOT ON LIST"))</f>
        <v/>
      </c>
      <c r="H2588" s="35">
        <f>IF(OR(G2588="",G2588="NOT ON LIST"),"",VLOOKUP(G2588,Students!$A:$C,2,FALSE))</f>
        <v/>
      </c>
      <c r="I2588" s="35">
        <f>IF(OR(G2588="",G2588="NOT ON LIST"),"",VLOOKUP(G2588,Students!$A:$C,3,FALSE)&amp;"")</f>
        <v/>
      </c>
    </row>
    <row r="2589">
      <c r="A2589" s="31" t="n"/>
      <c r="B2589" s="32" t="n"/>
      <c r="C2589" s="32" t="n"/>
      <c r="D2589" s="33" t="n"/>
      <c r="E2589" s="32" t="n"/>
      <c r="F2589" s="34">
        <f>IF(A2589="","",IFERROR(INT(A2589),"check date"))</f>
        <v/>
      </c>
      <c r="G2589" s="35">
        <f>IF(B2589="","",IFERROR(INDEX(Students!$A:$A,MATCH(TRIM(B2589),Students!$A:$A,0)),"NOT ON LIST"))</f>
        <v/>
      </c>
      <c r="H2589" s="35">
        <f>IF(OR(G2589="",G2589="NOT ON LIST"),"",VLOOKUP(G2589,Students!$A:$C,2,FALSE))</f>
        <v/>
      </c>
      <c r="I2589" s="35">
        <f>IF(OR(G2589="",G2589="NOT ON LIST"),"",VLOOKUP(G2589,Students!$A:$C,3,FALSE)&amp;"")</f>
        <v/>
      </c>
    </row>
    <row r="2590">
      <c r="A2590" s="31" t="n"/>
      <c r="B2590" s="32" t="n"/>
      <c r="C2590" s="32" t="n"/>
      <c r="D2590" s="33" t="n"/>
      <c r="E2590" s="32" t="n"/>
      <c r="F2590" s="34">
        <f>IF(A2590="","",IFERROR(INT(A2590),"check date"))</f>
        <v/>
      </c>
      <c r="G2590" s="35">
        <f>IF(B2590="","",IFERROR(INDEX(Students!$A:$A,MATCH(TRIM(B2590),Students!$A:$A,0)),"NOT ON LIST"))</f>
        <v/>
      </c>
      <c r="H2590" s="35">
        <f>IF(OR(G2590="",G2590="NOT ON LIST"),"",VLOOKUP(G2590,Students!$A:$C,2,FALSE))</f>
        <v/>
      </c>
      <c r="I2590" s="35">
        <f>IF(OR(G2590="",G2590="NOT ON LIST"),"",VLOOKUP(G2590,Students!$A:$C,3,FALSE)&amp;"")</f>
        <v/>
      </c>
    </row>
    <row r="2591">
      <c r="A2591" s="31" t="n"/>
      <c r="B2591" s="32" t="n"/>
      <c r="C2591" s="32" t="n"/>
      <c r="D2591" s="33" t="n"/>
      <c r="E2591" s="32" t="n"/>
      <c r="F2591" s="34">
        <f>IF(A2591="","",IFERROR(INT(A2591),"check date"))</f>
        <v/>
      </c>
      <c r="G2591" s="35">
        <f>IF(B2591="","",IFERROR(INDEX(Students!$A:$A,MATCH(TRIM(B2591),Students!$A:$A,0)),"NOT ON LIST"))</f>
        <v/>
      </c>
      <c r="H2591" s="35">
        <f>IF(OR(G2591="",G2591="NOT ON LIST"),"",VLOOKUP(G2591,Students!$A:$C,2,FALSE))</f>
        <v/>
      </c>
      <c r="I2591" s="35">
        <f>IF(OR(G2591="",G2591="NOT ON LIST"),"",VLOOKUP(G2591,Students!$A:$C,3,FALSE)&amp;"")</f>
        <v/>
      </c>
    </row>
    <row r="2592">
      <c r="A2592" s="31" t="n"/>
      <c r="B2592" s="32" t="n"/>
      <c r="C2592" s="32" t="n"/>
      <c r="D2592" s="33" t="n"/>
      <c r="E2592" s="32" t="n"/>
      <c r="F2592" s="34">
        <f>IF(A2592="","",IFERROR(INT(A2592),"check date"))</f>
        <v/>
      </c>
      <c r="G2592" s="35">
        <f>IF(B2592="","",IFERROR(INDEX(Students!$A:$A,MATCH(TRIM(B2592),Students!$A:$A,0)),"NOT ON LIST"))</f>
        <v/>
      </c>
      <c r="H2592" s="35">
        <f>IF(OR(G2592="",G2592="NOT ON LIST"),"",VLOOKUP(G2592,Students!$A:$C,2,FALSE))</f>
        <v/>
      </c>
      <c r="I2592" s="35">
        <f>IF(OR(G2592="",G2592="NOT ON LIST"),"",VLOOKUP(G2592,Students!$A:$C,3,FALSE)&amp;"")</f>
        <v/>
      </c>
    </row>
    <row r="2593">
      <c r="A2593" s="31" t="n"/>
      <c r="B2593" s="32" t="n"/>
      <c r="C2593" s="32" t="n"/>
      <c r="D2593" s="33" t="n"/>
      <c r="E2593" s="32" t="n"/>
      <c r="F2593" s="34">
        <f>IF(A2593="","",IFERROR(INT(A2593),"check date"))</f>
        <v/>
      </c>
      <c r="G2593" s="35">
        <f>IF(B2593="","",IFERROR(INDEX(Students!$A:$A,MATCH(TRIM(B2593),Students!$A:$A,0)),"NOT ON LIST"))</f>
        <v/>
      </c>
      <c r="H2593" s="35">
        <f>IF(OR(G2593="",G2593="NOT ON LIST"),"",VLOOKUP(G2593,Students!$A:$C,2,FALSE))</f>
        <v/>
      </c>
      <c r="I2593" s="35">
        <f>IF(OR(G2593="",G2593="NOT ON LIST"),"",VLOOKUP(G2593,Students!$A:$C,3,FALSE)&amp;"")</f>
        <v/>
      </c>
    </row>
    <row r="2594">
      <c r="A2594" s="31" t="n"/>
      <c r="B2594" s="32" t="n"/>
      <c r="C2594" s="32" t="n"/>
      <c r="D2594" s="33" t="n"/>
      <c r="E2594" s="32" t="n"/>
      <c r="F2594" s="34">
        <f>IF(A2594="","",IFERROR(INT(A2594),"check date"))</f>
        <v/>
      </c>
      <c r="G2594" s="35">
        <f>IF(B2594="","",IFERROR(INDEX(Students!$A:$A,MATCH(TRIM(B2594),Students!$A:$A,0)),"NOT ON LIST"))</f>
        <v/>
      </c>
      <c r="H2594" s="35">
        <f>IF(OR(G2594="",G2594="NOT ON LIST"),"",VLOOKUP(G2594,Students!$A:$C,2,FALSE))</f>
        <v/>
      </c>
      <c r="I2594" s="35">
        <f>IF(OR(G2594="",G2594="NOT ON LIST"),"",VLOOKUP(G2594,Students!$A:$C,3,FALSE)&amp;"")</f>
        <v/>
      </c>
    </row>
    <row r="2595">
      <c r="A2595" s="31" t="n"/>
      <c r="B2595" s="32" t="n"/>
      <c r="C2595" s="32" t="n"/>
      <c r="D2595" s="33" t="n"/>
      <c r="E2595" s="32" t="n"/>
      <c r="F2595" s="34">
        <f>IF(A2595="","",IFERROR(INT(A2595),"check date"))</f>
        <v/>
      </c>
      <c r="G2595" s="35">
        <f>IF(B2595="","",IFERROR(INDEX(Students!$A:$A,MATCH(TRIM(B2595),Students!$A:$A,0)),"NOT ON LIST"))</f>
        <v/>
      </c>
      <c r="H2595" s="35">
        <f>IF(OR(G2595="",G2595="NOT ON LIST"),"",VLOOKUP(G2595,Students!$A:$C,2,FALSE))</f>
        <v/>
      </c>
      <c r="I2595" s="35">
        <f>IF(OR(G2595="",G2595="NOT ON LIST"),"",VLOOKUP(G2595,Students!$A:$C,3,FALSE)&amp;"")</f>
        <v/>
      </c>
    </row>
    <row r="2596">
      <c r="A2596" s="31" t="n"/>
      <c r="B2596" s="32" t="n"/>
      <c r="C2596" s="32" t="n"/>
      <c r="D2596" s="33" t="n"/>
      <c r="E2596" s="32" t="n"/>
      <c r="F2596" s="34">
        <f>IF(A2596="","",IFERROR(INT(A2596),"check date"))</f>
        <v/>
      </c>
      <c r="G2596" s="35">
        <f>IF(B2596="","",IFERROR(INDEX(Students!$A:$A,MATCH(TRIM(B2596),Students!$A:$A,0)),"NOT ON LIST"))</f>
        <v/>
      </c>
      <c r="H2596" s="35">
        <f>IF(OR(G2596="",G2596="NOT ON LIST"),"",VLOOKUP(G2596,Students!$A:$C,2,FALSE))</f>
        <v/>
      </c>
      <c r="I2596" s="35">
        <f>IF(OR(G2596="",G2596="NOT ON LIST"),"",VLOOKUP(G2596,Students!$A:$C,3,FALSE)&amp;"")</f>
        <v/>
      </c>
    </row>
    <row r="2597">
      <c r="A2597" s="31" t="n"/>
      <c r="B2597" s="32" t="n"/>
      <c r="C2597" s="32" t="n"/>
      <c r="D2597" s="33" t="n"/>
      <c r="E2597" s="32" t="n"/>
      <c r="F2597" s="34">
        <f>IF(A2597="","",IFERROR(INT(A2597),"check date"))</f>
        <v/>
      </c>
      <c r="G2597" s="35">
        <f>IF(B2597="","",IFERROR(INDEX(Students!$A:$A,MATCH(TRIM(B2597),Students!$A:$A,0)),"NOT ON LIST"))</f>
        <v/>
      </c>
      <c r="H2597" s="35">
        <f>IF(OR(G2597="",G2597="NOT ON LIST"),"",VLOOKUP(G2597,Students!$A:$C,2,FALSE))</f>
        <v/>
      </c>
      <c r="I2597" s="35">
        <f>IF(OR(G2597="",G2597="NOT ON LIST"),"",VLOOKUP(G2597,Students!$A:$C,3,FALSE)&amp;"")</f>
        <v/>
      </c>
    </row>
    <row r="2598">
      <c r="A2598" s="31" t="n"/>
      <c r="B2598" s="32" t="n"/>
      <c r="C2598" s="32" t="n"/>
      <c r="D2598" s="33" t="n"/>
      <c r="E2598" s="32" t="n"/>
      <c r="F2598" s="34">
        <f>IF(A2598="","",IFERROR(INT(A2598),"check date"))</f>
        <v/>
      </c>
      <c r="G2598" s="35">
        <f>IF(B2598="","",IFERROR(INDEX(Students!$A:$A,MATCH(TRIM(B2598),Students!$A:$A,0)),"NOT ON LIST"))</f>
        <v/>
      </c>
      <c r="H2598" s="35">
        <f>IF(OR(G2598="",G2598="NOT ON LIST"),"",VLOOKUP(G2598,Students!$A:$C,2,FALSE))</f>
        <v/>
      </c>
      <c r="I2598" s="35">
        <f>IF(OR(G2598="",G2598="NOT ON LIST"),"",VLOOKUP(G2598,Students!$A:$C,3,FALSE)&amp;"")</f>
        <v/>
      </c>
    </row>
    <row r="2599">
      <c r="A2599" s="31" t="n"/>
      <c r="B2599" s="32" t="n"/>
      <c r="C2599" s="32" t="n"/>
      <c r="D2599" s="33" t="n"/>
      <c r="E2599" s="32" t="n"/>
      <c r="F2599" s="34">
        <f>IF(A2599="","",IFERROR(INT(A2599),"check date"))</f>
        <v/>
      </c>
      <c r="G2599" s="35">
        <f>IF(B2599="","",IFERROR(INDEX(Students!$A:$A,MATCH(TRIM(B2599),Students!$A:$A,0)),"NOT ON LIST"))</f>
        <v/>
      </c>
      <c r="H2599" s="35">
        <f>IF(OR(G2599="",G2599="NOT ON LIST"),"",VLOOKUP(G2599,Students!$A:$C,2,FALSE))</f>
        <v/>
      </c>
      <c r="I2599" s="35">
        <f>IF(OR(G2599="",G2599="NOT ON LIST"),"",VLOOKUP(G2599,Students!$A:$C,3,FALSE)&amp;"")</f>
        <v/>
      </c>
    </row>
    <row r="2600">
      <c r="A2600" s="31" t="n"/>
      <c r="B2600" s="32" t="n"/>
      <c r="C2600" s="32" t="n"/>
      <c r="D2600" s="33" t="n"/>
      <c r="E2600" s="32" t="n"/>
      <c r="F2600" s="34">
        <f>IF(A2600="","",IFERROR(INT(A2600),"check date"))</f>
        <v/>
      </c>
      <c r="G2600" s="35">
        <f>IF(B2600="","",IFERROR(INDEX(Students!$A:$A,MATCH(TRIM(B2600),Students!$A:$A,0)),"NOT ON LIST"))</f>
        <v/>
      </c>
      <c r="H2600" s="35">
        <f>IF(OR(G2600="",G2600="NOT ON LIST"),"",VLOOKUP(G2600,Students!$A:$C,2,FALSE))</f>
        <v/>
      </c>
      <c r="I2600" s="35">
        <f>IF(OR(G2600="",G2600="NOT ON LIST"),"",VLOOKUP(G2600,Students!$A:$C,3,FALSE)&amp;"")</f>
        <v/>
      </c>
    </row>
    <row r="2601">
      <c r="A2601" s="31" t="n"/>
      <c r="B2601" s="32" t="n"/>
      <c r="C2601" s="32" t="n"/>
      <c r="D2601" s="33" t="n"/>
      <c r="E2601" s="32" t="n"/>
      <c r="F2601" s="34">
        <f>IF(A2601="","",IFERROR(INT(A2601),"check date"))</f>
        <v/>
      </c>
      <c r="G2601" s="35">
        <f>IF(B2601="","",IFERROR(INDEX(Students!$A:$A,MATCH(TRIM(B2601),Students!$A:$A,0)),"NOT ON LIST"))</f>
        <v/>
      </c>
      <c r="H2601" s="35">
        <f>IF(OR(G2601="",G2601="NOT ON LIST"),"",VLOOKUP(G2601,Students!$A:$C,2,FALSE))</f>
        <v/>
      </c>
      <c r="I2601" s="35">
        <f>IF(OR(G2601="",G2601="NOT ON LIST"),"",VLOOKUP(G2601,Students!$A:$C,3,FALSE)&amp;"")</f>
        <v/>
      </c>
    </row>
    <row r="2602">
      <c r="A2602" s="31" t="n"/>
      <c r="B2602" s="32" t="n"/>
      <c r="C2602" s="32" t="n"/>
      <c r="D2602" s="33" t="n"/>
      <c r="E2602" s="32" t="n"/>
      <c r="F2602" s="34">
        <f>IF(A2602="","",IFERROR(INT(A2602),"check date"))</f>
        <v/>
      </c>
      <c r="G2602" s="35">
        <f>IF(B2602="","",IFERROR(INDEX(Students!$A:$A,MATCH(TRIM(B2602),Students!$A:$A,0)),"NOT ON LIST"))</f>
        <v/>
      </c>
      <c r="H2602" s="35">
        <f>IF(OR(G2602="",G2602="NOT ON LIST"),"",VLOOKUP(G2602,Students!$A:$C,2,FALSE))</f>
        <v/>
      </c>
      <c r="I2602" s="35">
        <f>IF(OR(G2602="",G2602="NOT ON LIST"),"",VLOOKUP(G2602,Students!$A:$C,3,FALSE)&amp;"")</f>
        <v/>
      </c>
    </row>
    <row r="2603">
      <c r="A2603" s="31" t="n"/>
      <c r="B2603" s="32" t="n"/>
      <c r="C2603" s="32" t="n"/>
      <c r="D2603" s="33" t="n"/>
      <c r="E2603" s="32" t="n"/>
      <c r="F2603" s="34">
        <f>IF(A2603="","",IFERROR(INT(A2603),"check date"))</f>
        <v/>
      </c>
      <c r="G2603" s="35">
        <f>IF(B2603="","",IFERROR(INDEX(Students!$A:$A,MATCH(TRIM(B2603),Students!$A:$A,0)),"NOT ON LIST"))</f>
        <v/>
      </c>
      <c r="H2603" s="35">
        <f>IF(OR(G2603="",G2603="NOT ON LIST"),"",VLOOKUP(G2603,Students!$A:$C,2,FALSE))</f>
        <v/>
      </c>
      <c r="I2603" s="35">
        <f>IF(OR(G2603="",G2603="NOT ON LIST"),"",VLOOKUP(G2603,Students!$A:$C,3,FALSE)&amp;"")</f>
        <v/>
      </c>
    </row>
    <row r="2604">
      <c r="A2604" s="31" t="n"/>
      <c r="B2604" s="32" t="n"/>
      <c r="C2604" s="32" t="n"/>
      <c r="D2604" s="33" t="n"/>
      <c r="E2604" s="32" t="n"/>
      <c r="F2604" s="34">
        <f>IF(A2604="","",IFERROR(INT(A2604),"check date"))</f>
        <v/>
      </c>
      <c r="G2604" s="35">
        <f>IF(B2604="","",IFERROR(INDEX(Students!$A:$A,MATCH(TRIM(B2604),Students!$A:$A,0)),"NOT ON LIST"))</f>
        <v/>
      </c>
      <c r="H2604" s="35">
        <f>IF(OR(G2604="",G2604="NOT ON LIST"),"",VLOOKUP(G2604,Students!$A:$C,2,FALSE))</f>
        <v/>
      </c>
      <c r="I2604" s="35">
        <f>IF(OR(G2604="",G2604="NOT ON LIST"),"",VLOOKUP(G2604,Students!$A:$C,3,FALSE)&amp;"")</f>
        <v/>
      </c>
    </row>
    <row r="2605">
      <c r="A2605" s="31" t="n"/>
      <c r="B2605" s="32" t="n"/>
      <c r="C2605" s="32" t="n"/>
      <c r="D2605" s="33" t="n"/>
      <c r="E2605" s="32" t="n"/>
      <c r="F2605" s="34">
        <f>IF(A2605="","",IFERROR(INT(A2605),"check date"))</f>
        <v/>
      </c>
      <c r="G2605" s="35">
        <f>IF(B2605="","",IFERROR(INDEX(Students!$A:$A,MATCH(TRIM(B2605),Students!$A:$A,0)),"NOT ON LIST"))</f>
        <v/>
      </c>
      <c r="H2605" s="35">
        <f>IF(OR(G2605="",G2605="NOT ON LIST"),"",VLOOKUP(G2605,Students!$A:$C,2,FALSE))</f>
        <v/>
      </c>
      <c r="I2605" s="35">
        <f>IF(OR(G2605="",G2605="NOT ON LIST"),"",VLOOKUP(G2605,Students!$A:$C,3,FALSE)&amp;"")</f>
        <v/>
      </c>
    </row>
    <row r="2606">
      <c r="A2606" s="31" t="n"/>
      <c r="B2606" s="32" t="n"/>
      <c r="C2606" s="32" t="n"/>
      <c r="D2606" s="33" t="n"/>
      <c r="E2606" s="32" t="n"/>
      <c r="F2606" s="34">
        <f>IF(A2606="","",IFERROR(INT(A2606),"check date"))</f>
        <v/>
      </c>
      <c r="G2606" s="35">
        <f>IF(B2606="","",IFERROR(INDEX(Students!$A:$A,MATCH(TRIM(B2606),Students!$A:$A,0)),"NOT ON LIST"))</f>
        <v/>
      </c>
      <c r="H2606" s="35">
        <f>IF(OR(G2606="",G2606="NOT ON LIST"),"",VLOOKUP(G2606,Students!$A:$C,2,FALSE))</f>
        <v/>
      </c>
      <c r="I2606" s="35">
        <f>IF(OR(G2606="",G2606="NOT ON LIST"),"",VLOOKUP(G2606,Students!$A:$C,3,FALSE)&amp;"")</f>
        <v/>
      </c>
    </row>
    <row r="2607">
      <c r="A2607" s="31" t="n"/>
      <c r="B2607" s="32" t="n"/>
      <c r="C2607" s="32" t="n"/>
      <c r="D2607" s="33" t="n"/>
      <c r="E2607" s="32" t="n"/>
      <c r="F2607" s="34">
        <f>IF(A2607="","",IFERROR(INT(A2607),"check date"))</f>
        <v/>
      </c>
      <c r="G2607" s="35">
        <f>IF(B2607="","",IFERROR(INDEX(Students!$A:$A,MATCH(TRIM(B2607),Students!$A:$A,0)),"NOT ON LIST"))</f>
        <v/>
      </c>
      <c r="H2607" s="35">
        <f>IF(OR(G2607="",G2607="NOT ON LIST"),"",VLOOKUP(G2607,Students!$A:$C,2,FALSE))</f>
        <v/>
      </c>
      <c r="I2607" s="35">
        <f>IF(OR(G2607="",G2607="NOT ON LIST"),"",VLOOKUP(G2607,Students!$A:$C,3,FALSE)&amp;"")</f>
        <v/>
      </c>
    </row>
    <row r="2608">
      <c r="A2608" s="31" t="n"/>
      <c r="B2608" s="32" t="n"/>
      <c r="C2608" s="32" t="n"/>
      <c r="D2608" s="33" t="n"/>
      <c r="E2608" s="32" t="n"/>
      <c r="F2608" s="34">
        <f>IF(A2608="","",IFERROR(INT(A2608),"check date"))</f>
        <v/>
      </c>
      <c r="G2608" s="35">
        <f>IF(B2608="","",IFERROR(INDEX(Students!$A:$A,MATCH(TRIM(B2608),Students!$A:$A,0)),"NOT ON LIST"))</f>
        <v/>
      </c>
      <c r="H2608" s="35">
        <f>IF(OR(G2608="",G2608="NOT ON LIST"),"",VLOOKUP(G2608,Students!$A:$C,2,FALSE))</f>
        <v/>
      </c>
      <c r="I2608" s="35">
        <f>IF(OR(G2608="",G2608="NOT ON LIST"),"",VLOOKUP(G2608,Students!$A:$C,3,FALSE)&amp;"")</f>
        <v/>
      </c>
    </row>
    <row r="2609">
      <c r="A2609" s="31" t="n"/>
      <c r="B2609" s="32" t="n"/>
      <c r="C2609" s="32" t="n"/>
      <c r="D2609" s="33" t="n"/>
      <c r="E2609" s="32" t="n"/>
      <c r="F2609" s="34">
        <f>IF(A2609="","",IFERROR(INT(A2609),"check date"))</f>
        <v/>
      </c>
      <c r="G2609" s="35">
        <f>IF(B2609="","",IFERROR(INDEX(Students!$A:$A,MATCH(TRIM(B2609),Students!$A:$A,0)),"NOT ON LIST"))</f>
        <v/>
      </c>
      <c r="H2609" s="35">
        <f>IF(OR(G2609="",G2609="NOT ON LIST"),"",VLOOKUP(G2609,Students!$A:$C,2,FALSE))</f>
        <v/>
      </c>
      <c r="I2609" s="35">
        <f>IF(OR(G2609="",G2609="NOT ON LIST"),"",VLOOKUP(G2609,Students!$A:$C,3,FALSE)&amp;"")</f>
        <v/>
      </c>
    </row>
    <row r="2610">
      <c r="A2610" s="31" t="n"/>
      <c r="B2610" s="32" t="n"/>
      <c r="C2610" s="32" t="n"/>
      <c r="D2610" s="33" t="n"/>
      <c r="E2610" s="32" t="n"/>
      <c r="F2610" s="34">
        <f>IF(A2610="","",IFERROR(INT(A2610),"check date"))</f>
        <v/>
      </c>
      <c r="G2610" s="35">
        <f>IF(B2610="","",IFERROR(INDEX(Students!$A:$A,MATCH(TRIM(B2610),Students!$A:$A,0)),"NOT ON LIST"))</f>
        <v/>
      </c>
      <c r="H2610" s="35">
        <f>IF(OR(G2610="",G2610="NOT ON LIST"),"",VLOOKUP(G2610,Students!$A:$C,2,FALSE))</f>
        <v/>
      </c>
      <c r="I2610" s="35">
        <f>IF(OR(G2610="",G2610="NOT ON LIST"),"",VLOOKUP(G2610,Students!$A:$C,3,FALSE)&amp;"")</f>
        <v/>
      </c>
    </row>
    <row r="2611">
      <c r="A2611" s="31" t="n"/>
      <c r="B2611" s="32" t="n"/>
      <c r="C2611" s="32" t="n"/>
      <c r="D2611" s="33" t="n"/>
      <c r="E2611" s="32" t="n"/>
      <c r="F2611" s="34">
        <f>IF(A2611="","",IFERROR(INT(A2611),"check date"))</f>
        <v/>
      </c>
      <c r="G2611" s="35">
        <f>IF(B2611="","",IFERROR(INDEX(Students!$A:$A,MATCH(TRIM(B2611),Students!$A:$A,0)),"NOT ON LIST"))</f>
        <v/>
      </c>
      <c r="H2611" s="35">
        <f>IF(OR(G2611="",G2611="NOT ON LIST"),"",VLOOKUP(G2611,Students!$A:$C,2,FALSE))</f>
        <v/>
      </c>
      <c r="I2611" s="35">
        <f>IF(OR(G2611="",G2611="NOT ON LIST"),"",VLOOKUP(G2611,Students!$A:$C,3,FALSE)&amp;"")</f>
        <v/>
      </c>
    </row>
    <row r="2612">
      <c r="A2612" s="31" t="n"/>
      <c r="B2612" s="32" t="n"/>
      <c r="C2612" s="32" t="n"/>
      <c r="D2612" s="33" t="n"/>
      <c r="E2612" s="32" t="n"/>
      <c r="F2612" s="34">
        <f>IF(A2612="","",IFERROR(INT(A2612),"check date"))</f>
        <v/>
      </c>
      <c r="G2612" s="35">
        <f>IF(B2612="","",IFERROR(INDEX(Students!$A:$A,MATCH(TRIM(B2612),Students!$A:$A,0)),"NOT ON LIST"))</f>
        <v/>
      </c>
      <c r="H2612" s="35">
        <f>IF(OR(G2612="",G2612="NOT ON LIST"),"",VLOOKUP(G2612,Students!$A:$C,2,FALSE))</f>
        <v/>
      </c>
      <c r="I2612" s="35">
        <f>IF(OR(G2612="",G2612="NOT ON LIST"),"",VLOOKUP(G2612,Students!$A:$C,3,FALSE)&amp;"")</f>
        <v/>
      </c>
    </row>
    <row r="2613">
      <c r="A2613" s="31" t="n"/>
      <c r="B2613" s="32" t="n"/>
      <c r="C2613" s="32" t="n"/>
      <c r="D2613" s="33" t="n"/>
      <c r="E2613" s="32" t="n"/>
      <c r="F2613" s="34">
        <f>IF(A2613="","",IFERROR(INT(A2613),"check date"))</f>
        <v/>
      </c>
      <c r="G2613" s="35">
        <f>IF(B2613="","",IFERROR(INDEX(Students!$A:$A,MATCH(TRIM(B2613),Students!$A:$A,0)),"NOT ON LIST"))</f>
        <v/>
      </c>
      <c r="H2613" s="35">
        <f>IF(OR(G2613="",G2613="NOT ON LIST"),"",VLOOKUP(G2613,Students!$A:$C,2,FALSE))</f>
        <v/>
      </c>
      <c r="I2613" s="35">
        <f>IF(OR(G2613="",G2613="NOT ON LIST"),"",VLOOKUP(G2613,Students!$A:$C,3,FALSE)&amp;"")</f>
        <v/>
      </c>
    </row>
    <row r="2614">
      <c r="A2614" s="31" t="n"/>
      <c r="B2614" s="32" t="n"/>
      <c r="C2614" s="32" t="n"/>
      <c r="D2614" s="33" t="n"/>
      <c r="E2614" s="32" t="n"/>
      <c r="F2614" s="34">
        <f>IF(A2614="","",IFERROR(INT(A2614),"check date"))</f>
        <v/>
      </c>
      <c r="G2614" s="35">
        <f>IF(B2614="","",IFERROR(INDEX(Students!$A:$A,MATCH(TRIM(B2614),Students!$A:$A,0)),"NOT ON LIST"))</f>
        <v/>
      </c>
      <c r="H2614" s="35">
        <f>IF(OR(G2614="",G2614="NOT ON LIST"),"",VLOOKUP(G2614,Students!$A:$C,2,FALSE))</f>
        <v/>
      </c>
      <c r="I2614" s="35">
        <f>IF(OR(G2614="",G2614="NOT ON LIST"),"",VLOOKUP(G2614,Students!$A:$C,3,FALSE)&amp;"")</f>
        <v/>
      </c>
    </row>
    <row r="2615">
      <c r="A2615" s="31" t="n"/>
      <c r="B2615" s="32" t="n"/>
      <c r="C2615" s="32" t="n"/>
      <c r="D2615" s="33" t="n"/>
      <c r="E2615" s="32" t="n"/>
      <c r="F2615" s="34">
        <f>IF(A2615="","",IFERROR(INT(A2615),"check date"))</f>
        <v/>
      </c>
      <c r="G2615" s="35">
        <f>IF(B2615="","",IFERROR(INDEX(Students!$A:$A,MATCH(TRIM(B2615),Students!$A:$A,0)),"NOT ON LIST"))</f>
        <v/>
      </c>
      <c r="H2615" s="35">
        <f>IF(OR(G2615="",G2615="NOT ON LIST"),"",VLOOKUP(G2615,Students!$A:$C,2,FALSE))</f>
        <v/>
      </c>
      <c r="I2615" s="35">
        <f>IF(OR(G2615="",G2615="NOT ON LIST"),"",VLOOKUP(G2615,Students!$A:$C,3,FALSE)&amp;"")</f>
        <v/>
      </c>
    </row>
    <row r="2616">
      <c r="A2616" s="31" t="n"/>
      <c r="B2616" s="32" t="n"/>
      <c r="C2616" s="32" t="n"/>
      <c r="D2616" s="33" t="n"/>
      <c r="E2616" s="32" t="n"/>
      <c r="F2616" s="34">
        <f>IF(A2616="","",IFERROR(INT(A2616),"check date"))</f>
        <v/>
      </c>
      <c r="G2616" s="35">
        <f>IF(B2616="","",IFERROR(INDEX(Students!$A:$A,MATCH(TRIM(B2616),Students!$A:$A,0)),"NOT ON LIST"))</f>
        <v/>
      </c>
      <c r="H2616" s="35">
        <f>IF(OR(G2616="",G2616="NOT ON LIST"),"",VLOOKUP(G2616,Students!$A:$C,2,FALSE))</f>
        <v/>
      </c>
      <c r="I2616" s="35">
        <f>IF(OR(G2616="",G2616="NOT ON LIST"),"",VLOOKUP(G2616,Students!$A:$C,3,FALSE)&amp;"")</f>
        <v/>
      </c>
    </row>
    <row r="2617">
      <c r="A2617" s="31" t="n"/>
      <c r="B2617" s="32" t="n"/>
      <c r="C2617" s="32" t="n"/>
      <c r="D2617" s="33" t="n"/>
      <c r="E2617" s="32" t="n"/>
      <c r="F2617" s="34">
        <f>IF(A2617="","",IFERROR(INT(A2617),"check date"))</f>
        <v/>
      </c>
      <c r="G2617" s="35">
        <f>IF(B2617="","",IFERROR(INDEX(Students!$A:$A,MATCH(TRIM(B2617),Students!$A:$A,0)),"NOT ON LIST"))</f>
        <v/>
      </c>
      <c r="H2617" s="35">
        <f>IF(OR(G2617="",G2617="NOT ON LIST"),"",VLOOKUP(G2617,Students!$A:$C,2,FALSE))</f>
        <v/>
      </c>
      <c r="I2617" s="35">
        <f>IF(OR(G2617="",G2617="NOT ON LIST"),"",VLOOKUP(G2617,Students!$A:$C,3,FALSE)&amp;"")</f>
        <v/>
      </c>
    </row>
    <row r="2618">
      <c r="A2618" s="31" t="n"/>
      <c r="B2618" s="32" t="n"/>
      <c r="C2618" s="32" t="n"/>
      <c r="D2618" s="33" t="n"/>
      <c r="E2618" s="32" t="n"/>
      <c r="F2618" s="34">
        <f>IF(A2618="","",IFERROR(INT(A2618),"check date"))</f>
        <v/>
      </c>
      <c r="G2618" s="35">
        <f>IF(B2618="","",IFERROR(INDEX(Students!$A:$A,MATCH(TRIM(B2618),Students!$A:$A,0)),"NOT ON LIST"))</f>
        <v/>
      </c>
      <c r="H2618" s="35">
        <f>IF(OR(G2618="",G2618="NOT ON LIST"),"",VLOOKUP(G2618,Students!$A:$C,2,FALSE))</f>
        <v/>
      </c>
      <c r="I2618" s="35">
        <f>IF(OR(G2618="",G2618="NOT ON LIST"),"",VLOOKUP(G2618,Students!$A:$C,3,FALSE)&amp;"")</f>
        <v/>
      </c>
    </row>
    <row r="2619">
      <c r="A2619" s="31" t="n"/>
      <c r="B2619" s="32" t="n"/>
      <c r="C2619" s="32" t="n"/>
      <c r="D2619" s="33" t="n"/>
      <c r="E2619" s="32" t="n"/>
      <c r="F2619" s="34">
        <f>IF(A2619="","",IFERROR(INT(A2619),"check date"))</f>
        <v/>
      </c>
      <c r="G2619" s="35">
        <f>IF(B2619="","",IFERROR(INDEX(Students!$A:$A,MATCH(TRIM(B2619),Students!$A:$A,0)),"NOT ON LIST"))</f>
        <v/>
      </c>
      <c r="H2619" s="35">
        <f>IF(OR(G2619="",G2619="NOT ON LIST"),"",VLOOKUP(G2619,Students!$A:$C,2,FALSE))</f>
        <v/>
      </c>
      <c r="I2619" s="35">
        <f>IF(OR(G2619="",G2619="NOT ON LIST"),"",VLOOKUP(G2619,Students!$A:$C,3,FALSE)&amp;"")</f>
        <v/>
      </c>
    </row>
    <row r="2620">
      <c r="A2620" s="31" t="n"/>
      <c r="B2620" s="32" t="n"/>
      <c r="C2620" s="32" t="n"/>
      <c r="D2620" s="33" t="n"/>
      <c r="E2620" s="32" t="n"/>
      <c r="F2620" s="34">
        <f>IF(A2620="","",IFERROR(INT(A2620),"check date"))</f>
        <v/>
      </c>
      <c r="G2620" s="35">
        <f>IF(B2620="","",IFERROR(INDEX(Students!$A:$A,MATCH(TRIM(B2620),Students!$A:$A,0)),"NOT ON LIST"))</f>
        <v/>
      </c>
      <c r="H2620" s="35">
        <f>IF(OR(G2620="",G2620="NOT ON LIST"),"",VLOOKUP(G2620,Students!$A:$C,2,FALSE))</f>
        <v/>
      </c>
      <c r="I2620" s="35">
        <f>IF(OR(G2620="",G2620="NOT ON LIST"),"",VLOOKUP(G2620,Students!$A:$C,3,FALSE)&amp;"")</f>
        <v/>
      </c>
    </row>
    <row r="2621">
      <c r="A2621" s="31" t="n"/>
      <c r="B2621" s="32" t="n"/>
      <c r="C2621" s="32" t="n"/>
      <c r="D2621" s="33" t="n"/>
      <c r="E2621" s="32" t="n"/>
      <c r="F2621" s="34">
        <f>IF(A2621="","",IFERROR(INT(A2621),"check date"))</f>
        <v/>
      </c>
      <c r="G2621" s="35">
        <f>IF(B2621="","",IFERROR(INDEX(Students!$A:$A,MATCH(TRIM(B2621),Students!$A:$A,0)),"NOT ON LIST"))</f>
        <v/>
      </c>
      <c r="H2621" s="35">
        <f>IF(OR(G2621="",G2621="NOT ON LIST"),"",VLOOKUP(G2621,Students!$A:$C,2,FALSE))</f>
        <v/>
      </c>
      <c r="I2621" s="35">
        <f>IF(OR(G2621="",G2621="NOT ON LIST"),"",VLOOKUP(G2621,Students!$A:$C,3,FALSE)&amp;"")</f>
        <v/>
      </c>
    </row>
    <row r="2622">
      <c r="A2622" s="31" t="n"/>
      <c r="B2622" s="32" t="n"/>
      <c r="C2622" s="32" t="n"/>
      <c r="D2622" s="33" t="n"/>
      <c r="E2622" s="32" t="n"/>
      <c r="F2622" s="34">
        <f>IF(A2622="","",IFERROR(INT(A2622),"check date"))</f>
        <v/>
      </c>
      <c r="G2622" s="35">
        <f>IF(B2622="","",IFERROR(INDEX(Students!$A:$A,MATCH(TRIM(B2622),Students!$A:$A,0)),"NOT ON LIST"))</f>
        <v/>
      </c>
      <c r="H2622" s="35">
        <f>IF(OR(G2622="",G2622="NOT ON LIST"),"",VLOOKUP(G2622,Students!$A:$C,2,FALSE))</f>
        <v/>
      </c>
      <c r="I2622" s="35">
        <f>IF(OR(G2622="",G2622="NOT ON LIST"),"",VLOOKUP(G2622,Students!$A:$C,3,FALSE)&amp;"")</f>
        <v/>
      </c>
    </row>
    <row r="2623">
      <c r="A2623" s="31" t="n"/>
      <c r="B2623" s="32" t="n"/>
      <c r="C2623" s="32" t="n"/>
      <c r="D2623" s="33" t="n"/>
      <c r="E2623" s="32" t="n"/>
      <c r="F2623" s="34">
        <f>IF(A2623="","",IFERROR(INT(A2623),"check date"))</f>
        <v/>
      </c>
      <c r="G2623" s="35">
        <f>IF(B2623="","",IFERROR(INDEX(Students!$A:$A,MATCH(TRIM(B2623),Students!$A:$A,0)),"NOT ON LIST"))</f>
        <v/>
      </c>
      <c r="H2623" s="35">
        <f>IF(OR(G2623="",G2623="NOT ON LIST"),"",VLOOKUP(G2623,Students!$A:$C,2,FALSE))</f>
        <v/>
      </c>
      <c r="I2623" s="35">
        <f>IF(OR(G2623="",G2623="NOT ON LIST"),"",VLOOKUP(G2623,Students!$A:$C,3,FALSE)&amp;"")</f>
        <v/>
      </c>
    </row>
    <row r="2624">
      <c r="A2624" s="31" t="n"/>
      <c r="B2624" s="32" t="n"/>
      <c r="C2624" s="32" t="n"/>
      <c r="D2624" s="33" t="n"/>
      <c r="E2624" s="32" t="n"/>
      <c r="F2624" s="34">
        <f>IF(A2624="","",IFERROR(INT(A2624),"check date"))</f>
        <v/>
      </c>
      <c r="G2624" s="35">
        <f>IF(B2624="","",IFERROR(INDEX(Students!$A:$A,MATCH(TRIM(B2624),Students!$A:$A,0)),"NOT ON LIST"))</f>
        <v/>
      </c>
      <c r="H2624" s="35">
        <f>IF(OR(G2624="",G2624="NOT ON LIST"),"",VLOOKUP(G2624,Students!$A:$C,2,FALSE))</f>
        <v/>
      </c>
      <c r="I2624" s="35">
        <f>IF(OR(G2624="",G2624="NOT ON LIST"),"",VLOOKUP(G2624,Students!$A:$C,3,FALSE)&amp;"")</f>
        <v/>
      </c>
    </row>
    <row r="2625">
      <c r="A2625" s="31" t="n"/>
      <c r="B2625" s="32" t="n"/>
      <c r="C2625" s="32" t="n"/>
      <c r="D2625" s="33" t="n"/>
      <c r="E2625" s="32" t="n"/>
      <c r="F2625" s="34">
        <f>IF(A2625="","",IFERROR(INT(A2625),"check date"))</f>
        <v/>
      </c>
      <c r="G2625" s="35">
        <f>IF(B2625="","",IFERROR(INDEX(Students!$A:$A,MATCH(TRIM(B2625),Students!$A:$A,0)),"NOT ON LIST"))</f>
        <v/>
      </c>
      <c r="H2625" s="35">
        <f>IF(OR(G2625="",G2625="NOT ON LIST"),"",VLOOKUP(G2625,Students!$A:$C,2,FALSE))</f>
        <v/>
      </c>
      <c r="I2625" s="35">
        <f>IF(OR(G2625="",G2625="NOT ON LIST"),"",VLOOKUP(G2625,Students!$A:$C,3,FALSE)&amp;"")</f>
        <v/>
      </c>
    </row>
    <row r="2626">
      <c r="A2626" s="31" t="n"/>
      <c r="B2626" s="32" t="n"/>
      <c r="C2626" s="32" t="n"/>
      <c r="D2626" s="33" t="n"/>
      <c r="E2626" s="32" t="n"/>
      <c r="F2626" s="34">
        <f>IF(A2626="","",IFERROR(INT(A2626),"check date"))</f>
        <v/>
      </c>
      <c r="G2626" s="35">
        <f>IF(B2626="","",IFERROR(INDEX(Students!$A:$A,MATCH(TRIM(B2626),Students!$A:$A,0)),"NOT ON LIST"))</f>
        <v/>
      </c>
      <c r="H2626" s="35">
        <f>IF(OR(G2626="",G2626="NOT ON LIST"),"",VLOOKUP(G2626,Students!$A:$C,2,FALSE))</f>
        <v/>
      </c>
      <c r="I2626" s="35">
        <f>IF(OR(G2626="",G2626="NOT ON LIST"),"",VLOOKUP(G2626,Students!$A:$C,3,FALSE)&amp;"")</f>
        <v/>
      </c>
    </row>
    <row r="2627">
      <c r="A2627" s="31" t="n"/>
      <c r="B2627" s="32" t="n"/>
      <c r="C2627" s="32" t="n"/>
      <c r="D2627" s="33" t="n"/>
      <c r="E2627" s="32" t="n"/>
      <c r="F2627" s="34">
        <f>IF(A2627="","",IFERROR(INT(A2627),"check date"))</f>
        <v/>
      </c>
      <c r="G2627" s="35">
        <f>IF(B2627="","",IFERROR(INDEX(Students!$A:$A,MATCH(TRIM(B2627),Students!$A:$A,0)),"NOT ON LIST"))</f>
        <v/>
      </c>
      <c r="H2627" s="35">
        <f>IF(OR(G2627="",G2627="NOT ON LIST"),"",VLOOKUP(G2627,Students!$A:$C,2,FALSE))</f>
        <v/>
      </c>
      <c r="I2627" s="35">
        <f>IF(OR(G2627="",G2627="NOT ON LIST"),"",VLOOKUP(G2627,Students!$A:$C,3,FALSE)&amp;"")</f>
        <v/>
      </c>
    </row>
    <row r="2628">
      <c r="A2628" s="31" t="n"/>
      <c r="B2628" s="32" t="n"/>
      <c r="C2628" s="32" t="n"/>
      <c r="D2628" s="33" t="n"/>
      <c r="E2628" s="32" t="n"/>
      <c r="F2628" s="34">
        <f>IF(A2628="","",IFERROR(INT(A2628),"check date"))</f>
        <v/>
      </c>
      <c r="G2628" s="35">
        <f>IF(B2628="","",IFERROR(INDEX(Students!$A:$A,MATCH(TRIM(B2628),Students!$A:$A,0)),"NOT ON LIST"))</f>
        <v/>
      </c>
      <c r="H2628" s="35">
        <f>IF(OR(G2628="",G2628="NOT ON LIST"),"",VLOOKUP(G2628,Students!$A:$C,2,FALSE))</f>
        <v/>
      </c>
      <c r="I2628" s="35">
        <f>IF(OR(G2628="",G2628="NOT ON LIST"),"",VLOOKUP(G2628,Students!$A:$C,3,FALSE)&amp;"")</f>
        <v/>
      </c>
    </row>
    <row r="2629">
      <c r="A2629" s="31" t="n"/>
      <c r="B2629" s="32" t="n"/>
      <c r="C2629" s="32" t="n"/>
      <c r="D2629" s="33" t="n"/>
      <c r="E2629" s="32" t="n"/>
      <c r="F2629" s="34">
        <f>IF(A2629="","",IFERROR(INT(A2629),"check date"))</f>
        <v/>
      </c>
      <c r="G2629" s="35">
        <f>IF(B2629="","",IFERROR(INDEX(Students!$A:$A,MATCH(TRIM(B2629),Students!$A:$A,0)),"NOT ON LIST"))</f>
        <v/>
      </c>
      <c r="H2629" s="35">
        <f>IF(OR(G2629="",G2629="NOT ON LIST"),"",VLOOKUP(G2629,Students!$A:$C,2,FALSE))</f>
        <v/>
      </c>
      <c r="I2629" s="35">
        <f>IF(OR(G2629="",G2629="NOT ON LIST"),"",VLOOKUP(G2629,Students!$A:$C,3,FALSE)&amp;"")</f>
        <v/>
      </c>
    </row>
    <row r="2630">
      <c r="A2630" s="31" t="n"/>
      <c r="B2630" s="32" t="n"/>
      <c r="C2630" s="32" t="n"/>
      <c r="D2630" s="33" t="n"/>
      <c r="E2630" s="32" t="n"/>
      <c r="F2630" s="34">
        <f>IF(A2630="","",IFERROR(INT(A2630),"check date"))</f>
        <v/>
      </c>
      <c r="G2630" s="35">
        <f>IF(B2630="","",IFERROR(INDEX(Students!$A:$A,MATCH(TRIM(B2630),Students!$A:$A,0)),"NOT ON LIST"))</f>
        <v/>
      </c>
      <c r="H2630" s="35">
        <f>IF(OR(G2630="",G2630="NOT ON LIST"),"",VLOOKUP(G2630,Students!$A:$C,2,FALSE))</f>
        <v/>
      </c>
      <c r="I2630" s="35">
        <f>IF(OR(G2630="",G2630="NOT ON LIST"),"",VLOOKUP(G2630,Students!$A:$C,3,FALSE)&amp;"")</f>
        <v/>
      </c>
    </row>
    <row r="2631">
      <c r="A2631" s="31" t="n"/>
      <c r="B2631" s="32" t="n"/>
      <c r="C2631" s="32" t="n"/>
      <c r="D2631" s="33" t="n"/>
      <c r="E2631" s="32" t="n"/>
      <c r="F2631" s="34">
        <f>IF(A2631="","",IFERROR(INT(A2631),"check date"))</f>
        <v/>
      </c>
      <c r="G2631" s="35">
        <f>IF(B2631="","",IFERROR(INDEX(Students!$A:$A,MATCH(TRIM(B2631),Students!$A:$A,0)),"NOT ON LIST"))</f>
        <v/>
      </c>
      <c r="H2631" s="35">
        <f>IF(OR(G2631="",G2631="NOT ON LIST"),"",VLOOKUP(G2631,Students!$A:$C,2,FALSE))</f>
        <v/>
      </c>
      <c r="I2631" s="35">
        <f>IF(OR(G2631="",G2631="NOT ON LIST"),"",VLOOKUP(G2631,Students!$A:$C,3,FALSE)&amp;"")</f>
        <v/>
      </c>
    </row>
    <row r="2632">
      <c r="A2632" s="31" t="n"/>
      <c r="B2632" s="32" t="n"/>
      <c r="C2632" s="32" t="n"/>
      <c r="D2632" s="33" t="n"/>
      <c r="E2632" s="32" t="n"/>
      <c r="F2632" s="34">
        <f>IF(A2632="","",IFERROR(INT(A2632),"check date"))</f>
        <v/>
      </c>
      <c r="G2632" s="35">
        <f>IF(B2632="","",IFERROR(INDEX(Students!$A:$A,MATCH(TRIM(B2632),Students!$A:$A,0)),"NOT ON LIST"))</f>
        <v/>
      </c>
      <c r="H2632" s="35">
        <f>IF(OR(G2632="",G2632="NOT ON LIST"),"",VLOOKUP(G2632,Students!$A:$C,2,FALSE))</f>
        <v/>
      </c>
      <c r="I2632" s="35">
        <f>IF(OR(G2632="",G2632="NOT ON LIST"),"",VLOOKUP(G2632,Students!$A:$C,3,FALSE)&amp;"")</f>
        <v/>
      </c>
    </row>
    <row r="2633">
      <c r="A2633" s="31" t="n"/>
      <c r="B2633" s="32" t="n"/>
      <c r="C2633" s="32" t="n"/>
      <c r="D2633" s="33" t="n"/>
      <c r="E2633" s="32" t="n"/>
      <c r="F2633" s="34">
        <f>IF(A2633="","",IFERROR(INT(A2633),"check date"))</f>
        <v/>
      </c>
      <c r="G2633" s="35">
        <f>IF(B2633="","",IFERROR(INDEX(Students!$A:$A,MATCH(TRIM(B2633),Students!$A:$A,0)),"NOT ON LIST"))</f>
        <v/>
      </c>
      <c r="H2633" s="35">
        <f>IF(OR(G2633="",G2633="NOT ON LIST"),"",VLOOKUP(G2633,Students!$A:$C,2,FALSE))</f>
        <v/>
      </c>
      <c r="I2633" s="35">
        <f>IF(OR(G2633="",G2633="NOT ON LIST"),"",VLOOKUP(G2633,Students!$A:$C,3,FALSE)&amp;"")</f>
        <v/>
      </c>
    </row>
    <row r="2634">
      <c r="A2634" s="31" t="n"/>
      <c r="B2634" s="32" t="n"/>
      <c r="C2634" s="32" t="n"/>
      <c r="D2634" s="33" t="n"/>
      <c r="E2634" s="32" t="n"/>
      <c r="F2634" s="34">
        <f>IF(A2634="","",IFERROR(INT(A2634),"check date"))</f>
        <v/>
      </c>
      <c r="G2634" s="35">
        <f>IF(B2634="","",IFERROR(INDEX(Students!$A:$A,MATCH(TRIM(B2634),Students!$A:$A,0)),"NOT ON LIST"))</f>
        <v/>
      </c>
      <c r="H2634" s="35">
        <f>IF(OR(G2634="",G2634="NOT ON LIST"),"",VLOOKUP(G2634,Students!$A:$C,2,FALSE))</f>
        <v/>
      </c>
      <c r="I2634" s="35">
        <f>IF(OR(G2634="",G2634="NOT ON LIST"),"",VLOOKUP(G2634,Students!$A:$C,3,FALSE)&amp;"")</f>
        <v/>
      </c>
    </row>
    <row r="2635">
      <c r="A2635" s="31" t="n"/>
      <c r="B2635" s="32" t="n"/>
      <c r="C2635" s="32" t="n"/>
      <c r="D2635" s="33" t="n"/>
      <c r="E2635" s="32" t="n"/>
      <c r="F2635" s="34">
        <f>IF(A2635="","",IFERROR(INT(A2635),"check date"))</f>
        <v/>
      </c>
      <c r="G2635" s="35">
        <f>IF(B2635="","",IFERROR(INDEX(Students!$A:$A,MATCH(TRIM(B2635),Students!$A:$A,0)),"NOT ON LIST"))</f>
        <v/>
      </c>
      <c r="H2635" s="35">
        <f>IF(OR(G2635="",G2635="NOT ON LIST"),"",VLOOKUP(G2635,Students!$A:$C,2,FALSE))</f>
        <v/>
      </c>
      <c r="I2635" s="35">
        <f>IF(OR(G2635="",G2635="NOT ON LIST"),"",VLOOKUP(G2635,Students!$A:$C,3,FALSE)&amp;"")</f>
        <v/>
      </c>
    </row>
    <row r="2636">
      <c r="A2636" s="31" t="n"/>
      <c r="B2636" s="32" t="n"/>
      <c r="C2636" s="32" t="n"/>
      <c r="D2636" s="33" t="n"/>
      <c r="E2636" s="32" t="n"/>
      <c r="F2636" s="34">
        <f>IF(A2636="","",IFERROR(INT(A2636),"check date"))</f>
        <v/>
      </c>
      <c r="G2636" s="35">
        <f>IF(B2636="","",IFERROR(INDEX(Students!$A:$A,MATCH(TRIM(B2636),Students!$A:$A,0)),"NOT ON LIST"))</f>
        <v/>
      </c>
      <c r="H2636" s="35">
        <f>IF(OR(G2636="",G2636="NOT ON LIST"),"",VLOOKUP(G2636,Students!$A:$C,2,FALSE))</f>
        <v/>
      </c>
      <c r="I2636" s="35">
        <f>IF(OR(G2636="",G2636="NOT ON LIST"),"",VLOOKUP(G2636,Students!$A:$C,3,FALSE)&amp;"")</f>
        <v/>
      </c>
    </row>
    <row r="2637">
      <c r="A2637" s="31" t="n"/>
      <c r="B2637" s="32" t="n"/>
      <c r="C2637" s="32" t="n"/>
      <c r="D2637" s="33" t="n"/>
      <c r="E2637" s="32" t="n"/>
      <c r="F2637" s="34">
        <f>IF(A2637="","",IFERROR(INT(A2637),"check date"))</f>
        <v/>
      </c>
      <c r="G2637" s="35">
        <f>IF(B2637="","",IFERROR(INDEX(Students!$A:$A,MATCH(TRIM(B2637),Students!$A:$A,0)),"NOT ON LIST"))</f>
        <v/>
      </c>
      <c r="H2637" s="35">
        <f>IF(OR(G2637="",G2637="NOT ON LIST"),"",VLOOKUP(G2637,Students!$A:$C,2,FALSE))</f>
        <v/>
      </c>
      <c r="I2637" s="35">
        <f>IF(OR(G2637="",G2637="NOT ON LIST"),"",VLOOKUP(G2637,Students!$A:$C,3,FALSE)&amp;"")</f>
        <v/>
      </c>
    </row>
    <row r="2638">
      <c r="A2638" s="31" t="n"/>
      <c r="B2638" s="32" t="n"/>
      <c r="C2638" s="32" t="n"/>
      <c r="D2638" s="33" t="n"/>
      <c r="E2638" s="32" t="n"/>
      <c r="F2638" s="34">
        <f>IF(A2638="","",IFERROR(INT(A2638),"check date"))</f>
        <v/>
      </c>
      <c r="G2638" s="35">
        <f>IF(B2638="","",IFERROR(INDEX(Students!$A:$A,MATCH(TRIM(B2638),Students!$A:$A,0)),"NOT ON LIST"))</f>
        <v/>
      </c>
      <c r="H2638" s="35">
        <f>IF(OR(G2638="",G2638="NOT ON LIST"),"",VLOOKUP(G2638,Students!$A:$C,2,FALSE))</f>
        <v/>
      </c>
      <c r="I2638" s="35">
        <f>IF(OR(G2638="",G2638="NOT ON LIST"),"",VLOOKUP(G2638,Students!$A:$C,3,FALSE)&amp;"")</f>
        <v/>
      </c>
    </row>
    <row r="2639">
      <c r="A2639" s="31" t="n"/>
      <c r="B2639" s="32" t="n"/>
      <c r="C2639" s="32" t="n"/>
      <c r="D2639" s="33" t="n"/>
      <c r="E2639" s="32" t="n"/>
      <c r="F2639" s="34">
        <f>IF(A2639="","",IFERROR(INT(A2639),"check date"))</f>
        <v/>
      </c>
      <c r="G2639" s="35">
        <f>IF(B2639="","",IFERROR(INDEX(Students!$A:$A,MATCH(TRIM(B2639),Students!$A:$A,0)),"NOT ON LIST"))</f>
        <v/>
      </c>
      <c r="H2639" s="35">
        <f>IF(OR(G2639="",G2639="NOT ON LIST"),"",VLOOKUP(G2639,Students!$A:$C,2,FALSE))</f>
        <v/>
      </c>
      <c r="I2639" s="35">
        <f>IF(OR(G2639="",G2639="NOT ON LIST"),"",VLOOKUP(G2639,Students!$A:$C,3,FALSE)&amp;"")</f>
        <v/>
      </c>
    </row>
    <row r="2640">
      <c r="A2640" s="31" t="n"/>
      <c r="B2640" s="32" t="n"/>
      <c r="C2640" s="32" t="n"/>
      <c r="D2640" s="33" t="n"/>
      <c r="E2640" s="32" t="n"/>
      <c r="F2640" s="34">
        <f>IF(A2640="","",IFERROR(INT(A2640),"check date"))</f>
        <v/>
      </c>
      <c r="G2640" s="35">
        <f>IF(B2640="","",IFERROR(INDEX(Students!$A:$A,MATCH(TRIM(B2640),Students!$A:$A,0)),"NOT ON LIST"))</f>
        <v/>
      </c>
      <c r="H2640" s="35">
        <f>IF(OR(G2640="",G2640="NOT ON LIST"),"",VLOOKUP(G2640,Students!$A:$C,2,FALSE))</f>
        <v/>
      </c>
      <c r="I2640" s="35">
        <f>IF(OR(G2640="",G2640="NOT ON LIST"),"",VLOOKUP(G2640,Students!$A:$C,3,FALSE)&amp;"")</f>
        <v/>
      </c>
    </row>
    <row r="2641">
      <c r="A2641" s="31" t="n"/>
      <c r="B2641" s="32" t="n"/>
      <c r="C2641" s="32" t="n"/>
      <c r="D2641" s="33" t="n"/>
      <c r="E2641" s="32" t="n"/>
      <c r="F2641" s="34">
        <f>IF(A2641="","",IFERROR(INT(A2641),"check date"))</f>
        <v/>
      </c>
      <c r="G2641" s="35">
        <f>IF(B2641="","",IFERROR(INDEX(Students!$A:$A,MATCH(TRIM(B2641),Students!$A:$A,0)),"NOT ON LIST"))</f>
        <v/>
      </c>
      <c r="H2641" s="35">
        <f>IF(OR(G2641="",G2641="NOT ON LIST"),"",VLOOKUP(G2641,Students!$A:$C,2,FALSE))</f>
        <v/>
      </c>
      <c r="I2641" s="35">
        <f>IF(OR(G2641="",G2641="NOT ON LIST"),"",VLOOKUP(G2641,Students!$A:$C,3,FALSE)&amp;"")</f>
        <v/>
      </c>
    </row>
    <row r="2642">
      <c r="A2642" s="31" t="n"/>
      <c r="B2642" s="32" t="n"/>
      <c r="C2642" s="32" t="n"/>
      <c r="D2642" s="33" t="n"/>
      <c r="E2642" s="32" t="n"/>
      <c r="F2642" s="34">
        <f>IF(A2642="","",IFERROR(INT(A2642),"check date"))</f>
        <v/>
      </c>
      <c r="G2642" s="35">
        <f>IF(B2642="","",IFERROR(INDEX(Students!$A:$A,MATCH(TRIM(B2642),Students!$A:$A,0)),"NOT ON LIST"))</f>
        <v/>
      </c>
      <c r="H2642" s="35">
        <f>IF(OR(G2642="",G2642="NOT ON LIST"),"",VLOOKUP(G2642,Students!$A:$C,2,FALSE))</f>
        <v/>
      </c>
      <c r="I2642" s="35">
        <f>IF(OR(G2642="",G2642="NOT ON LIST"),"",VLOOKUP(G2642,Students!$A:$C,3,FALSE)&amp;"")</f>
        <v/>
      </c>
    </row>
    <row r="2643">
      <c r="A2643" s="31" t="n"/>
      <c r="B2643" s="32" t="n"/>
      <c r="C2643" s="32" t="n"/>
      <c r="D2643" s="33" t="n"/>
      <c r="E2643" s="32" t="n"/>
      <c r="F2643" s="34">
        <f>IF(A2643="","",IFERROR(INT(A2643),"check date"))</f>
        <v/>
      </c>
      <c r="G2643" s="35">
        <f>IF(B2643="","",IFERROR(INDEX(Students!$A:$A,MATCH(TRIM(B2643),Students!$A:$A,0)),"NOT ON LIST"))</f>
        <v/>
      </c>
      <c r="H2643" s="35">
        <f>IF(OR(G2643="",G2643="NOT ON LIST"),"",VLOOKUP(G2643,Students!$A:$C,2,FALSE))</f>
        <v/>
      </c>
      <c r="I2643" s="35">
        <f>IF(OR(G2643="",G2643="NOT ON LIST"),"",VLOOKUP(G2643,Students!$A:$C,3,FALSE)&amp;"")</f>
        <v/>
      </c>
    </row>
    <row r="2644">
      <c r="A2644" s="31" t="n"/>
      <c r="B2644" s="32" t="n"/>
      <c r="C2644" s="32" t="n"/>
      <c r="D2644" s="33" t="n"/>
      <c r="E2644" s="32" t="n"/>
      <c r="F2644" s="34">
        <f>IF(A2644="","",IFERROR(INT(A2644),"check date"))</f>
        <v/>
      </c>
      <c r="G2644" s="35">
        <f>IF(B2644="","",IFERROR(INDEX(Students!$A:$A,MATCH(TRIM(B2644),Students!$A:$A,0)),"NOT ON LIST"))</f>
        <v/>
      </c>
      <c r="H2644" s="35">
        <f>IF(OR(G2644="",G2644="NOT ON LIST"),"",VLOOKUP(G2644,Students!$A:$C,2,FALSE))</f>
        <v/>
      </c>
      <c r="I2644" s="35">
        <f>IF(OR(G2644="",G2644="NOT ON LIST"),"",VLOOKUP(G2644,Students!$A:$C,3,FALSE)&amp;"")</f>
        <v/>
      </c>
    </row>
    <row r="2645">
      <c r="A2645" s="31" t="n"/>
      <c r="B2645" s="32" t="n"/>
      <c r="C2645" s="32" t="n"/>
      <c r="D2645" s="33" t="n"/>
      <c r="E2645" s="32" t="n"/>
      <c r="F2645" s="34">
        <f>IF(A2645="","",IFERROR(INT(A2645),"check date"))</f>
        <v/>
      </c>
      <c r="G2645" s="35">
        <f>IF(B2645="","",IFERROR(INDEX(Students!$A:$A,MATCH(TRIM(B2645),Students!$A:$A,0)),"NOT ON LIST"))</f>
        <v/>
      </c>
      <c r="H2645" s="35">
        <f>IF(OR(G2645="",G2645="NOT ON LIST"),"",VLOOKUP(G2645,Students!$A:$C,2,FALSE))</f>
        <v/>
      </c>
      <c r="I2645" s="35">
        <f>IF(OR(G2645="",G2645="NOT ON LIST"),"",VLOOKUP(G2645,Students!$A:$C,3,FALSE)&amp;"")</f>
        <v/>
      </c>
    </row>
    <row r="2646">
      <c r="A2646" s="31" t="n"/>
      <c r="B2646" s="32" t="n"/>
      <c r="C2646" s="32" t="n"/>
      <c r="D2646" s="33" t="n"/>
      <c r="E2646" s="32" t="n"/>
      <c r="F2646" s="34">
        <f>IF(A2646="","",IFERROR(INT(A2646),"check date"))</f>
        <v/>
      </c>
      <c r="G2646" s="35">
        <f>IF(B2646="","",IFERROR(INDEX(Students!$A:$A,MATCH(TRIM(B2646),Students!$A:$A,0)),"NOT ON LIST"))</f>
        <v/>
      </c>
      <c r="H2646" s="35">
        <f>IF(OR(G2646="",G2646="NOT ON LIST"),"",VLOOKUP(G2646,Students!$A:$C,2,FALSE))</f>
        <v/>
      </c>
      <c r="I2646" s="35">
        <f>IF(OR(G2646="",G2646="NOT ON LIST"),"",VLOOKUP(G2646,Students!$A:$C,3,FALSE)&amp;"")</f>
        <v/>
      </c>
    </row>
    <row r="2647">
      <c r="A2647" s="31" t="n"/>
      <c r="B2647" s="32" t="n"/>
      <c r="C2647" s="32" t="n"/>
      <c r="D2647" s="33" t="n"/>
      <c r="E2647" s="32" t="n"/>
      <c r="F2647" s="34">
        <f>IF(A2647="","",IFERROR(INT(A2647),"check date"))</f>
        <v/>
      </c>
      <c r="G2647" s="35">
        <f>IF(B2647="","",IFERROR(INDEX(Students!$A:$A,MATCH(TRIM(B2647),Students!$A:$A,0)),"NOT ON LIST"))</f>
        <v/>
      </c>
      <c r="H2647" s="35">
        <f>IF(OR(G2647="",G2647="NOT ON LIST"),"",VLOOKUP(G2647,Students!$A:$C,2,FALSE))</f>
        <v/>
      </c>
      <c r="I2647" s="35">
        <f>IF(OR(G2647="",G2647="NOT ON LIST"),"",VLOOKUP(G2647,Students!$A:$C,3,FALSE)&amp;"")</f>
        <v/>
      </c>
    </row>
    <row r="2648">
      <c r="A2648" s="31" t="n"/>
      <c r="B2648" s="32" t="n"/>
      <c r="C2648" s="32" t="n"/>
      <c r="D2648" s="33" t="n"/>
      <c r="E2648" s="32" t="n"/>
      <c r="F2648" s="34">
        <f>IF(A2648="","",IFERROR(INT(A2648),"check date"))</f>
        <v/>
      </c>
      <c r="G2648" s="35">
        <f>IF(B2648="","",IFERROR(INDEX(Students!$A:$A,MATCH(TRIM(B2648),Students!$A:$A,0)),"NOT ON LIST"))</f>
        <v/>
      </c>
      <c r="H2648" s="35">
        <f>IF(OR(G2648="",G2648="NOT ON LIST"),"",VLOOKUP(G2648,Students!$A:$C,2,FALSE))</f>
        <v/>
      </c>
      <c r="I2648" s="35">
        <f>IF(OR(G2648="",G2648="NOT ON LIST"),"",VLOOKUP(G2648,Students!$A:$C,3,FALSE)&amp;"")</f>
        <v/>
      </c>
    </row>
    <row r="2649">
      <c r="A2649" s="31" t="n"/>
      <c r="B2649" s="32" t="n"/>
      <c r="C2649" s="32" t="n"/>
      <c r="D2649" s="33" t="n"/>
      <c r="E2649" s="32" t="n"/>
      <c r="F2649" s="34">
        <f>IF(A2649="","",IFERROR(INT(A2649),"check date"))</f>
        <v/>
      </c>
      <c r="G2649" s="35">
        <f>IF(B2649="","",IFERROR(INDEX(Students!$A:$A,MATCH(TRIM(B2649),Students!$A:$A,0)),"NOT ON LIST"))</f>
        <v/>
      </c>
      <c r="H2649" s="35">
        <f>IF(OR(G2649="",G2649="NOT ON LIST"),"",VLOOKUP(G2649,Students!$A:$C,2,FALSE))</f>
        <v/>
      </c>
      <c r="I2649" s="35">
        <f>IF(OR(G2649="",G2649="NOT ON LIST"),"",VLOOKUP(G2649,Students!$A:$C,3,FALSE)&amp;"")</f>
        <v/>
      </c>
    </row>
    <row r="2650">
      <c r="A2650" s="31" t="n"/>
      <c r="B2650" s="32" t="n"/>
      <c r="C2650" s="32" t="n"/>
      <c r="D2650" s="33" t="n"/>
      <c r="E2650" s="32" t="n"/>
      <c r="F2650" s="34">
        <f>IF(A2650="","",IFERROR(INT(A2650),"check date"))</f>
        <v/>
      </c>
      <c r="G2650" s="35">
        <f>IF(B2650="","",IFERROR(INDEX(Students!$A:$A,MATCH(TRIM(B2650),Students!$A:$A,0)),"NOT ON LIST"))</f>
        <v/>
      </c>
      <c r="H2650" s="35">
        <f>IF(OR(G2650="",G2650="NOT ON LIST"),"",VLOOKUP(G2650,Students!$A:$C,2,FALSE))</f>
        <v/>
      </c>
      <c r="I2650" s="35">
        <f>IF(OR(G2650="",G2650="NOT ON LIST"),"",VLOOKUP(G2650,Students!$A:$C,3,FALSE)&amp;"")</f>
        <v/>
      </c>
    </row>
    <row r="2651">
      <c r="A2651" s="31" t="n"/>
      <c r="B2651" s="32" t="n"/>
      <c r="C2651" s="32" t="n"/>
      <c r="D2651" s="33" t="n"/>
      <c r="E2651" s="32" t="n"/>
      <c r="F2651" s="34">
        <f>IF(A2651="","",IFERROR(INT(A2651),"check date"))</f>
        <v/>
      </c>
      <c r="G2651" s="35">
        <f>IF(B2651="","",IFERROR(INDEX(Students!$A:$A,MATCH(TRIM(B2651),Students!$A:$A,0)),"NOT ON LIST"))</f>
        <v/>
      </c>
      <c r="H2651" s="35">
        <f>IF(OR(G2651="",G2651="NOT ON LIST"),"",VLOOKUP(G2651,Students!$A:$C,2,FALSE))</f>
        <v/>
      </c>
      <c r="I2651" s="35">
        <f>IF(OR(G2651="",G2651="NOT ON LIST"),"",VLOOKUP(G2651,Students!$A:$C,3,FALSE)&amp;"")</f>
        <v/>
      </c>
    </row>
    <row r="2652">
      <c r="A2652" s="31" t="n"/>
      <c r="B2652" s="32" t="n"/>
      <c r="C2652" s="32" t="n"/>
      <c r="D2652" s="33" t="n"/>
      <c r="E2652" s="32" t="n"/>
      <c r="F2652" s="34">
        <f>IF(A2652="","",IFERROR(INT(A2652),"check date"))</f>
        <v/>
      </c>
      <c r="G2652" s="35">
        <f>IF(B2652="","",IFERROR(INDEX(Students!$A:$A,MATCH(TRIM(B2652),Students!$A:$A,0)),"NOT ON LIST"))</f>
        <v/>
      </c>
      <c r="H2652" s="35">
        <f>IF(OR(G2652="",G2652="NOT ON LIST"),"",VLOOKUP(G2652,Students!$A:$C,2,FALSE))</f>
        <v/>
      </c>
      <c r="I2652" s="35">
        <f>IF(OR(G2652="",G2652="NOT ON LIST"),"",VLOOKUP(G2652,Students!$A:$C,3,FALSE)&amp;"")</f>
        <v/>
      </c>
    </row>
    <row r="2653">
      <c r="A2653" s="31" t="n"/>
      <c r="B2653" s="32" t="n"/>
      <c r="C2653" s="32" t="n"/>
      <c r="D2653" s="33" t="n"/>
      <c r="E2653" s="32" t="n"/>
      <c r="F2653" s="34">
        <f>IF(A2653="","",IFERROR(INT(A2653),"check date"))</f>
        <v/>
      </c>
      <c r="G2653" s="35">
        <f>IF(B2653="","",IFERROR(INDEX(Students!$A:$A,MATCH(TRIM(B2653),Students!$A:$A,0)),"NOT ON LIST"))</f>
        <v/>
      </c>
      <c r="H2653" s="35">
        <f>IF(OR(G2653="",G2653="NOT ON LIST"),"",VLOOKUP(G2653,Students!$A:$C,2,FALSE))</f>
        <v/>
      </c>
      <c r="I2653" s="35">
        <f>IF(OR(G2653="",G2653="NOT ON LIST"),"",VLOOKUP(G2653,Students!$A:$C,3,FALSE)&amp;"")</f>
        <v/>
      </c>
    </row>
    <row r="2654">
      <c r="A2654" s="31" t="n"/>
      <c r="B2654" s="32" t="n"/>
      <c r="C2654" s="32" t="n"/>
      <c r="D2654" s="33" t="n"/>
      <c r="E2654" s="32" t="n"/>
      <c r="F2654" s="34">
        <f>IF(A2654="","",IFERROR(INT(A2654),"check date"))</f>
        <v/>
      </c>
      <c r="G2654" s="35">
        <f>IF(B2654="","",IFERROR(INDEX(Students!$A:$A,MATCH(TRIM(B2654),Students!$A:$A,0)),"NOT ON LIST"))</f>
        <v/>
      </c>
      <c r="H2654" s="35">
        <f>IF(OR(G2654="",G2654="NOT ON LIST"),"",VLOOKUP(G2654,Students!$A:$C,2,FALSE))</f>
        <v/>
      </c>
      <c r="I2654" s="35">
        <f>IF(OR(G2654="",G2654="NOT ON LIST"),"",VLOOKUP(G2654,Students!$A:$C,3,FALSE)&amp;"")</f>
        <v/>
      </c>
    </row>
    <row r="2655">
      <c r="A2655" s="31" t="n"/>
      <c r="B2655" s="32" t="n"/>
      <c r="C2655" s="32" t="n"/>
      <c r="D2655" s="33" t="n"/>
      <c r="E2655" s="32" t="n"/>
      <c r="F2655" s="34">
        <f>IF(A2655="","",IFERROR(INT(A2655),"check date"))</f>
        <v/>
      </c>
      <c r="G2655" s="35">
        <f>IF(B2655="","",IFERROR(INDEX(Students!$A:$A,MATCH(TRIM(B2655),Students!$A:$A,0)),"NOT ON LIST"))</f>
        <v/>
      </c>
      <c r="H2655" s="35">
        <f>IF(OR(G2655="",G2655="NOT ON LIST"),"",VLOOKUP(G2655,Students!$A:$C,2,FALSE))</f>
        <v/>
      </c>
      <c r="I2655" s="35">
        <f>IF(OR(G2655="",G2655="NOT ON LIST"),"",VLOOKUP(G2655,Students!$A:$C,3,FALSE)&amp;"")</f>
        <v/>
      </c>
    </row>
    <row r="2656">
      <c r="A2656" s="31" t="n"/>
      <c r="B2656" s="32" t="n"/>
      <c r="C2656" s="32" t="n"/>
      <c r="D2656" s="33" t="n"/>
      <c r="E2656" s="32" t="n"/>
      <c r="F2656" s="34">
        <f>IF(A2656="","",IFERROR(INT(A2656),"check date"))</f>
        <v/>
      </c>
      <c r="G2656" s="35">
        <f>IF(B2656="","",IFERROR(INDEX(Students!$A:$A,MATCH(TRIM(B2656),Students!$A:$A,0)),"NOT ON LIST"))</f>
        <v/>
      </c>
      <c r="H2656" s="35">
        <f>IF(OR(G2656="",G2656="NOT ON LIST"),"",VLOOKUP(G2656,Students!$A:$C,2,FALSE))</f>
        <v/>
      </c>
      <c r="I2656" s="35">
        <f>IF(OR(G2656="",G2656="NOT ON LIST"),"",VLOOKUP(G2656,Students!$A:$C,3,FALSE)&amp;"")</f>
        <v/>
      </c>
    </row>
    <row r="2657">
      <c r="A2657" s="31" t="n"/>
      <c r="B2657" s="32" t="n"/>
      <c r="C2657" s="32" t="n"/>
      <c r="D2657" s="33" t="n"/>
      <c r="E2657" s="32" t="n"/>
      <c r="F2657" s="34">
        <f>IF(A2657="","",IFERROR(INT(A2657),"check date"))</f>
        <v/>
      </c>
      <c r="G2657" s="35">
        <f>IF(B2657="","",IFERROR(INDEX(Students!$A:$A,MATCH(TRIM(B2657),Students!$A:$A,0)),"NOT ON LIST"))</f>
        <v/>
      </c>
      <c r="H2657" s="35">
        <f>IF(OR(G2657="",G2657="NOT ON LIST"),"",VLOOKUP(G2657,Students!$A:$C,2,FALSE))</f>
        <v/>
      </c>
      <c r="I2657" s="35">
        <f>IF(OR(G2657="",G2657="NOT ON LIST"),"",VLOOKUP(G2657,Students!$A:$C,3,FALSE)&amp;"")</f>
        <v/>
      </c>
    </row>
    <row r="2658">
      <c r="A2658" s="31" t="n"/>
      <c r="B2658" s="32" t="n"/>
      <c r="C2658" s="32" t="n"/>
      <c r="D2658" s="33" t="n"/>
      <c r="E2658" s="32" t="n"/>
      <c r="F2658" s="34">
        <f>IF(A2658="","",IFERROR(INT(A2658),"check date"))</f>
        <v/>
      </c>
      <c r="G2658" s="35">
        <f>IF(B2658="","",IFERROR(INDEX(Students!$A:$A,MATCH(TRIM(B2658),Students!$A:$A,0)),"NOT ON LIST"))</f>
        <v/>
      </c>
      <c r="H2658" s="35">
        <f>IF(OR(G2658="",G2658="NOT ON LIST"),"",VLOOKUP(G2658,Students!$A:$C,2,FALSE))</f>
        <v/>
      </c>
      <c r="I2658" s="35">
        <f>IF(OR(G2658="",G2658="NOT ON LIST"),"",VLOOKUP(G2658,Students!$A:$C,3,FALSE)&amp;"")</f>
        <v/>
      </c>
    </row>
    <row r="2659">
      <c r="A2659" s="31" t="n"/>
      <c r="B2659" s="32" t="n"/>
      <c r="C2659" s="32" t="n"/>
      <c r="D2659" s="33" t="n"/>
      <c r="E2659" s="32" t="n"/>
      <c r="F2659" s="34">
        <f>IF(A2659="","",IFERROR(INT(A2659),"check date"))</f>
        <v/>
      </c>
      <c r="G2659" s="35">
        <f>IF(B2659="","",IFERROR(INDEX(Students!$A:$A,MATCH(TRIM(B2659),Students!$A:$A,0)),"NOT ON LIST"))</f>
        <v/>
      </c>
      <c r="H2659" s="35">
        <f>IF(OR(G2659="",G2659="NOT ON LIST"),"",VLOOKUP(G2659,Students!$A:$C,2,FALSE))</f>
        <v/>
      </c>
      <c r="I2659" s="35">
        <f>IF(OR(G2659="",G2659="NOT ON LIST"),"",VLOOKUP(G2659,Students!$A:$C,3,FALSE)&amp;"")</f>
        <v/>
      </c>
    </row>
    <row r="2660">
      <c r="A2660" s="31" t="n"/>
      <c r="B2660" s="32" t="n"/>
      <c r="C2660" s="32" t="n"/>
      <c r="D2660" s="33" t="n"/>
      <c r="E2660" s="32" t="n"/>
      <c r="F2660" s="34">
        <f>IF(A2660="","",IFERROR(INT(A2660),"check date"))</f>
        <v/>
      </c>
      <c r="G2660" s="35">
        <f>IF(B2660="","",IFERROR(INDEX(Students!$A:$A,MATCH(TRIM(B2660),Students!$A:$A,0)),"NOT ON LIST"))</f>
        <v/>
      </c>
      <c r="H2660" s="35">
        <f>IF(OR(G2660="",G2660="NOT ON LIST"),"",VLOOKUP(G2660,Students!$A:$C,2,FALSE))</f>
        <v/>
      </c>
      <c r="I2660" s="35">
        <f>IF(OR(G2660="",G2660="NOT ON LIST"),"",VLOOKUP(G2660,Students!$A:$C,3,FALSE)&amp;"")</f>
        <v/>
      </c>
    </row>
    <row r="2661">
      <c r="A2661" s="31" t="n"/>
      <c r="B2661" s="32" t="n"/>
      <c r="C2661" s="32" t="n"/>
      <c r="D2661" s="33" t="n"/>
      <c r="E2661" s="32" t="n"/>
      <c r="F2661" s="34">
        <f>IF(A2661="","",IFERROR(INT(A2661),"check date"))</f>
        <v/>
      </c>
      <c r="G2661" s="35">
        <f>IF(B2661="","",IFERROR(INDEX(Students!$A:$A,MATCH(TRIM(B2661),Students!$A:$A,0)),"NOT ON LIST"))</f>
        <v/>
      </c>
      <c r="H2661" s="35">
        <f>IF(OR(G2661="",G2661="NOT ON LIST"),"",VLOOKUP(G2661,Students!$A:$C,2,FALSE))</f>
        <v/>
      </c>
      <c r="I2661" s="35">
        <f>IF(OR(G2661="",G2661="NOT ON LIST"),"",VLOOKUP(G2661,Students!$A:$C,3,FALSE)&amp;"")</f>
        <v/>
      </c>
    </row>
    <row r="2662">
      <c r="A2662" s="31" t="n"/>
      <c r="B2662" s="32" t="n"/>
      <c r="C2662" s="32" t="n"/>
      <c r="D2662" s="33" t="n"/>
      <c r="E2662" s="32" t="n"/>
      <c r="F2662" s="34">
        <f>IF(A2662="","",IFERROR(INT(A2662),"check date"))</f>
        <v/>
      </c>
      <c r="G2662" s="35">
        <f>IF(B2662="","",IFERROR(INDEX(Students!$A:$A,MATCH(TRIM(B2662),Students!$A:$A,0)),"NOT ON LIST"))</f>
        <v/>
      </c>
      <c r="H2662" s="35">
        <f>IF(OR(G2662="",G2662="NOT ON LIST"),"",VLOOKUP(G2662,Students!$A:$C,2,FALSE))</f>
        <v/>
      </c>
      <c r="I2662" s="35">
        <f>IF(OR(G2662="",G2662="NOT ON LIST"),"",VLOOKUP(G2662,Students!$A:$C,3,FALSE)&amp;"")</f>
        <v/>
      </c>
    </row>
    <row r="2663">
      <c r="A2663" s="31" t="n"/>
      <c r="B2663" s="32" t="n"/>
      <c r="C2663" s="32" t="n"/>
      <c r="D2663" s="33" t="n"/>
      <c r="E2663" s="32" t="n"/>
      <c r="F2663" s="34">
        <f>IF(A2663="","",IFERROR(INT(A2663),"check date"))</f>
        <v/>
      </c>
      <c r="G2663" s="35">
        <f>IF(B2663="","",IFERROR(INDEX(Students!$A:$A,MATCH(TRIM(B2663),Students!$A:$A,0)),"NOT ON LIST"))</f>
        <v/>
      </c>
      <c r="H2663" s="35">
        <f>IF(OR(G2663="",G2663="NOT ON LIST"),"",VLOOKUP(G2663,Students!$A:$C,2,FALSE))</f>
        <v/>
      </c>
      <c r="I2663" s="35">
        <f>IF(OR(G2663="",G2663="NOT ON LIST"),"",VLOOKUP(G2663,Students!$A:$C,3,FALSE)&amp;"")</f>
        <v/>
      </c>
    </row>
    <row r="2664">
      <c r="A2664" s="31" t="n"/>
      <c r="B2664" s="32" t="n"/>
      <c r="C2664" s="32" t="n"/>
      <c r="D2664" s="33" t="n"/>
      <c r="E2664" s="32" t="n"/>
      <c r="F2664" s="34">
        <f>IF(A2664="","",IFERROR(INT(A2664),"check date"))</f>
        <v/>
      </c>
      <c r="G2664" s="35">
        <f>IF(B2664="","",IFERROR(INDEX(Students!$A:$A,MATCH(TRIM(B2664),Students!$A:$A,0)),"NOT ON LIST"))</f>
        <v/>
      </c>
      <c r="H2664" s="35">
        <f>IF(OR(G2664="",G2664="NOT ON LIST"),"",VLOOKUP(G2664,Students!$A:$C,2,FALSE))</f>
        <v/>
      </c>
      <c r="I2664" s="35">
        <f>IF(OR(G2664="",G2664="NOT ON LIST"),"",VLOOKUP(G2664,Students!$A:$C,3,FALSE)&amp;"")</f>
        <v/>
      </c>
    </row>
    <row r="2665">
      <c r="A2665" s="31" t="n"/>
      <c r="B2665" s="32" t="n"/>
      <c r="C2665" s="32" t="n"/>
      <c r="D2665" s="33" t="n"/>
      <c r="E2665" s="32" t="n"/>
      <c r="F2665" s="34">
        <f>IF(A2665="","",IFERROR(INT(A2665),"check date"))</f>
        <v/>
      </c>
      <c r="G2665" s="35">
        <f>IF(B2665="","",IFERROR(INDEX(Students!$A:$A,MATCH(TRIM(B2665),Students!$A:$A,0)),"NOT ON LIST"))</f>
        <v/>
      </c>
      <c r="H2665" s="35">
        <f>IF(OR(G2665="",G2665="NOT ON LIST"),"",VLOOKUP(G2665,Students!$A:$C,2,FALSE))</f>
        <v/>
      </c>
      <c r="I2665" s="35">
        <f>IF(OR(G2665="",G2665="NOT ON LIST"),"",VLOOKUP(G2665,Students!$A:$C,3,FALSE)&amp;"")</f>
        <v/>
      </c>
    </row>
    <row r="2666">
      <c r="A2666" s="31" t="n"/>
      <c r="B2666" s="32" t="n"/>
      <c r="C2666" s="32" t="n"/>
      <c r="D2666" s="33" t="n"/>
      <c r="E2666" s="32" t="n"/>
      <c r="F2666" s="34">
        <f>IF(A2666="","",IFERROR(INT(A2666),"check date"))</f>
        <v/>
      </c>
      <c r="G2666" s="35">
        <f>IF(B2666="","",IFERROR(INDEX(Students!$A:$A,MATCH(TRIM(B2666),Students!$A:$A,0)),"NOT ON LIST"))</f>
        <v/>
      </c>
      <c r="H2666" s="35">
        <f>IF(OR(G2666="",G2666="NOT ON LIST"),"",VLOOKUP(G2666,Students!$A:$C,2,FALSE))</f>
        <v/>
      </c>
      <c r="I2666" s="35">
        <f>IF(OR(G2666="",G2666="NOT ON LIST"),"",VLOOKUP(G2666,Students!$A:$C,3,FALSE)&amp;"")</f>
        <v/>
      </c>
    </row>
    <row r="2667">
      <c r="A2667" s="31" t="n"/>
      <c r="B2667" s="32" t="n"/>
      <c r="C2667" s="32" t="n"/>
      <c r="D2667" s="33" t="n"/>
      <c r="E2667" s="32" t="n"/>
      <c r="F2667" s="34">
        <f>IF(A2667="","",IFERROR(INT(A2667),"check date"))</f>
        <v/>
      </c>
      <c r="G2667" s="35">
        <f>IF(B2667="","",IFERROR(INDEX(Students!$A:$A,MATCH(TRIM(B2667),Students!$A:$A,0)),"NOT ON LIST"))</f>
        <v/>
      </c>
      <c r="H2667" s="35">
        <f>IF(OR(G2667="",G2667="NOT ON LIST"),"",VLOOKUP(G2667,Students!$A:$C,2,FALSE))</f>
        <v/>
      </c>
      <c r="I2667" s="35">
        <f>IF(OR(G2667="",G2667="NOT ON LIST"),"",VLOOKUP(G2667,Students!$A:$C,3,FALSE)&amp;"")</f>
        <v/>
      </c>
    </row>
    <row r="2668">
      <c r="A2668" s="31" t="n"/>
      <c r="B2668" s="32" t="n"/>
      <c r="C2668" s="32" t="n"/>
      <c r="D2668" s="33" t="n"/>
      <c r="E2668" s="32" t="n"/>
      <c r="F2668" s="34">
        <f>IF(A2668="","",IFERROR(INT(A2668),"check date"))</f>
        <v/>
      </c>
      <c r="G2668" s="35">
        <f>IF(B2668="","",IFERROR(INDEX(Students!$A:$A,MATCH(TRIM(B2668),Students!$A:$A,0)),"NOT ON LIST"))</f>
        <v/>
      </c>
      <c r="H2668" s="35">
        <f>IF(OR(G2668="",G2668="NOT ON LIST"),"",VLOOKUP(G2668,Students!$A:$C,2,FALSE))</f>
        <v/>
      </c>
      <c r="I2668" s="35">
        <f>IF(OR(G2668="",G2668="NOT ON LIST"),"",VLOOKUP(G2668,Students!$A:$C,3,FALSE)&amp;"")</f>
        <v/>
      </c>
    </row>
    <row r="2669">
      <c r="A2669" s="31" t="n"/>
      <c r="B2669" s="32" t="n"/>
      <c r="C2669" s="32" t="n"/>
      <c r="D2669" s="33" t="n"/>
      <c r="E2669" s="32" t="n"/>
      <c r="F2669" s="34">
        <f>IF(A2669="","",IFERROR(INT(A2669),"check date"))</f>
        <v/>
      </c>
      <c r="G2669" s="35">
        <f>IF(B2669="","",IFERROR(INDEX(Students!$A:$A,MATCH(TRIM(B2669),Students!$A:$A,0)),"NOT ON LIST"))</f>
        <v/>
      </c>
      <c r="H2669" s="35">
        <f>IF(OR(G2669="",G2669="NOT ON LIST"),"",VLOOKUP(G2669,Students!$A:$C,2,FALSE))</f>
        <v/>
      </c>
      <c r="I2669" s="35">
        <f>IF(OR(G2669="",G2669="NOT ON LIST"),"",VLOOKUP(G2669,Students!$A:$C,3,FALSE)&amp;"")</f>
        <v/>
      </c>
    </row>
    <row r="2670">
      <c r="A2670" s="31" t="n"/>
      <c r="B2670" s="32" t="n"/>
      <c r="C2670" s="32" t="n"/>
      <c r="D2670" s="33" t="n"/>
      <c r="E2670" s="32" t="n"/>
      <c r="F2670" s="34">
        <f>IF(A2670="","",IFERROR(INT(A2670),"check date"))</f>
        <v/>
      </c>
      <c r="G2670" s="35">
        <f>IF(B2670="","",IFERROR(INDEX(Students!$A:$A,MATCH(TRIM(B2670),Students!$A:$A,0)),"NOT ON LIST"))</f>
        <v/>
      </c>
      <c r="H2670" s="35">
        <f>IF(OR(G2670="",G2670="NOT ON LIST"),"",VLOOKUP(G2670,Students!$A:$C,2,FALSE))</f>
        <v/>
      </c>
      <c r="I2670" s="35">
        <f>IF(OR(G2670="",G2670="NOT ON LIST"),"",VLOOKUP(G2670,Students!$A:$C,3,FALSE)&amp;"")</f>
        <v/>
      </c>
    </row>
    <row r="2671">
      <c r="A2671" s="31" t="n"/>
      <c r="B2671" s="32" t="n"/>
      <c r="C2671" s="32" t="n"/>
      <c r="D2671" s="33" t="n"/>
      <c r="E2671" s="32" t="n"/>
      <c r="F2671" s="34">
        <f>IF(A2671="","",IFERROR(INT(A2671),"check date"))</f>
        <v/>
      </c>
      <c r="G2671" s="35">
        <f>IF(B2671="","",IFERROR(INDEX(Students!$A:$A,MATCH(TRIM(B2671),Students!$A:$A,0)),"NOT ON LIST"))</f>
        <v/>
      </c>
      <c r="H2671" s="35">
        <f>IF(OR(G2671="",G2671="NOT ON LIST"),"",VLOOKUP(G2671,Students!$A:$C,2,FALSE))</f>
        <v/>
      </c>
      <c r="I2671" s="35">
        <f>IF(OR(G2671="",G2671="NOT ON LIST"),"",VLOOKUP(G2671,Students!$A:$C,3,FALSE)&amp;"")</f>
        <v/>
      </c>
    </row>
    <row r="2672">
      <c r="A2672" s="31" t="n"/>
      <c r="B2672" s="32" t="n"/>
      <c r="C2672" s="32" t="n"/>
      <c r="D2672" s="33" t="n"/>
      <c r="E2672" s="32" t="n"/>
      <c r="F2672" s="34">
        <f>IF(A2672="","",IFERROR(INT(A2672),"check date"))</f>
        <v/>
      </c>
      <c r="G2672" s="35">
        <f>IF(B2672="","",IFERROR(INDEX(Students!$A:$A,MATCH(TRIM(B2672),Students!$A:$A,0)),"NOT ON LIST"))</f>
        <v/>
      </c>
      <c r="H2672" s="35">
        <f>IF(OR(G2672="",G2672="NOT ON LIST"),"",VLOOKUP(G2672,Students!$A:$C,2,FALSE))</f>
        <v/>
      </c>
      <c r="I2672" s="35">
        <f>IF(OR(G2672="",G2672="NOT ON LIST"),"",VLOOKUP(G2672,Students!$A:$C,3,FALSE)&amp;"")</f>
        <v/>
      </c>
    </row>
    <row r="2673">
      <c r="A2673" s="31" t="n"/>
      <c r="B2673" s="32" t="n"/>
      <c r="C2673" s="32" t="n"/>
      <c r="D2673" s="33" t="n"/>
      <c r="E2673" s="32" t="n"/>
      <c r="F2673" s="34">
        <f>IF(A2673="","",IFERROR(INT(A2673),"check date"))</f>
        <v/>
      </c>
      <c r="G2673" s="35">
        <f>IF(B2673="","",IFERROR(INDEX(Students!$A:$A,MATCH(TRIM(B2673),Students!$A:$A,0)),"NOT ON LIST"))</f>
        <v/>
      </c>
      <c r="H2673" s="35">
        <f>IF(OR(G2673="",G2673="NOT ON LIST"),"",VLOOKUP(G2673,Students!$A:$C,2,FALSE))</f>
        <v/>
      </c>
      <c r="I2673" s="35">
        <f>IF(OR(G2673="",G2673="NOT ON LIST"),"",VLOOKUP(G2673,Students!$A:$C,3,FALSE)&amp;"")</f>
        <v/>
      </c>
    </row>
    <row r="2674">
      <c r="A2674" s="31" t="n"/>
      <c r="B2674" s="32" t="n"/>
      <c r="C2674" s="32" t="n"/>
      <c r="D2674" s="33" t="n"/>
      <c r="E2674" s="32" t="n"/>
      <c r="F2674" s="34">
        <f>IF(A2674="","",IFERROR(INT(A2674),"check date"))</f>
        <v/>
      </c>
      <c r="G2674" s="35">
        <f>IF(B2674="","",IFERROR(INDEX(Students!$A:$A,MATCH(TRIM(B2674),Students!$A:$A,0)),"NOT ON LIST"))</f>
        <v/>
      </c>
      <c r="H2674" s="35">
        <f>IF(OR(G2674="",G2674="NOT ON LIST"),"",VLOOKUP(G2674,Students!$A:$C,2,FALSE))</f>
        <v/>
      </c>
      <c r="I2674" s="35">
        <f>IF(OR(G2674="",G2674="NOT ON LIST"),"",VLOOKUP(G2674,Students!$A:$C,3,FALSE)&amp;"")</f>
        <v/>
      </c>
    </row>
    <row r="2675">
      <c r="A2675" s="31" t="n"/>
      <c r="B2675" s="32" t="n"/>
      <c r="C2675" s="32" t="n"/>
      <c r="D2675" s="33" t="n"/>
      <c r="E2675" s="32" t="n"/>
      <c r="F2675" s="34">
        <f>IF(A2675="","",IFERROR(INT(A2675),"check date"))</f>
        <v/>
      </c>
      <c r="G2675" s="35">
        <f>IF(B2675="","",IFERROR(INDEX(Students!$A:$A,MATCH(TRIM(B2675),Students!$A:$A,0)),"NOT ON LIST"))</f>
        <v/>
      </c>
      <c r="H2675" s="35">
        <f>IF(OR(G2675="",G2675="NOT ON LIST"),"",VLOOKUP(G2675,Students!$A:$C,2,FALSE))</f>
        <v/>
      </c>
      <c r="I2675" s="35">
        <f>IF(OR(G2675="",G2675="NOT ON LIST"),"",VLOOKUP(G2675,Students!$A:$C,3,FALSE)&amp;"")</f>
        <v/>
      </c>
    </row>
    <row r="2676">
      <c r="A2676" s="31" t="n"/>
      <c r="B2676" s="32" t="n"/>
      <c r="C2676" s="32" t="n"/>
      <c r="D2676" s="33" t="n"/>
      <c r="E2676" s="32" t="n"/>
      <c r="F2676" s="34">
        <f>IF(A2676="","",IFERROR(INT(A2676),"check date"))</f>
        <v/>
      </c>
      <c r="G2676" s="35">
        <f>IF(B2676="","",IFERROR(INDEX(Students!$A:$A,MATCH(TRIM(B2676),Students!$A:$A,0)),"NOT ON LIST"))</f>
        <v/>
      </c>
      <c r="H2676" s="35">
        <f>IF(OR(G2676="",G2676="NOT ON LIST"),"",VLOOKUP(G2676,Students!$A:$C,2,FALSE))</f>
        <v/>
      </c>
      <c r="I2676" s="35">
        <f>IF(OR(G2676="",G2676="NOT ON LIST"),"",VLOOKUP(G2676,Students!$A:$C,3,FALSE)&amp;"")</f>
        <v/>
      </c>
    </row>
    <row r="2677">
      <c r="A2677" s="31" t="n"/>
      <c r="B2677" s="32" t="n"/>
      <c r="C2677" s="32" t="n"/>
      <c r="D2677" s="33" t="n"/>
      <c r="E2677" s="32" t="n"/>
      <c r="F2677" s="34">
        <f>IF(A2677="","",IFERROR(INT(A2677),"check date"))</f>
        <v/>
      </c>
      <c r="G2677" s="35">
        <f>IF(B2677="","",IFERROR(INDEX(Students!$A:$A,MATCH(TRIM(B2677),Students!$A:$A,0)),"NOT ON LIST"))</f>
        <v/>
      </c>
      <c r="H2677" s="35">
        <f>IF(OR(G2677="",G2677="NOT ON LIST"),"",VLOOKUP(G2677,Students!$A:$C,2,FALSE))</f>
        <v/>
      </c>
      <c r="I2677" s="35">
        <f>IF(OR(G2677="",G2677="NOT ON LIST"),"",VLOOKUP(G2677,Students!$A:$C,3,FALSE)&amp;"")</f>
        <v/>
      </c>
    </row>
    <row r="2678">
      <c r="A2678" s="31" t="n"/>
      <c r="B2678" s="32" t="n"/>
      <c r="C2678" s="32" t="n"/>
      <c r="D2678" s="33" t="n"/>
      <c r="E2678" s="32" t="n"/>
      <c r="F2678" s="34">
        <f>IF(A2678="","",IFERROR(INT(A2678),"check date"))</f>
        <v/>
      </c>
      <c r="G2678" s="35">
        <f>IF(B2678="","",IFERROR(INDEX(Students!$A:$A,MATCH(TRIM(B2678),Students!$A:$A,0)),"NOT ON LIST"))</f>
        <v/>
      </c>
      <c r="H2678" s="35">
        <f>IF(OR(G2678="",G2678="NOT ON LIST"),"",VLOOKUP(G2678,Students!$A:$C,2,FALSE))</f>
        <v/>
      </c>
      <c r="I2678" s="35">
        <f>IF(OR(G2678="",G2678="NOT ON LIST"),"",VLOOKUP(G2678,Students!$A:$C,3,FALSE)&amp;"")</f>
        <v/>
      </c>
    </row>
    <row r="2679">
      <c r="A2679" s="31" t="n"/>
      <c r="B2679" s="32" t="n"/>
      <c r="C2679" s="32" t="n"/>
      <c r="D2679" s="33" t="n"/>
      <c r="E2679" s="32" t="n"/>
      <c r="F2679" s="34">
        <f>IF(A2679="","",IFERROR(INT(A2679),"check date"))</f>
        <v/>
      </c>
      <c r="G2679" s="35">
        <f>IF(B2679="","",IFERROR(INDEX(Students!$A:$A,MATCH(TRIM(B2679),Students!$A:$A,0)),"NOT ON LIST"))</f>
        <v/>
      </c>
      <c r="H2679" s="35">
        <f>IF(OR(G2679="",G2679="NOT ON LIST"),"",VLOOKUP(G2679,Students!$A:$C,2,FALSE))</f>
        <v/>
      </c>
      <c r="I2679" s="35">
        <f>IF(OR(G2679="",G2679="NOT ON LIST"),"",VLOOKUP(G2679,Students!$A:$C,3,FALSE)&amp;"")</f>
        <v/>
      </c>
    </row>
    <row r="2680">
      <c r="A2680" s="31" t="n"/>
      <c r="B2680" s="32" t="n"/>
      <c r="C2680" s="32" t="n"/>
      <c r="D2680" s="33" t="n"/>
      <c r="E2680" s="32" t="n"/>
      <c r="F2680" s="34">
        <f>IF(A2680="","",IFERROR(INT(A2680),"check date"))</f>
        <v/>
      </c>
      <c r="G2680" s="35">
        <f>IF(B2680="","",IFERROR(INDEX(Students!$A:$A,MATCH(TRIM(B2680),Students!$A:$A,0)),"NOT ON LIST"))</f>
        <v/>
      </c>
      <c r="H2680" s="35">
        <f>IF(OR(G2680="",G2680="NOT ON LIST"),"",VLOOKUP(G2680,Students!$A:$C,2,FALSE))</f>
        <v/>
      </c>
      <c r="I2680" s="35">
        <f>IF(OR(G2680="",G2680="NOT ON LIST"),"",VLOOKUP(G2680,Students!$A:$C,3,FALSE)&amp;"")</f>
        <v/>
      </c>
    </row>
    <row r="2681">
      <c r="A2681" s="31" t="n"/>
      <c r="B2681" s="32" t="n"/>
      <c r="C2681" s="32" t="n"/>
      <c r="D2681" s="33" t="n"/>
      <c r="E2681" s="32" t="n"/>
      <c r="F2681" s="34">
        <f>IF(A2681="","",IFERROR(INT(A2681),"check date"))</f>
        <v/>
      </c>
      <c r="G2681" s="35">
        <f>IF(B2681="","",IFERROR(INDEX(Students!$A:$A,MATCH(TRIM(B2681),Students!$A:$A,0)),"NOT ON LIST"))</f>
        <v/>
      </c>
      <c r="H2681" s="35">
        <f>IF(OR(G2681="",G2681="NOT ON LIST"),"",VLOOKUP(G2681,Students!$A:$C,2,FALSE))</f>
        <v/>
      </c>
      <c r="I2681" s="35">
        <f>IF(OR(G2681="",G2681="NOT ON LIST"),"",VLOOKUP(G2681,Students!$A:$C,3,FALSE)&amp;"")</f>
        <v/>
      </c>
    </row>
    <row r="2682">
      <c r="A2682" s="31" t="n"/>
      <c r="B2682" s="32" t="n"/>
      <c r="C2682" s="32" t="n"/>
      <c r="D2682" s="33" t="n"/>
      <c r="E2682" s="32" t="n"/>
      <c r="F2682" s="34">
        <f>IF(A2682="","",IFERROR(INT(A2682),"check date"))</f>
        <v/>
      </c>
      <c r="G2682" s="35">
        <f>IF(B2682="","",IFERROR(INDEX(Students!$A:$A,MATCH(TRIM(B2682),Students!$A:$A,0)),"NOT ON LIST"))</f>
        <v/>
      </c>
      <c r="H2682" s="35">
        <f>IF(OR(G2682="",G2682="NOT ON LIST"),"",VLOOKUP(G2682,Students!$A:$C,2,FALSE))</f>
        <v/>
      </c>
      <c r="I2682" s="35">
        <f>IF(OR(G2682="",G2682="NOT ON LIST"),"",VLOOKUP(G2682,Students!$A:$C,3,FALSE)&amp;"")</f>
        <v/>
      </c>
    </row>
    <row r="2683">
      <c r="A2683" s="31" t="n"/>
      <c r="B2683" s="32" t="n"/>
      <c r="C2683" s="32" t="n"/>
      <c r="D2683" s="33" t="n"/>
      <c r="E2683" s="32" t="n"/>
      <c r="F2683" s="34">
        <f>IF(A2683="","",IFERROR(INT(A2683),"check date"))</f>
        <v/>
      </c>
      <c r="G2683" s="35">
        <f>IF(B2683="","",IFERROR(INDEX(Students!$A:$A,MATCH(TRIM(B2683),Students!$A:$A,0)),"NOT ON LIST"))</f>
        <v/>
      </c>
      <c r="H2683" s="35">
        <f>IF(OR(G2683="",G2683="NOT ON LIST"),"",VLOOKUP(G2683,Students!$A:$C,2,FALSE))</f>
        <v/>
      </c>
      <c r="I2683" s="35">
        <f>IF(OR(G2683="",G2683="NOT ON LIST"),"",VLOOKUP(G2683,Students!$A:$C,3,FALSE)&amp;"")</f>
        <v/>
      </c>
    </row>
    <row r="2684">
      <c r="A2684" s="31" t="n"/>
      <c r="B2684" s="32" t="n"/>
      <c r="C2684" s="32" t="n"/>
      <c r="D2684" s="33" t="n"/>
      <c r="E2684" s="32" t="n"/>
      <c r="F2684" s="34">
        <f>IF(A2684="","",IFERROR(INT(A2684),"check date"))</f>
        <v/>
      </c>
      <c r="G2684" s="35">
        <f>IF(B2684="","",IFERROR(INDEX(Students!$A:$A,MATCH(TRIM(B2684),Students!$A:$A,0)),"NOT ON LIST"))</f>
        <v/>
      </c>
      <c r="H2684" s="35">
        <f>IF(OR(G2684="",G2684="NOT ON LIST"),"",VLOOKUP(G2684,Students!$A:$C,2,FALSE))</f>
        <v/>
      </c>
      <c r="I2684" s="35">
        <f>IF(OR(G2684="",G2684="NOT ON LIST"),"",VLOOKUP(G2684,Students!$A:$C,3,FALSE)&amp;"")</f>
        <v/>
      </c>
    </row>
    <row r="2685">
      <c r="A2685" s="31" t="n"/>
      <c r="B2685" s="32" t="n"/>
      <c r="C2685" s="32" t="n"/>
      <c r="D2685" s="33" t="n"/>
      <c r="E2685" s="32" t="n"/>
      <c r="F2685" s="34">
        <f>IF(A2685="","",IFERROR(INT(A2685),"check date"))</f>
        <v/>
      </c>
      <c r="G2685" s="35">
        <f>IF(B2685="","",IFERROR(INDEX(Students!$A:$A,MATCH(TRIM(B2685),Students!$A:$A,0)),"NOT ON LIST"))</f>
        <v/>
      </c>
      <c r="H2685" s="35">
        <f>IF(OR(G2685="",G2685="NOT ON LIST"),"",VLOOKUP(G2685,Students!$A:$C,2,FALSE))</f>
        <v/>
      </c>
      <c r="I2685" s="35">
        <f>IF(OR(G2685="",G2685="NOT ON LIST"),"",VLOOKUP(G2685,Students!$A:$C,3,FALSE)&amp;"")</f>
        <v/>
      </c>
    </row>
    <row r="2686">
      <c r="A2686" s="31" t="n"/>
      <c r="B2686" s="32" t="n"/>
      <c r="C2686" s="32" t="n"/>
      <c r="D2686" s="33" t="n"/>
      <c r="E2686" s="32" t="n"/>
      <c r="F2686" s="34">
        <f>IF(A2686="","",IFERROR(INT(A2686),"check date"))</f>
        <v/>
      </c>
      <c r="G2686" s="35">
        <f>IF(B2686="","",IFERROR(INDEX(Students!$A:$A,MATCH(TRIM(B2686),Students!$A:$A,0)),"NOT ON LIST"))</f>
        <v/>
      </c>
      <c r="H2686" s="35">
        <f>IF(OR(G2686="",G2686="NOT ON LIST"),"",VLOOKUP(G2686,Students!$A:$C,2,FALSE))</f>
        <v/>
      </c>
      <c r="I2686" s="35">
        <f>IF(OR(G2686="",G2686="NOT ON LIST"),"",VLOOKUP(G2686,Students!$A:$C,3,FALSE)&amp;"")</f>
        <v/>
      </c>
    </row>
    <row r="2687">
      <c r="A2687" s="31" t="n"/>
      <c r="B2687" s="32" t="n"/>
      <c r="C2687" s="32" t="n"/>
      <c r="D2687" s="33" t="n"/>
      <c r="E2687" s="32" t="n"/>
      <c r="F2687" s="34">
        <f>IF(A2687="","",IFERROR(INT(A2687),"check date"))</f>
        <v/>
      </c>
      <c r="G2687" s="35">
        <f>IF(B2687="","",IFERROR(INDEX(Students!$A:$A,MATCH(TRIM(B2687),Students!$A:$A,0)),"NOT ON LIST"))</f>
        <v/>
      </c>
      <c r="H2687" s="35">
        <f>IF(OR(G2687="",G2687="NOT ON LIST"),"",VLOOKUP(G2687,Students!$A:$C,2,FALSE))</f>
        <v/>
      </c>
      <c r="I2687" s="35">
        <f>IF(OR(G2687="",G2687="NOT ON LIST"),"",VLOOKUP(G2687,Students!$A:$C,3,FALSE)&amp;"")</f>
        <v/>
      </c>
    </row>
    <row r="2688">
      <c r="A2688" s="31" t="n"/>
      <c r="B2688" s="32" t="n"/>
      <c r="C2688" s="32" t="n"/>
      <c r="D2688" s="33" t="n"/>
      <c r="E2688" s="32" t="n"/>
      <c r="F2688" s="34">
        <f>IF(A2688="","",IFERROR(INT(A2688),"check date"))</f>
        <v/>
      </c>
      <c r="G2688" s="35">
        <f>IF(B2688="","",IFERROR(INDEX(Students!$A:$A,MATCH(TRIM(B2688),Students!$A:$A,0)),"NOT ON LIST"))</f>
        <v/>
      </c>
      <c r="H2688" s="35">
        <f>IF(OR(G2688="",G2688="NOT ON LIST"),"",VLOOKUP(G2688,Students!$A:$C,2,FALSE))</f>
        <v/>
      </c>
      <c r="I2688" s="35">
        <f>IF(OR(G2688="",G2688="NOT ON LIST"),"",VLOOKUP(G2688,Students!$A:$C,3,FALSE)&amp;"")</f>
        <v/>
      </c>
    </row>
    <row r="2689">
      <c r="A2689" s="31" t="n"/>
      <c r="B2689" s="32" t="n"/>
      <c r="C2689" s="32" t="n"/>
      <c r="D2689" s="33" t="n"/>
      <c r="E2689" s="32" t="n"/>
      <c r="F2689" s="34">
        <f>IF(A2689="","",IFERROR(INT(A2689),"check date"))</f>
        <v/>
      </c>
      <c r="G2689" s="35">
        <f>IF(B2689="","",IFERROR(INDEX(Students!$A:$A,MATCH(TRIM(B2689),Students!$A:$A,0)),"NOT ON LIST"))</f>
        <v/>
      </c>
      <c r="H2689" s="35">
        <f>IF(OR(G2689="",G2689="NOT ON LIST"),"",VLOOKUP(G2689,Students!$A:$C,2,FALSE))</f>
        <v/>
      </c>
      <c r="I2689" s="35">
        <f>IF(OR(G2689="",G2689="NOT ON LIST"),"",VLOOKUP(G2689,Students!$A:$C,3,FALSE)&amp;"")</f>
        <v/>
      </c>
    </row>
    <row r="2690">
      <c r="A2690" s="31" t="n"/>
      <c r="B2690" s="32" t="n"/>
      <c r="C2690" s="32" t="n"/>
      <c r="D2690" s="33" t="n"/>
      <c r="E2690" s="32" t="n"/>
      <c r="F2690" s="34">
        <f>IF(A2690="","",IFERROR(INT(A2690),"check date"))</f>
        <v/>
      </c>
      <c r="G2690" s="35">
        <f>IF(B2690="","",IFERROR(INDEX(Students!$A:$A,MATCH(TRIM(B2690),Students!$A:$A,0)),"NOT ON LIST"))</f>
        <v/>
      </c>
      <c r="H2690" s="35">
        <f>IF(OR(G2690="",G2690="NOT ON LIST"),"",VLOOKUP(G2690,Students!$A:$C,2,FALSE))</f>
        <v/>
      </c>
      <c r="I2690" s="35">
        <f>IF(OR(G2690="",G2690="NOT ON LIST"),"",VLOOKUP(G2690,Students!$A:$C,3,FALSE)&amp;"")</f>
        <v/>
      </c>
    </row>
    <row r="2691">
      <c r="A2691" s="31" t="n"/>
      <c r="B2691" s="32" t="n"/>
      <c r="C2691" s="32" t="n"/>
      <c r="D2691" s="33" t="n"/>
      <c r="E2691" s="32" t="n"/>
      <c r="F2691" s="34">
        <f>IF(A2691="","",IFERROR(INT(A2691),"check date"))</f>
        <v/>
      </c>
      <c r="G2691" s="35">
        <f>IF(B2691="","",IFERROR(INDEX(Students!$A:$A,MATCH(TRIM(B2691),Students!$A:$A,0)),"NOT ON LIST"))</f>
        <v/>
      </c>
      <c r="H2691" s="35">
        <f>IF(OR(G2691="",G2691="NOT ON LIST"),"",VLOOKUP(G2691,Students!$A:$C,2,FALSE))</f>
        <v/>
      </c>
      <c r="I2691" s="35">
        <f>IF(OR(G2691="",G2691="NOT ON LIST"),"",VLOOKUP(G2691,Students!$A:$C,3,FALSE)&amp;"")</f>
        <v/>
      </c>
    </row>
    <row r="2692">
      <c r="A2692" s="31" t="n"/>
      <c r="B2692" s="32" t="n"/>
      <c r="C2692" s="32" t="n"/>
      <c r="D2692" s="33" t="n"/>
      <c r="E2692" s="32" t="n"/>
      <c r="F2692" s="34">
        <f>IF(A2692="","",IFERROR(INT(A2692),"check date"))</f>
        <v/>
      </c>
      <c r="G2692" s="35">
        <f>IF(B2692="","",IFERROR(INDEX(Students!$A:$A,MATCH(TRIM(B2692),Students!$A:$A,0)),"NOT ON LIST"))</f>
        <v/>
      </c>
      <c r="H2692" s="35">
        <f>IF(OR(G2692="",G2692="NOT ON LIST"),"",VLOOKUP(G2692,Students!$A:$C,2,FALSE))</f>
        <v/>
      </c>
      <c r="I2692" s="35">
        <f>IF(OR(G2692="",G2692="NOT ON LIST"),"",VLOOKUP(G2692,Students!$A:$C,3,FALSE)&amp;"")</f>
        <v/>
      </c>
    </row>
    <row r="2693">
      <c r="A2693" s="31" t="n"/>
      <c r="B2693" s="32" t="n"/>
      <c r="C2693" s="32" t="n"/>
      <c r="D2693" s="33" t="n"/>
      <c r="E2693" s="32" t="n"/>
      <c r="F2693" s="34">
        <f>IF(A2693="","",IFERROR(INT(A2693),"check date"))</f>
        <v/>
      </c>
      <c r="G2693" s="35">
        <f>IF(B2693="","",IFERROR(INDEX(Students!$A:$A,MATCH(TRIM(B2693),Students!$A:$A,0)),"NOT ON LIST"))</f>
        <v/>
      </c>
      <c r="H2693" s="35">
        <f>IF(OR(G2693="",G2693="NOT ON LIST"),"",VLOOKUP(G2693,Students!$A:$C,2,FALSE))</f>
        <v/>
      </c>
      <c r="I2693" s="35">
        <f>IF(OR(G2693="",G2693="NOT ON LIST"),"",VLOOKUP(G2693,Students!$A:$C,3,FALSE)&amp;"")</f>
        <v/>
      </c>
    </row>
    <row r="2694">
      <c r="A2694" s="31" t="n"/>
      <c r="B2694" s="32" t="n"/>
      <c r="C2694" s="32" t="n"/>
      <c r="D2694" s="33" t="n"/>
      <c r="E2694" s="32" t="n"/>
      <c r="F2694" s="34">
        <f>IF(A2694="","",IFERROR(INT(A2694),"check date"))</f>
        <v/>
      </c>
      <c r="G2694" s="35">
        <f>IF(B2694="","",IFERROR(INDEX(Students!$A:$A,MATCH(TRIM(B2694),Students!$A:$A,0)),"NOT ON LIST"))</f>
        <v/>
      </c>
      <c r="H2694" s="35">
        <f>IF(OR(G2694="",G2694="NOT ON LIST"),"",VLOOKUP(G2694,Students!$A:$C,2,FALSE))</f>
        <v/>
      </c>
      <c r="I2694" s="35">
        <f>IF(OR(G2694="",G2694="NOT ON LIST"),"",VLOOKUP(G2694,Students!$A:$C,3,FALSE)&amp;"")</f>
        <v/>
      </c>
    </row>
    <row r="2695">
      <c r="A2695" s="31" t="n"/>
      <c r="B2695" s="32" t="n"/>
      <c r="C2695" s="32" t="n"/>
      <c r="D2695" s="33" t="n"/>
      <c r="E2695" s="32" t="n"/>
      <c r="F2695" s="34">
        <f>IF(A2695="","",IFERROR(INT(A2695),"check date"))</f>
        <v/>
      </c>
      <c r="G2695" s="35">
        <f>IF(B2695="","",IFERROR(INDEX(Students!$A:$A,MATCH(TRIM(B2695),Students!$A:$A,0)),"NOT ON LIST"))</f>
        <v/>
      </c>
      <c r="H2695" s="35">
        <f>IF(OR(G2695="",G2695="NOT ON LIST"),"",VLOOKUP(G2695,Students!$A:$C,2,FALSE))</f>
        <v/>
      </c>
      <c r="I2695" s="35">
        <f>IF(OR(G2695="",G2695="NOT ON LIST"),"",VLOOKUP(G2695,Students!$A:$C,3,FALSE)&amp;"")</f>
        <v/>
      </c>
    </row>
    <row r="2696">
      <c r="A2696" s="31" t="n"/>
      <c r="B2696" s="32" t="n"/>
      <c r="C2696" s="32" t="n"/>
      <c r="D2696" s="33" t="n"/>
      <c r="E2696" s="32" t="n"/>
      <c r="F2696" s="34">
        <f>IF(A2696="","",IFERROR(INT(A2696),"check date"))</f>
        <v/>
      </c>
      <c r="G2696" s="35">
        <f>IF(B2696="","",IFERROR(INDEX(Students!$A:$A,MATCH(TRIM(B2696),Students!$A:$A,0)),"NOT ON LIST"))</f>
        <v/>
      </c>
      <c r="H2696" s="35">
        <f>IF(OR(G2696="",G2696="NOT ON LIST"),"",VLOOKUP(G2696,Students!$A:$C,2,FALSE))</f>
        <v/>
      </c>
      <c r="I2696" s="35">
        <f>IF(OR(G2696="",G2696="NOT ON LIST"),"",VLOOKUP(G2696,Students!$A:$C,3,FALSE)&amp;"")</f>
        <v/>
      </c>
    </row>
    <row r="2697">
      <c r="A2697" s="31" t="n"/>
      <c r="B2697" s="32" t="n"/>
      <c r="C2697" s="32" t="n"/>
      <c r="D2697" s="33" t="n"/>
      <c r="E2697" s="32" t="n"/>
      <c r="F2697" s="34">
        <f>IF(A2697="","",IFERROR(INT(A2697),"check date"))</f>
        <v/>
      </c>
      <c r="G2697" s="35">
        <f>IF(B2697="","",IFERROR(INDEX(Students!$A:$A,MATCH(TRIM(B2697),Students!$A:$A,0)),"NOT ON LIST"))</f>
        <v/>
      </c>
      <c r="H2697" s="35">
        <f>IF(OR(G2697="",G2697="NOT ON LIST"),"",VLOOKUP(G2697,Students!$A:$C,2,FALSE))</f>
        <v/>
      </c>
      <c r="I2697" s="35">
        <f>IF(OR(G2697="",G2697="NOT ON LIST"),"",VLOOKUP(G2697,Students!$A:$C,3,FALSE)&amp;"")</f>
        <v/>
      </c>
    </row>
    <row r="2698">
      <c r="A2698" s="31" t="n"/>
      <c r="B2698" s="32" t="n"/>
      <c r="C2698" s="32" t="n"/>
      <c r="D2698" s="33" t="n"/>
      <c r="E2698" s="32" t="n"/>
      <c r="F2698" s="34">
        <f>IF(A2698="","",IFERROR(INT(A2698),"check date"))</f>
        <v/>
      </c>
      <c r="G2698" s="35">
        <f>IF(B2698="","",IFERROR(INDEX(Students!$A:$A,MATCH(TRIM(B2698),Students!$A:$A,0)),"NOT ON LIST"))</f>
        <v/>
      </c>
      <c r="H2698" s="35">
        <f>IF(OR(G2698="",G2698="NOT ON LIST"),"",VLOOKUP(G2698,Students!$A:$C,2,FALSE))</f>
        <v/>
      </c>
      <c r="I2698" s="35">
        <f>IF(OR(G2698="",G2698="NOT ON LIST"),"",VLOOKUP(G2698,Students!$A:$C,3,FALSE)&amp;"")</f>
        <v/>
      </c>
    </row>
    <row r="2699">
      <c r="A2699" s="31" t="n"/>
      <c r="B2699" s="32" t="n"/>
      <c r="C2699" s="32" t="n"/>
      <c r="D2699" s="33" t="n"/>
      <c r="E2699" s="32" t="n"/>
      <c r="F2699" s="34">
        <f>IF(A2699="","",IFERROR(INT(A2699),"check date"))</f>
        <v/>
      </c>
      <c r="G2699" s="35">
        <f>IF(B2699="","",IFERROR(INDEX(Students!$A:$A,MATCH(TRIM(B2699),Students!$A:$A,0)),"NOT ON LIST"))</f>
        <v/>
      </c>
      <c r="H2699" s="35">
        <f>IF(OR(G2699="",G2699="NOT ON LIST"),"",VLOOKUP(G2699,Students!$A:$C,2,FALSE))</f>
        <v/>
      </c>
      <c r="I2699" s="35">
        <f>IF(OR(G2699="",G2699="NOT ON LIST"),"",VLOOKUP(G2699,Students!$A:$C,3,FALSE)&amp;"")</f>
        <v/>
      </c>
    </row>
    <row r="2700">
      <c r="A2700" s="31" t="n"/>
      <c r="B2700" s="32" t="n"/>
      <c r="C2700" s="32" t="n"/>
      <c r="D2700" s="33" t="n"/>
      <c r="E2700" s="32" t="n"/>
      <c r="F2700" s="34">
        <f>IF(A2700="","",IFERROR(INT(A2700),"check date"))</f>
        <v/>
      </c>
      <c r="G2700" s="35">
        <f>IF(B2700="","",IFERROR(INDEX(Students!$A:$A,MATCH(TRIM(B2700),Students!$A:$A,0)),"NOT ON LIST"))</f>
        <v/>
      </c>
      <c r="H2700" s="35">
        <f>IF(OR(G2700="",G2700="NOT ON LIST"),"",VLOOKUP(G2700,Students!$A:$C,2,FALSE))</f>
        <v/>
      </c>
      <c r="I2700" s="35">
        <f>IF(OR(G2700="",G2700="NOT ON LIST"),"",VLOOKUP(G2700,Students!$A:$C,3,FALSE)&amp;"")</f>
        <v/>
      </c>
    </row>
    <row r="2701">
      <c r="A2701" s="31" t="n"/>
      <c r="B2701" s="32" t="n"/>
      <c r="C2701" s="32" t="n"/>
      <c r="D2701" s="33" t="n"/>
      <c r="E2701" s="32" t="n"/>
      <c r="F2701" s="34">
        <f>IF(A2701="","",IFERROR(INT(A2701),"check date"))</f>
        <v/>
      </c>
      <c r="G2701" s="35">
        <f>IF(B2701="","",IFERROR(INDEX(Students!$A:$A,MATCH(TRIM(B2701),Students!$A:$A,0)),"NOT ON LIST"))</f>
        <v/>
      </c>
      <c r="H2701" s="35">
        <f>IF(OR(G2701="",G2701="NOT ON LIST"),"",VLOOKUP(G2701,Students!$A:$C,2,FALSE))</f>
        <v/>
      </c>
      <c r="I2701" s="35">
        <f>IF(OR(G2701="",G2701="NOT ON LIST"),"",VLOOKUP(G2701,Students!$A:$C,3,FALSE)&amp;"")</f>
        <v/>
      </c>
    </row>
    <row r="2702">
      <c r="A2702" s="31" t="n"/>
      <c r="B2702" s="32" t="n"/>
      <c r="C2702" s="32" t="n"/>
      <c r="D2702" s="33" t="n"/>
      <c r="E2702" s="32" t="n"/>
      <c r="F2702" s="34">
        <f>IF(A2702="","",IFERROR(INT(A2702),"check date"))</f>
        <v/>
      </c>
      <c r="G2702" s="35">
        <f>IF(B2702="","",IFERROR(INDEX(Students!$A:$A,MATCH(TRIM(B2702),Students!$A:$A,0)),"NOT ON LIST"))</f>
        <v/>
      </c>
      <c r="H2702" s="35">
        <f>IF(OR(G2702="",G2702="NOT ON LIST"),"",VLOOKUP(G2702,Students!$A:$C,2,FALSE))</f>
        <v/>
      </c>
      <c r="I2702" s="35">
        <f>IF(OR(G2702="",G2702="NOT ON LIST"),"",VLOOKUP(G2702,Students!$A:$C,3,FALSE)&amp;"")</f>
        <v/>
      </c>
    </row>
    <row r="2703">
      <c r="A2703" s="31" t="n"/>
      <c r="B2703" s="32" t="n"/>
      <c r="C2703" s="32" t="n"/>
      <c r="D2703" s="33" t="n"/>
      <c r="E2703" s="32" t="n"/>
      <c r="F2703" s="34">
        <f>IF(A2703="","",IFERROR(INT(A2703),"check date"))</f>
        <v/>
      </c>
      <c r="G2703" s="35">
        <f>IF(B2703="","",IFERROR(INDEX(Students!$A:$A,MATCH(TRIM(B2703),Students!$A:$A,0)),"NOT ON LIST"))</f>
        <v/>
      </c>
      <c r="H2703" s="35">
        <f>IF(OR(G2703="",G2703="NOT ON LIST"),"",VLOOKUP(G2703,Students!$A:$C,2,FALSE))</f>
        <v/>
      </c>
      <c r="I2703" s="35">
        <f>IF(OR(G2703="",G2703="NOT ON LIST"),"",VLOOKUP(G2703,Students!$A:$C,3,FALSE)&amp;"")</f>
        <v/>
      </c>
    </row>
    <row r="2704">
      <c r="A2704" s="31" t="n"/>
      <c r="B2704" s="32" t="n"/>
      <c r="C2704" s="32" t="n"/>
      <c r="D2704" s="33" t="n"/>
      <c r="E2704" s="32" t="n"/>
      <c r="F2704" s="34">
        <f>IF(A2704="","",IFERROR(INT(A2704),"check date"))</f>
        <v/>
      </c>
      <c r="G2704" s="35">
        <f>IF(B2704="","",IFERROR(INDEX(Students!$A:$A,MATCH(TRIM(B2704),Students!$A:$A,0)),"NOT ON LIST"))</f>
        <v/>
      </c>
      <c r="H2704" s="35">
        <f>IF(OR(G2704="",G2704="NOT ON LIST"),"",VLOOKUP(G2704,Students!$A:$C,2,FALSE))</f>
        <v/>
      </c>
      <c r="I2704" s="35">
        <f>IF(OR(G2704="",G2704="NOT ON LIST"),"",VLOOKUP(G2704,Students!$A:$C,3,FALSE)&amp;"")</f>
        <v/>
      </c>
    </row>
    <row r="2705">
      <c r="A2705" s="31" t="n"/>
      <c r="B2705" s="32" t="n"/>
      <c r="C2705" s="32" t="n"/>
      <c r="D2705" s="33" t="n"/>
      <c r="E2705" s="32" t="n"/>
      <c r="F2705" s="34">
        <f>IF(A2705="","",IFERROR(INT(A2705),"check date"))</f>
        <v/>
      </c>
      <c r="G2705" s="35">
        <f>IF(B2705="","",IFERROR(INDEX(Students!$A:$A,MATCH(TRIM(B2705),Students!$A:$A,0)),"NOT ON LIST"))</f>
        <v/>
      </c>
      <c r="H2705" s="35">
        <f>IF(OR(G2705="",G2705="NOT ON LIST"),"",VLOOKUP(G2705,Students!$A:$C,2,FALSE))</f>
        <v/>
      </c>
      <c r="I2705" s="35">
        <f>IF(OR(G2705="",G2705="NOT ON LIST"),"",VLOOKUP(G2705,Students!$A:$C,3,FALSE)&amp;"")</f>
        <v/>
      </c>
    </row>
    <row r="2706">
      <c r="A2706" s="31" t="n"/>
      <c r="B2706" s="32" t="n"/>
      <c r="C2706" s="32" t="n"/>
      <c r="D2706" s="33" t="n"/>
      <c r="E2706" s="32" t="n"/>
      <c r="F2706" s="34">
        <f>IF(A2706="","",IFERROR(INT(A2706),"check date"))</f>
        <v/>
      </c>
      <c r="G2706" s="35">
        <f>IF(B2706="","",IFERROR(INDEX(Students!$A:$A,MATCH(TRIM(B2706),Students!$A:$A,0)),"NOT ON LIST"))</f>
        <v/>
      </c>
      <c r="H2706" s="35">
        <f>IF(OR(G2706="",G2706="NOT ON LIST"),"",VLOOKUP(G2706,Students!$A:$C,2,FALSE))</f>
        <v/>
      </c>
      <c r="I2706" s="35">
        <f>IF(OR(G2706="",G2706="NOT ON LIST"),"",VLOOKUP(G2706,Students!$A:$C,3,FALSE)&amp;"")</f>
        <v/>
      </c>
    </row>
    <row r="2707">
      <c r="A2707" s="31" t="n"/>
      <c r="B2707" s="32" t="n"/>
      <c r="C2707" s="32" t="n"/>
      <c r="D2707" s="33" t="n"/>
      <c r="E2707" s="32" t="n"/>
      <c r="F2707" s="34">
        <f>IF(A2707="","",IFERROR(INT(A2707),"check date"))</f>
        <v/>
      </c>
      <c r="G2707" s="35">
        <f>IF(B2707="","",IFERROR(INDEX(Students!$A:$A,MATCH(TRIM(B2707),Students!$A:$A,0)),"NOT ON LIST"))</f>
        <v/>
      </c>
      <c r="H2707" s="35">
        <f>IF(OR(G2707="",G2707="NOT ON LIST"),"",VLOOKUP(G2707,Students!$A:$C,2,FALSE))</f>
        <v/>
      </c>
      <c r="I2707" s="35">
        <f>IF(OR(G2707="",G2707="NOT ON LIST"),"",VLOOKUP(G2707,Students!$A:$C,3,FALSE)&amp;"")</f>
        <v/>
      </c>
    </row>
    <row r="2708">
      <c r="A2708" s="31" t="n"/>
      <c r="B2708" s="32" t="n"/>
      <c r="C2708" s="32" t="n"/>
      <c r="D2708" s="33" t="n"/>
      <c r="E2708" s="32" t="n"/>
      <c r="F2708" s="34">
        <f>IF(A2708="","",IFERROR(INT(A2708),"check date"))</f>
        <v/>
      </c>
      <c r="G2708" s="35">
        <f>IF(B2708="","",IFERROR(INDEX(Students!$A:$A,MATCH(TRIM(B2708),Students!$A:$A,0)),"NOT ON LIST"))</f>
        <v/>
      </c>
      <c r="H2708" s="35">
        <f>IF(OR(G2708="",G2708="NOT ON LIST"),"",VLOOKUP(G2708,Students!$A:$C,2,FALSE))</f>
        <v/>
      </c>
      <c r="I2708" s="35">
        <f>IF(OR(G2708="",G2708="NOT ON LIST"),"",VLOOKUP(G2708,Students!$A:$C,3,FALSE)&amp;"")</f>
        <v/>
      </c>
    </row>
    <row r="2709">
      <c r="A2709" s="31" t="n"/>
      <c r="B2709" s="32" t="n"/>
      <c r="C2709" s="32" t="n"/>
      <c r="D2709" s="33" t="n"/>
      <c r="E2709" s="32" t="n"/>
      <c r="F2709" s="34">
        <f>IF(A2709="","",IFERROR(INT(A2709),"check date"))</f>
        <v/>
      </c>
      <c r="G2709" s="35">
        <f>IF(B2709="","",IFERROR(INDEX(Students!$A:$A,MATCH(TRIM(B2709),Students!$A:$A,0)),"NOT ON LIST"))</f>
        <v/>
      </c>
      <c r="H2709" s="35">
        <f>IF(OR(G2709="",G2709="NOT ON LIST"),"",VLOOKUP(G2709,Students!$A:$C,2,FALSE))</f>
        <v/>
      </c>
      <c r="I2709" s="35">
        <f>IF(OR(G2709="",G2709="NOT ON LIST"),"",VLOOKUP(G2709,Students!$A:$C,3,FALSE)&amp;"")</f>
        <v/>
      </c>
    </row>
    <row r="2710">
      <c r="A2710" s="31" t="n"/>
      <c r="B2710" s="32" t="n"/>
      <c r="C2710" s="32" t="n"/>
      <c r="D2710" s="33" t="n"/>
      <c r="E2710" s="32" t="n"/>
      <c r="F2710" s="34">
        <f>IF(A2710="","",IFERROR(INT(A2710),"check date"))</f>
        <v/>
      </c>
      <c r="G2710" s="35">
        <f>IF(B2710="","",IFERROR(INDEX(Students!$A:$A,MATCH(TRIM(B2710),Students!$A:$A,0)),"NOT ON LIST"))</f>
        <v/>
      </c>
      <c r="H2710" s="35">
        <f>IF(OR(G2710="",G2710="NOT ON LIST"),"",VLOOKUP(G2710,Students!$A:$C,2,FALSE))</f>
        <v/>
      </c>
      <c r="I2710" s="35">
        <f>IF(OR(G2710="",G2710="NOT ON LIST"),"",VLOOKUP(G2710,Students!$A:$C,3,FALSE)&amp;"")</f>
        <v/>
      </c>
    </row>
    <row r="2711">
      <c r="A2711" s="31" t="n"/>
      <c r="B2711" s="32" t="n"/>
      <c r="C2711" s="32" t="n"/>
      <c r="D2711" s="33" t="n"/>
      <c r="E2711" s="32" t="n"/>
      <c r="F2711" s="34">
        <f>IF(A2711="","",IFERROR(INT(A2711),"check date"))</f>
        <v/>
      </c>
      <c r="G2711" s="35">
        <f>IF(B2711="","",IFERROR(INDEX(Students!$A:$A,MATCH(TRIM(B2711),Students!$A:$A,0)),"NOT ON LIST"))</f>
        <v/>
      </c>
      <c r="H2711" s="35">
        <f>IF(OR(G2711="",G2711="NOT ON LIST"),"",VLOOKUP(G2711,Students!$A:$C,2,FALSE))</f>
        <v/>
      </c>
      <c r="I2711" s="35">
        <f>IF(OR(G2711="",G2711="NOT ON LIST"),"",VLOOKUP(G2711,Students!$A:$C,3,FALSE)&amp;"")</f>
        <v/>
      </c>
    </row>
    <row r="2712">
      <c r="A2712" s="31" t="n"/>
      <c r="B2712" s="32" t="n"/>
      <c r="C2712" s="32" t="n"/>
      <c r="D2712" s="33" t="n"/>
      <c r="E2712" s="32" t="n"/>
      <c r="F2712" s="34">
        <f>IF(A2712="","",IFERROR(INT(A2712),"check date"))</f>
        <v/>
      </c>
      <c r="G2712" s="35">
        <f>IF(B2712="","",IFERROR(INDEX(Students!$A:$A,MATCH(TRIM(B2712),Students!$A:$A,0)),"NOT ON LIST"))</f>
        <v/>
      </c>
      <c r="H2712" s="35">
        <f>IF(OR(G2712="",G2712="NOT ON LIST"),"",VLOOKUP(G2712,Students!$A:$C,2,FALSE))</f>
        <v/>
      </c>
      <c r="I2712" s="35">
        <f>IF(OR(G2712="",G2712="NOT ON LIST"),"",VLOOKUP(G2712,Students!$A:$C,3,FALSE)&amp;"")</f>
        <v/>
      </c>
    </row>
    <row r="2713">
      <c r="A2713" s="31" t="n"/>
      <c r="B2713" s="32" t="n"/>
      <c r="C2713" s="32" t="n"/>
      <c r="D2713" s="33" t="n"/>
      <c r="E2713" s="32" t="n"/>
      <c r="F2713" s="34">
        <f>IF(A2713="","",IFERROR(INT(A2713),"check date"))</f>
        <v/>
      </c>
      <c r="G2713" s="35">
        <f>IF(B2713="","",IFERROR(INDEX(Students!$A:$A,MATCH(TRIM(B2713),Students!$A:$A,0)),"NOT ON LIST"))</f>
        <v/>
      </c>
      <c r="H2713" s="35">
        <f>IF(OR(G2713="",G2713="NOT ON LIST"),"",VLOOKUP(G2713,Students!$A:$C,2,FALSE))</f>
        <v/>
      </c>
      <c r="I2713" s="35">
        <f>IF(OR(G2713="",G2713="NOT ON LIST"),"",VLOOKUP(G2713,Students!$A:$C,3,FALSE)&amp;"")</f>
        <v/>
      </c>
    </row>
    <row r="2714">
      <c r="A2714" s="31" t="n"/>
      <c r="B2714" s="32" t="n"/>
      <c r="C2714" s="32" t="n"/>
      <c r="D2714" s="33" t="n"/>
      <c r="E2714" s="32" t="n"/>
      <c r="F2714" s="34">
        <f>IF(A2714="","",IFERROR(INT(A2714),"check date"))</f>
        <v/>
      </c>
      <c r="G2714" s="35">
        <f>IF(B2714="","",IFERROR(INDEX(Students!$A:$A,MATCH(TRIM(B2714),Students!$A:$A,0)),"NOT ON LIST"))</f>
        <v/>
      </c>
      <c r="H2714" s="35">
        <f>IF(OR(G2714="",G2714="NOT ON LIST"),"",VLOOKUP(G2714,Students!$A:$C,2,FALSE))</f>
        <v/>
      </c>
      <c r="I2714" s="35">
        <f>IF(OR(G2714="",G2714="NOT ON LIST"),"",VLOOKUP(G2714,Students!$A:$C,3,FALSE)&amp;"")</f>
        <v/>
      </c>
    </row>
    <row r="2715">
      <c r="A2715" s="31" t="n"/>
      <c r="B2715" s="32" t="n"/>
      <c r="C2715" s="32" t="n"/>
      <c r="D2715" s="33" t="n"/>
      <c r="E2715" s="32" t="n"/>
      <c r="F2715" s="34">
        <f>IF(A2715="","",IFERROR(INT(A2715),"check date"))</f>
        <v/>
      </c>
      <c r="G2715" s="35">
        <f>IF(B2715="","",IFERROR(INDEX(Students!$A:$A,MATCH(TRIM(B2715),Students!$A:$A,0)),"NOT ON LIST"))</f>
        <v/>
      </c>
      <c r="H2715" s="35">
        <f>IF(OR(G2715="",G2715="NOT ON LIST"),"",VLOOKUP(G2715,Students!$A:$C,2,FALSE))</f>
        <v/>
      </c>
      <c r="I2715" s="35">
        <f>IF(OR(G2715="",G2715="NOT ON LIST"),"",VLOOKUP(G2715,Students!$A:$C,3,FALSE)&amp;"")</f>
        <v/>
      </c>
    </row>
    <row r="2716">
      <c r="A2716" s="31" t="n"/>
      <c r="B2716" s="32" t="n"/>
      <c r="C2716" s="32" t="n"/>
      <c r="D2716" s="33" t="n"/>
      <c r="E2716" s="32" t="n"/>
      <c r="F2716" s="34">
        <f>IF(A2716="","",IFERROR(INT(A2716),"check date"))</f>
        <v/>
      </c>
      <c r="G2716" s="35">
        <f>IF(B2716="","",IFERROR(INDEX(Students!$A:$A,MATCH(TRIM(B2716),Students!$A:$A,0)),"NOT ON LIST"))</f>
        <v/>
      </c>
      <c r="H2716" s="35">
        <f>IF(OR(G2716="",G2716="NOT ON LIST"),"",VLOOKUP(G2716,Students!$A:$C,2,FALSE))</f>
        <v/>
      </c>
      <c r="I2716" s="35">
        <f>IF(OR(G2716="",G2716="NOT ON LIST"),"",VLOOKUP(G2716,Students!$A:$C,3,FALSE)&amp;"")</f>
        <v/>
      </c>
    </row>
    <row r="2717">
      <c r="A2717" s="31" t="n"/>
      <c r="B2717" s="32" t="n"/>
      <c r="C2717" s="32" t="n"/>
      <c r="D2717" s="33" t="n"/>
      <c r="E2717" s="32" t="n"/>
      <c r="F2717" s="34">
        <f>IF(A2717="","",IFERROR(INT(A2717),"check date"))</f>
        <v/>
      </c>
      <c r="G2717" s="35">
        <f>IF(B2717="","",IFERROR(INDEX(Students!$A:$A,MATCH(TRIM(B2717),Students!$A:$A,0)),"NOT ON LIST"))</f>
        <v/>
      </c>
      <c r="H2717" s="35">
        <f>IF(OR(G2717="",G2717="NOT ON LIST"),"",VLOOKUP(G2717,Students!$A:$C,2,FALSE))</f>
        <v/>
      </c>
      <c r="I2717" s="35">
        <f>IF(OR(G2717="",G2717="NOT ON LIST"),"",VLOOKUP(G2717,Students!$A:$C,3,FALSE)&amp;"")</f>
        <v/>
      </c>
    </row>
    <row r="2718">
      <c r="A2718" s="31" t="n"/>
      <c r="B2718" s="32" t="n"/>
      <c r="C2718" s="32" t="n"/>
      <c r="D2718" s="33" t="n"/>
      <c r="E2718" s="32" t="n"/>
      <c r="F2718" s="34">
        <f>IF(A2718="","",IFERROR(INT(A2718),"check date"))</f>
        <v/>
      </c>
      <c r="G2718" s="35">
        <f>IF(B2718="","",IFERROR(INDEX(Students!$A:$A,MATCH(TRIM(B2718),Students!$A:$A,0)),"NOT ON LIST"))</f>
        <v/>
      </c>
      <c r="H2718" s="35">
        <f>IF(OR(G2718="",G2718="NOT ON LIST"),"",VLOOKUP(G2718,Students!$A:$C,2,FALSE))</f>
        <v/>
      </c>
      <c r="I2718" s="35">
        <f>IF(OR(G2718="",G2718="NOT ON LIST"),"",VLOOKUP(G2718,Students!$A:$C,3,FALSE)&amp;"")</f>
        <v/>
      </c>
    </row>
    <row r="2719">
      <c r="A2719" s="31" t="n"/>
      <c r="B2719" s="32" t="n"/>
      <c r="C2719" s="32" t="n"/>
      <c r="D2719" s="33" t="n"/>
      <c r="E2719" s="32" t="n"/>
      <c r="F2719" s="34">
        <f>IF(A2719="","",IFERROR(INT(A2719),"check date"))</f>
        <v/>
      </c>
      <c r="G2719" s="35">
        <f>IF(B2719="","",IFERROR(INDEX(Students!$A:$A,MATCH(TRIM(B2719),Students!$A:$A,0)),"NOT ON LIST"))</f>
        <v/>
      </c>
      <c r="H2719" s="35">
        <f>IF(OR(G2719="",G2719="NOT ON LIST"),"",VLOOKUP(G2719,Students!$A:$C,2,FALSE))</f>
        <v/>
      </c>
      <c r="I2719" s="35">
        <f>IF(OR(G2719="",G2719="NOT ON LIST"),"",VLOOKUP(G2719,Students!$A:$C,3,FALSE)&amp;"")</f>
        <v/>
      </c>
    </row>
    <row r="2720">
      <c r="A2720" s="31" t="n"/>
      <c r="B2720" s="32" t="n"/>
      <c r="C2720" s="32" t="n"/>
      <c r="D2720" s="33" t="n"/>
      <c r="E2720" s="32" t="n"/>
      <c r="F2720" s="34">
        <f>IF(A2720="","",IFERROR(INT(A2720),"check date"))</f>
        <v/>
      </c>
      <c r="G2720" s="35">
        <f>IF(B2720="","",IFERROR(INDEX(Students!$A:$A,MATCH(TRIM(B2720),Students!$A:$A,0)),"NOT ON LIST"))</f>
        <v/>
      </c>
      <c r="H2720" s="35">
        <f>IF(OR(G2720="",G2720="NOT ON LIST"),"",VLOOKUP(G2720,Students!$A:$C,2,FALSE))</f>
        <v/>
      </c>
      <c r="I2720" s="35">
        <f>IF(OR(G2720="",G2720="NOT ON LIST"),"",VLOOKUP(G2720,Students!$A:$C,3,FALSE)&amp;"")</f>
        <v/>
      </c>
    </row>
    <row r="2721">
      <c r="A2721" s="31" t="n"/>
      <c r="B2721" s="32" t="n"/>
      <c r="C2721" s="32" t="n"/>
      <c r="D2721" s="33" t="n"/>
      <c r="E2721" s="32" t="n"/>
      <c r="F2721" s="34">
        <f>IF(A2721="","",IFERROR(INT(A2721),"check date"))</f>
        <v/>
      </c>
      <c r="G2721" s="35">
        <f>IF(B2721="","",IFERROR(INDEX(Students!$A:$A,MATCH(TRIM(B2721),Students!$A:$A,0)),"NOT ON LIST"))</f>
        <v/>
      </c>
      <c r="H2721" s="35">
        <f>IF(OR(G2721="",G2721="NOT ON LIST"),"",VLOOKUP(G2721,Students!$A:$C,2,FALSE))</f>
        <v/>
      </c>
      <c r="I2721" s="35">
        <f>IF(OR(G2721="",G2721="NOT ON LIST"),"",VLOOKUP(G2721,Students!$A:$C,3,FALSE)&amp;"")</f>
        <v/>
      </c>
    </row>
    <row r="2722">
      <c r="A2722" s="31" t="n"/>
      <c r="B2722" s="32" t="n"/>
      <c r="C2722" s="32" t="n"/>
      <c r="D2722" s="33" t="n"/>
      <c r="E2722" s="32" t="n"/>
      <c r="F2722" s="34">
        <f>IF(A2722="","",IFERROR(INT(A2722),"check date"))</f>
        <v/>
      </c>
      <c r="G2722" s="35">
        <f>IF(B2722="","",IFERROR(INDEX(Students!$A:$A,MATCH(TRIM(B2722),Students!$A:$A,0)),"NOT ON LIST"))</f>
        <v/>
      </c>
      <c r="H2722" s="35">
        <f>IF(OR(G2722="",G2722="NOT ON LIST"),"",VLOOKUP(G2722,Students!$A:$C,2,FALSE))</f>
        <v/>
      </c>
      <c r="I2722" s="35">
        <f>IF(OR(G2722="",G2722="NOT ON LIST"),"",VLOOKUP(G2722,Students!$A:$C,3,FALSE)&amp;"")</f>
        <v/>
      </c>
    </row>
    <row r="2723">
      <c r="A2723" s="31" t="n"/>
      <c r="B2723" s="32" t="n"/>
      <c r="C2723" s="32" t="n"/>
      <c r="D2723" s="33" t="n"/>
      <c r="E2723" s="32" t="n"/>
      <c r="F2723" s="34">
        <f>IF(A2723="","",IFERROR(INT(A2723),"check date"))</f>
        <v/>
      </c>
      <c r="G2723" s="35">
        <f>IF(B2723="","",IFERROR(INDEX(Students!$A:$A,MATCH(TRIM(B2723),Students!$A:$A,0)),"NOT ON LIST"))</f>
        <v/>
      </c>
      <c r="H2723" s="35">
        <f>IF(OR(G2723="",G2723="NOT ON LIST"),"",VLOOKUP(G2723,Students!$A:$C,2,FALSE))</f>
        <v/>
      </c>
      <c r="I2723" s="35">
        <f>IF(OR(G2723="",G2723="NOT ON LIST"),"",VLOOKUP(G2723,Students!$A:$C,3,FALSE)&amp;"")</f>
        <v/>
      </c>
    </row>
    <row r="2724">
      <c r="A2724" s="31" t="n"/>
      <c r="B2724" s="32" t="n"/>
      <c r="C2724" s="32" t="n"/>
      <c r="D2724" s="33" t="n"/>
      <c r="E2724" s="32" t="n"/>
      <c r="F2724" s="34">
        <f>IF(A2724="","",IFERROR(INT(A2724),"check date"))</f>
        <v/>
      </c>
      <c r="G2724" s="35">
        <f>IF(B2724="","",IFERROR(INDEX(Students!$A:$A,MATCH(TRIM(B2724),Students!$A:$A,0)),"NOT ON LIST"))</f>
        <v/>
      </c>
      <c r="H2724" s="35">
        <f>IF(OR(G2724="",G2724="NOT ON LIST"),"",VLOOKUP(G2724,Students!$A:$C,2,FALSE))</f>
        <v/>
      </c>
      <c r="I2724" s="35">
        <f>IF(OR(G2724="",G2724="NOT ON LIST"),"",VLOOKUP(G2724,Students!$A:$C,3,FALSE)&amp;"")</f>
        <v/>
      </c>
    </row>
    <row r="2725">
      <c r="A2725" s="31" t="n"/>
      <c r="B2725" s="32" t="n"/>
      <c r="C2725" s="32" t="n"/>
      <c r="D2725" s="33" t="n"/>
      <c r="E2725" s="32" t="n"/>
      <c r="F2725" s="34">
        <f>IF(A2725="","",IFERROR(INT(A2725),"check date"))</f>
        <v/>
      </c>
      <c r="G2725" s="35">
        <f>IF(B2725="","",IFERROR(INDEX(Students!$A:$A,MATCH(TRIM(B2725),Students!$A:$A,0)),"NOT ON LIST"))</f>
        <v/>
      </c>
      <c r="H2725" s="35">
        <f>IF(OR(G2725="",G2725="NOT ON LIST"),"",VLOOKUP(G2725,Students!$A:$C,2,FALSE))</f>
        <v/>
      </c>
      <c r="I2725" s="35">
        <f>IF(OR(G2725="",G2725="NOT ON LIST"),"",VLOOKUP(G2725,Students!$A:$C,3,FALSE)&amp;"")</f>
        <v/>
      </c>
    </row>
    <row r="2726">
      <c r="A2726" s="31" t="n"/>
      <c r="B2726" s="32" t="n"/>
      <c r="C2726" s="32" t="n"/>
      <c r="D2726" s="33" t="n"/>
      <c r="E2726" s="32" t="n"/>
      <c r="F2726" s="34">
        <f>IF(A2726="","",IFERROR(INT(A2726),"check date"))</f>
        <v/>
      </c>
      <c r="G2726" s="35">
        <f>IF(B2726="","",IFERROR(INDEX(Students!$A:$A,MATCH(TRIM(B2726),Students!$A:$A,0)),"NOT ON LIST"))</f>
        <v/>
      </c>
      <c r="H2726" s="35">
        <f>IF(OR(G2726="",G2726="NOT ON LIST"),"",VLOOKUP(G2726,Students!$A:$C,2,FALSE))</f>
        <v/>
      </c>
      <c r="I2726" s="35">
        <f>IF(OR(G2726="",G2726="NOT ON LIST"),"",VLOOKUP(G2726,Students!$A:$C,3,FALSE)&amp;"")</f>
        <v/>
      </c>
    </row>
    <row r="2727">
      <c r="A2727" s="31" t="n"/>
      <c r="B2727" s="32" t="n"/>
      <c r="C2727" s="32" t="n"/>
      <c r="D2727" s="33" t="n"/>
      <c r="E2727" s="32" t="n"/>
      <c r="F2727" s="34">
        <f>IF(A2727="","",IFERROR(INT(A2727),"check date"))</f>
        <v/>
      </c>
      <c r="G2727" s="35">
        <f>IF(B2727="","",IFERROR(INDEX(Students!$A:$A,MATCH(TRIM(B2727),Students!$A:$A,0)),"NOT ON LIST"))</f>
        <v/>
      </c>
      <c r="H2727" s="35">
        <f>IF(OR(G2727="",G2727="NOT ON LIST"),"",VLOOKUP(G2727,Students!$A:$C,2,FALSE))</f>
        <v/>
      </c>
      <c r="I2727" s="35">
        <f>IF(OR(G2727="",G2727="NOT ON LIST"),"",VLOOKUP(G2727,Students!$A:$C,3,FALSE)&amp;"")</f>
        <v/>
      </c>
    </row>
    <row r="2728">
      <c r="A2728" s="31" t="n"/>
      <c r="B2728" s="32" t="n"/>
      <c r="C2728" s="32" t="n"/>
      <c r="D2728" s="33" t="n"/>
      <c r="E2728" s="32" t="n"/>
      <c r="F2728" s="34">
        <f>IF(A2728="","",IFERROR(INT(A2728),"check date"))</f>
        <v/>
      </c>
      <c r="G2728" s="35">
        <f>IF(B2728="","",IFERROR(INDEX(Students!$A:$A,MATCH(TRIM(B2728),Students!$A:$A,0)),"NOT ON LIST"))</f>
        <v/>
      </c>
      <c r="H2728" s="35">
        <f>IF(OR(G2728="",G2728="NOT ON LIST"),"",VLOOKUP(G2728,Students!$A:$C,2,FALSE))</f>
        <v/>
      </c>
      <c r="I2728" s="35">
        <f>IF(OR(G2728="",G2728="NOT ON LIST"),"",VLOOKUP(G2728,Students!$A:$C,3,FALSE)&amp;"")</f>
        <v/>
      </c>
    </row>
    <row r="2729">
      <c r="A2729" s="31" t="n"/>
      <c r="B2729" s="32" t="n"/>
      <c r="C2729" s="32" t="n"/>
      <c r="D2729" s="33" t="n"/>
      <c r="E2729" s="32" t="n"/>
      <c r="F2729" s="34">
        <f>IF(A2729="","",IFERROR(INT(A2729),"check date"))</f>
        <v/>
      </c>
      <c r="G2729" s="35">
        <f>IF(B2729="","",IFERROR(INDEX(Students!$A:$A,MATCH(TRIM(B2729),Students!$A:$A,0)),"NOT ON LIST"))</f>
        <v/>
      </c>
      <c r="H2729" s="35">
        <f>IF(OR(G2729="",G2729="NOT ON LIST"),"",VLOOKUP(G2729,Students!$A:$C,2,FALSE))</f>
        <v/>
      </c>
      <c r="I2729" s="35">
        <f>IF(OR(G2729="",G2729="NOT ON LIST"),"",VLOOKUP(G2729,Students!$A:$C,3,FALSE)&amp;"")</f>
        <v/>
      </c>
    </row>
    <row r="2730">
      <c r="A2730" s="31" t="n"/>
      <c r="B2730" s="32" t="n"/>
      <c r="C2730" s="32" t="n"/>
      <c r="D2730" s="33" t="n"/>
      <c r="E2730" s="32" t="n"/>
      <c r="F2730" s="34">
        <f>IF(A2730="","",IFERROR(INT(A2730),"check date"))</f>
        <v/>
      </c>
      <c r="G2730" s="35">
        <f>IF(B2730="","",IFERROR(INDEX(Students!$A:$A,MATCH(TRIM(B2730),Students!$A:$A,0)),"NOT ON LIST"))</f>
        <v/>
      </c>
      <c r="H2730" s="35">
        <f>IF(OR(G2730="",G2730="NOT ON LIST"),"",VLOOKUP(G2730,Students!$A:$C,2,FALSE))</f>
        <v/>
      </c>
      <c r="I2730" s="35">
        <f>IF(OR(G2730="",G2730="NOT ON LIST"),"",VLOOKUP(G2730,Students!$A:$C,3,FALSE)&amp;"")</f>
        <v/>
      </c>
    </row>
    <row r="2731">
      <c r="A2731" s="31" t="n"/>
      <c r="B2731" s="32" t="n"/>
      <c r="C2731" s="32" t="n"/>
      <c r="D2731" s="33" t="n"/>
      <c r="E2731" s="32" t="n"/>
      <c r="F2731" s="34">
        <f>IF(A2731="","",IFERROR(INT(A2731),"check date"))</f>
        <v/>
      </c>
      <c r="G2731" s="35">
        <f>IF(B2731="","",IFERROR(INDEX(Students!$A:$A,MATCH(TRIM(B2731),Students!$A:$A,0)),"NOT ON LIST"))</f>
        <v/>
      </c>
      <c r="H2731" s="35">
        <f>IF(OR(G2731="",G2731="NOT ON LIST"),"",VLOOKUP(G2731,Students!$A:$C,2,FALSE))</f>
        <v/>
      </c>
      <c r="I2731" s="35">
        <f>IF(OR(G2731="",G2731="NOT ON LIST"),"",VLOOKUP(G2731,Students!$A:$C,3,FALSE)&amp;"")</f>
        <v/>
      </c>
    </row>
    <row r="2732">
      <c r="A2732" s="31" t="n"/>
      <c r="B2732" s="32" t="n"/>
      <c r="C2732" s="32" t="n"/>
      <c r="D2732" s="33" t="n"/>
      <c r="E2732" s="32" t="n"/>
      <c r="F2732" s="34">
        <f>IF(A2732="","",IFERROR(INT(A2732),"check date"))</f>
        <v/>
      </c>
      <c r="G2732" s="35">
        <f>IF(B2732="","",IFERROR(INDEX(Students!$A:$A,MATCH(TRIM(B2732),Students!$A:$A,0)),"NOT ON LIST"))</f>
        <v/>
      </c>
      <c r="H2732" s="35">
        <f>IF(OR(G2732="",G2732="NOT ON LIST"),"",VLOOKUP(G2732,Students!$A:$C,2,FALSE))</f>
        <v/>
      </c>
      <c r="I2732" s="35">
        <f>IF(OR(G2732="",G2732="NOT ON LIST"),"",VLOOKUP(G2732,Students!$A:$C,3,FALSE)&amp;"")</f>
        <v/>
      </c>
    </row>
    <row r="2733">
      <c r="A2733" s="31" t="n"/>
      <c r="B2733" s="32" t="n"/>
      <c r="C2733" s="32" t="n"/>
      <c r="D2733" s="33" t="n"/>
      <c r="E2733" s="32" t="n"/>
      <c r="F2733" s="34">
        <f>IF(A2733="","",IFERROR(INT(A2733),"check date"))</f>
        <v/>
      </c>
      <c r="G2733" s="35">
        <f>IF(B2733="","",IFERROR(INDEX(Students!$A:$A,MATCH(TRIM(B2733),Students!$A:$A,0)),"NOT ON LIST"))</f>
        <v/>
      </c>
      <c r="H2733" s="35">
        <f>IF(OR(G2733="",G2733="NOT ON LIST"),"",VLOOKUP(G2733,Students!$A:$C,2,FALSE))</f>
        <v/>
      </c>
      <c r="I2733" s="35">
        <f>IF(OR(G2733="",G2733="NOT ON LIST"),"",VLOOKUP(G2733,Students!$A:$C,3,FALSE)&amp;"")</f>
        <v/>
      </c>
    </row>
    <row r="2734">
      <c r="A2734" s="31" t="n"/>
      <c r="B2734" s="32" t="n"/>
      <c r="C2734" s="32" t="n"/>
      <c r="D2734" s="33" t="n"/>
      <c r="E2734" s="32" t="n"/>
      <c r="F2734" s="34">
        <f>IF(A2734="","",IFERROR(INT(A2734),"check date"))</f>
        <v/>
      </c>
      <c r="G2734" s="35">
        <f>IF(B2734="","",IFERROR(INDEX(Students!$A:$A,MATCH(TRIM(B2734),Students!$A:$A,0)),"NOT ON LIST"))</f>
        <v/>
      </c>
      <c r="H2734" s="35">
        <f>IF(OR(G2734="",G2734="NOT ON LIST"),"",VLOOKUP(G2734,Students!$A:$C,2,FALSE))</f>
        <v/>
      </c>
      <c r="I2734" s="35">
        <f>IF(OR(G2734="",G2734="NOT ON LIST"),"",VLOOKUP(G2734,Students!$A:$C,3,FALSE)&amp;"")</f>
        <v/>
      </c>
    </row>
    <row r="2735">
      <c r="A2735" s="31" t="n"/>
      <c r="B2735" s="32" t="n"/>
      <c r="C2735" s="32" t="n"/>
      <c r="D2735" s="33" t="n"/>
      <c r="E2735" s="32" t="n"/>
      <c r="F2735" s="34">
        <f>IF(A2735="","",IFERROR(INT(A2735),"check date"))</f>
        <v/>
      </c>
      <c r="G2735" s="35">
        <f>IF(B2735="","",IFERROR(INDEX(Students!$A:$A,MATCH(TRIM(B2735),Students!$A:$A,0)),"NOT ON LIST"))</f>
        <v/>
      </c>
      <c r="H2735" s="35">
        <f>IF(OR(G2735="",G2735="NOT ON LIST"),"",VLOOKUP(G2735,Students!$A:$C,2,FALSE))</f>
        <v/>
      </c>
      <c r="I2735" s="35">
        <f>IF(OR(G2735="",G2735="NOT ON LIST"),"",VLOOKUP(G2735,Students!$A:$C,3,FALSE)&amp;"")</f>
        <v/>
      </c>
    </row>
    <row r="2736">
      <c r="A2736" s="31" t="n"/>
      <c r="B2736" s="32" t="n"/>
      <c r="C2736" s="32" t="n"/>
      <c r="D2736" s="33" t="n"/>
      <c r="E2736" s="32" t="n"/>
      <c r="F2736" s="34">
        <f>IF(A2736="","",IFERROR(INT(A2736),"check date"))</f>
        <v/>
      </c>
      <c r="G2736" s="35">
        <f>IF(B2736="","",IFERROR(INDEX(Students!$A:$A,MATCH(TRIM(B2736),Students!$A:$A,0)),"NOT ON LIST"))</f>
        <v/>
      </c>
      <c r="H2736" s="35">
        <f>IF(OR(G2736="",G2736="NOT ON LIST"),"",VLOOKUP(G2736,Students!$A:$C,2,FALSE))</f>
        <v/>
      </c>
      <c r="I2736" s="35">
        <f>IF(OR(G2736="",G2736="NOT ON LIST"),"",VLOOKUP(G2736,Students!$A:$C,3,FALSE)&amp;"")</f>
        <v/>
      </c>
    </row>
    <row r="2737">
      <c r="A2737" s="31" t="n"/>
      <c r="B2737" s="32" t="n"/>
      <c r="C2737" s="32" t="n"/>
      <c r="D2737" s="33" t="n"/>
      <c r="E2737" s="32" t="n"/>
      <c r="F2737" s="34">
        <f>IF(A2737="","",IFERROR(INT(A2737),"check date"))</f>
        <v/>
      </c>
      <c r="G2737" s="35">
        <f>IF(B2737="","",IFERROR(INDEX(Students!$A:$A,MATCH(TRIM(B2737),Students!$A:$A,0)),"NOT ON LIST"))</f>
        <v/>
      </c>
      <c r="H2737" s="35">
        <f>IF(OR(G2737="",G2737="NOT ON LIST"),"",VLOOKUP(G2737,Students!$A:$C,2,FALSE))</f>
        <v/>
      </c>
      <c r="I2737" s="35">
        <f>IF(OR(G2737="",G2737="NOT ON LIST"),"",VLOOKUP(G2737,Students!$A:$C,3,FALSE)&amp;"")</f>
        <v/>
      </c>
    </row>
    <row r="2738">
      <c r="A2738" s="31" t="n"/>
      <c r="B2738" s="32" t="n"/>
      <c r="C2738" s="32" t="n"/>
      <c r="D2738" s="33" t="n"/>
      <c r="E2738" s="32" t="n"/>
      <c r="F2738" s="34">
        <f>IF(A2738="","",IFERROR(INT(A2738),"check date"))</f>
        <v/>
      </c>
      <c r="G2738" s="35">
        <f>IF(B2738="","",IFERROR(INDEX(Students!$A:$A,MATCH(TRIM(B2738),Students!$A:$A,0)),"NOT ON LIST"))</f>
        <v/>
      </c>
      <c r="H2738" s="35">
        <f>IF(OR(G2738="",G2738="NOT ON LIST"),"",VLOOKUP(G2738,Students!$A:$C,2,FALSE))</f>
        <v/>
      </c>
      <c r="I2738" s="35">
        <f>IF(OR(G2738="",G2738="NOT ON LIST"),"",VLOOKUP(G2738,Students!$A:$C,3,FALSE)&amp;"")</f>
        <v/>
      </c>
    </row>
    <row r="2739">
      <c r="A2739" s="31" t="n"/>
      <c r="B2739" s="32" t="n"/>
      <c r="C2739" s="32" t="n"/>
      <c r="D2739" s="33" t="n"/>
      <c r="E2739" s="32" t="n"/>
      <c r="F2739" s="34">
        <f>IF(A2739="","",IFERROR(INT(A2739),"check date"))</f>
        <v/>
      </c>
      <c r="G2739" s="35">
        <f>IF(B2739="","",IFERROR(INDEX(Students!$A:$A,MATCH(TRIM(B2739),Students!$A:$A,0)),"NOT ON LIST"))</f>
        <v/>
      </c>
      <c r="H2739" s="35">
        <f>IF(OR(G2739="",G2739="NOT ON LIST"),"",VLOOKUP(G2739,Students!$A:$C,2,FALSE))</f>
        <v/>
      </c>
      <c r="I2739" s="35">
        <f>IF(OR(G2739="",G2739="NOT ON LIST"),"",VLOOKUP(G2739,Students!$A:$C,3,FALSE)&amp;"")</f>
        <v/>
      </c>
    </row>
    <row r="2740">
      <c r="A2740" s="31" t="n"/>
      <c r="B2740" s="32" t="n"/>
      <c r="C2740" s="32" t="n"/>
      <c r="D2740" s="33" t="n"/>
      <c r="E2740" s="32" t="n"/>
      <c r="F2740" s="34">
        <f>IF(A2740="","",IFERROR(INT(A2740),"check date"))</f>
        <v/>
      </c>
      <c r="G2740" s="35">
        <f>IF(B2740="","",IFERROR(INDEX(Students!$A:$A,MATCH(TRIM(B2740),Students!$A:$A,0)),"NOT ON LIST"))</f>
        <v/>
      </c>
      <c r="H2740" s="35">
        <f>IF(OR(G2740="",G2740="NOT ON LIST"),"",VLOOKUP(G2740,Students!$A:$C,2,FALSE))</f>
        <v/>
      </c>
      <c r="I2740" s="35">
        <f>IF(OR(G2740="",G2740="NOT ON LIST"),"",VLOOKUP(G2740,Students!$A:$C,3,FALSE)&amp;"")</f>
        <v/>
      </c>
    </row>
    <row r="2741">
      <c r="A2741" s="31" t="n"/>
      <c r="B2741" s="32" t="n"/>
      <c r="C2741" s="32" t="n"/>
      <c r="D2741" s="33" t="n"/>
      <c r="E2741" s="32" t="n"/>
      <c r="F2741" s="34">
        <f>IF(A2741="","",IFERROR(INT(A2741),"check date"))</f>
        <v/>
      </c>
      <c r="G2741" s="35">
        <f>IF(B2741="","",IFERROR(INDEX(Students!$A:$A,MATCH(TRIM(B2741),Students!$A:$A,0)),"NOT ON LIST"))</f>
        <v/>
      </c>
      <c r="H2741" s="35">
        <f>IF(OR(G2741="",G2741="NOT ON LIST"),"",VLOOKUP(G2741,Students!$A:$C,2,FALSE))</f>
        <v/>
      </c>
      <c r="I2741" s="35">
        <f>IF(OR(G2741="",G2741="NOT ON LIST"),"",VLOOKUP(G2741,Students!$A:$C,3,FALSE)&amp;"")</f>
        <v/>
      </c>
    </row>
    <row r="2742">
      <c r="A2742" s="31" t="n"/>
      <c r="B2742" s="32" t="n"/>
      <c r="C2742" s="32" t="n"/>
      <c r="D2742" s="33" t="n"/>
      <c r="E2742" s="32" t="n"/>
      <c r="F2742" s="34">
        <f>IF(A2742="","",IFERROR(INT(A2742),"check date"))</f>
        <v/>
      </c>
      <c r="G2742" s="35">
        <f>IF(B2742="","",IFERROR(INDEX(Students!$A:$A,MATCH(TRIM(B2742),Students!$A:$A,0)),"NOT ON LIST"))</f>
        <v/>
      </c>
      <c r="H2742" s="35">
        <f>IF(OR(G2742="",G2742="NOT ON LIST"),"",VLOOKUP(G2742,Students!$A:$C,2,FALSE))</f>
        <v/>
      </c>
      <c r="I2742" s="35">
        <f>IF(OR(G2742="",G2742="NOT ON LIST"),"",VLOOKUP(G2742,Students!$A:$C,3,FALSE)&amp;"")</f>
        <v/>
      </c>
    </row>
    <row r="2743">
      <c r="A2743" s="31" t="n"/>
      <c r="B2743" s="32" t="n"/>
      <c r="C2743" s="32" t="n"/>
      <c r="D2743" s="33" t="n"/>
      <c r="E2743" s="32" t="n"/>
      <c r="F2743" s="34">
        <f>IF(A2743="","",IFERROR(INT(A2743),"check date"))</f>
        <v/>
      </c>
      <c r="G2743" s="35">
        <f>IF(B2743="","",IFERROR(INDEX(Students!$A:$A,MATCH(TRIM(B2743),Students!$A:$A,0)),"NOT ON LIST"))</f>
        <v/>
      </c>
      <c r="H2743" s="35">
        <f>IF(OR(G2743="",G2743="NOT ON LIST"),"",VLOOKUP(G2743,Students!$A:$C,2,FALSE))</f>
        <v/>
      </c>
      <c r="I2743" s="35">
        <f>IF(OR(G2743="",G2743="NOT ON LIST"),"",VLOOKUP(G2743,Students!$A:$C,3,FALSE)&amp;"")</f>
        <v/>
      </c>
    </row>
    <row r="2744">
      <c r="A2744" s="31" t="n"/>
      <c r="B2744" s="32" t="n"/>
      <c r="C2744" s="32" t="n"/>
      <c r="D2744" s="33" t="n"/>
      <c r="E2744" s="32" t="n"/>
      <c r="F2744" s="34">
        <f>IF(A2744="","",IFERROR(INT(A2744),"check date"))</f>
        <v/>
      </c>
      <c r="G2744" s="35">
        <f>IF(B2744="","",IFERROR(INDEX(Students!$A:$A,MATCH(TRIM(B2744),Students!$A:$A,0)),"NOT ON LIST"))</f>
        <v/>
      </c>
      <c r="H2744" s="35">
        <f>IF(OR(G2744="",G2744="NOT ON LIST"),"",VLOOKUP(G2744,Students!$A:$C,2,FALSE))</f>
        <v/>
      </c>
      <c r="I2744" s="35">
        <f>IF(OR(G2744="",G2744="NOT ON LIST"),"",VLOOKUP(G2744,Students!$A:$C,3,FALSE)&amp;"")</f>
        <v/>
      </c>
    </row>
    <row r="2745">
      <c r="A2745" s="31" t="n"/>
      <c r="B2745" s="32" t="n"/>
      <c r="C2745" s="32" t="n"/>
      <c r="D2745" s="33" t="n"/>
      <c r="E2745" s="32" t="n"/>
      <c r="F2745" s="34">
        <f>IF(A2745="","",IFERROR(INT(A2745),"check date"))</f>
        <v/>
      </c>
      <c r="G2745" s="35">
        <f>IF(B2745="","",IFERROR(INDEX(Students!$A:$A,MATCH(TRIM(B2745),Students!$A:$A,0)),"NOT ON LIST"))</f>
        <v/>
      </c>
      <c r="H2745" s="35">
        <f>IF(OR(G2745="",G2745="NOT ON LIST"),"",VLOOKUP(G2745,Students!$A:$C,2,FALSE))</f>
        <v/>
      </c>
      <c r="I2745" s="35">
        <f>IF(OR(G2745="",G2745="NOT ON LIST"),"",VLOOKUP(G2745,Students!$A:$C,3,FALSE)&amp;"")</f>
        <v/>
      </c>
    </row>
    <row r="2746">
      <c r="A2746" s="31" t="n"/>
      <c r="B2746" s="32" t="n"/>
      <c r="C2746" s="32" t="n"/>
      <c r="D2746" s="33" t="n"/>
      <c r="E2746" s="32" t="n"/>
      <c r="F2746" s="34">
        <f>IF(A2746="","",IFERROR(INT(A2746),"check date"))</f>
        <v/>
      </c>
      <c r="G2746" s="35">
        <f>IF(B2746="","",IFERROR(INDEX(Students!$A:$A,MATCH(TRIM(B2746),Students!$A:$A,0)),"NOT ON LIST"))</f>
        <v/>
      </c>
      <c r="H2746" s="35">
        <f>IF(OR(G2746="",G2746="NOT ON LIST"),"",VLOOKUP(G2746,Students!$A:$C,2,FALSE))</f>
        <v/>
      </c>
      <c r="I2746" s="35">
        <f>IF(OR(G2746="",G2746="NOT ON LIST"),"",VLOOKUP(G2746,Students!$A:$C,3,FALSE)&amp;"")</f>
        <v/>
      </c>
    </row>
    <row r="2747">
      <c r="A2747" s="31" t="n"/>
      <c r="B2747" s="32" t="n"/>
      <c r="C2747" s="32" t="n"/>
      <c r="D2747" s="33" t="n"/>
      <c r="E2747" s="32" t="n"/>
      <c r="F2747" s="34">
        <f>IF(A2747="","",IFERROR(INT(A2747),"check date"))</f>
        <v/>
      </c>
      <c r="G2747" s="35">
        <f>IF(B2747="","",IFERROR(INDEX(Students!$A:$A,MATCH(TRIM(B2747),Students!$A:$A,0)),"NOT ON LIST"))</f>
        <v/>
      </c>
      <c r="H2747" s="35">
        <f>IF(OR(G2747="",G2747="NOT ON LIST"),"",VLOOKUP(G2747,Students!$A:$C,2,FALSE))</f>
        <v/>
      </c>
      <c r="I2747" s="35">
        <f>IF(OR(G2747="",G2747="NOT ON LIST"),"",VLOOKUP(G2747,Students!$A:$C,3,FALSE)&amp;"")</f>
        <v/>
      </c>
    </row>
    <row r="2748">
      <c r="A2748" s="31" t="n"/>
      <c r="B2748" s="32" t="n"/>
      <c r="C2748" s="32" t="n"/>
      <c r="D2748" s="33" t="n"/>
      <c r="E2748" s="32" t="n"/>
      <c r="F2748" s="34">
        <f>IF(A2748="","",IFERROR(INT(A2748),"check date"))</f>
        <v/>
      </c>
      <c r="G2748" s="35">
        <f>IF(B2748="","",IFERROR(INDEX(Students!$A:$A,MATCH(TRIM(B2748),Students!$A:$A,0)),"NOT ON LIST"))</f>
        <v/>
      </c>
      <c r="H2748" s="35">
        <f>IF(OR(G2748="",G2748="NOT ON LIST"),"",VLOOKUP(G2748,Students!$A:$C,2,FALSE))</f>
        <v/>
      </c>
      <c r="I2748" s="35">
        <f>IF(OR(G2748="",G2748="NOT ON LIST"),"",VLOOKUP(G2748,Students!$A:$C,3,FALSE)&amp;"")</f>
        <v/>
      </c>
    </row>
    <row r="2749">
      <c r="A2749" s="31" t="n"/>
      <c r="B2749" s="32" t="n"/>
      <c r="C2749" s="32" t="n"/>
      <c r="D2749" s="33" t="n"/>
      <c r="E2749" s="32" t="n"/>
      <c r="F2749" s="34">
        <f>IF(A2749="","",IFERROR(INT(A2749),"check date"))</f>
        <v/>
      </c>
      <c r="G2749" s="35">
        <f>IF(B2749="","",IFERROR(INDEX(Students!$A:$A,MATCH(TRIM(B2749),Students!$A:$A,0)),"NOT ON LIST"))</f>
        <v/>
      </c>
      <c r="H2749" s="35">
        <f>IF(OR(G2749="",G2749="NOT ON LIST"),"",VLOOKUP(G2749,Students!$A:$C,2,FALSE))</f>
        <v/>
      </c>
      <c r="I2749" s="35">
        <f>IF(OR(G2749="",G2749="NOT ON LIST"),"",VLOOKUP(G2749,Students!$A:$C,3,FALSE)&amp;"")</f>
        <v/>
      </c>
    </row>
    <row r="2750">
      <c r="A2750" s="31" t="n"/>
      <c r="B2750" s="32" t="n"/>
      <c r="C2750" s="32" t="n"/>
      <c r="D2750" s="33" t="n"/>
      <c r="E2750" s="32" t="n"/>
      <c r="F2750" s="34">
        <f>IF(A2750="","",IFERROR(INT(A2750),"check date"))</f>
        <v/>
      </c>
      <c r="G2750" s="35">
        <f>IF(B2750="","",IFERROR(INDEX(Students!$A:$A,MATCH(TRIM(B2750),Students!$A:$A,0)),"NOT ON LIST"))</f>
        <v/>
      </c>
      <c r="H2750" s="35">
        <f>IF(OR(G2750="",G2750="NOT ON LIST"),"",VLOOKUP(G2750,Students!$A:$C,2,FALSE))</f>
        <v/>
      </c>
      <c r="I2750" s="35">
        <f>IF(OR(G2750="",G2750="NOT ON LIST"),"",VLOOKUP(G2750,Students!$A:$C,3,FALSE)&amp;"")</f>
        <v/>
      </c>
    </row>
    <row r="2751">
      <c r="A2751" s="31" t="n"/>
      <c r="B2751" s="32" t="n"/>
      <c r="C2751" s="32" t="n"/>
      <c r="D2751" s="33" t="n"/>
      <c r="E2751" s="32" t="n"/>
      <c r="F2751" s="34">
        <f>IF(A2751="","",IFERROR(INT(A2751),"check date"))</f>
        <v/>
      </c>
      <c r="G2751" s="35">
        <f>IF(B2751="","",IFERROR(INDEX(Students!$A:$A,MATCH(TRIM(B2751),Students!$A:$A,0)),"NOT ON LIST"))</f>
        <v/>
      </c>
      <c r="H2751" s="35">
        <f>IF(OR(G2751="",G2751="NOT ON LIST"),"",VLOOKUP(G2751,Students!$A:$C,2,FALSE))</f>
        <v/>
      </c>
      <c r="I2751" s="35">
        <f>IF(OR(G2751="",G2751="NOT ON LIST"),"",VLOOKUP(G2751,Students!$A:$C,3,FALSE)&amp;"")</f>
        <v/>
      </c>
    </row>
    <row r="2752">
      <c r="A2752" s="31" t="n"/>
      <c r="B2752" s="32" t="n"/>
      <c r="C2752" s="32" t="n"/>
      <c r="D2752" s="33" t="n"/>
      <c r="E2752" s="32" t="n"/>
      <c r="F2752" s="34">
        <f>IF(A2752="","",IFERROR(INT(A2752),"check date"))</f>
        <v/>
      </c>
      <c r="G2752" s="35">
        <f>IF(B2752="","",IFERROR(INDEX(Students!$A:$A,MATCH(TRIM(B2752),Students!$A:$A,0)),"NOT ON LIST"))</f>
        <v/>
      </c>
      <c r="H2752" s="35">
        <f>IF(OR(G2752="",G2752="NOT ON LIST"),"",VLOOKUP(G2752,Students!$A:$C,2,FALSE))</f>
        <v/>
      </c>
      <c r="I2752" s="35">
        <f>IF(OR(G2752="",G2752="NOT ON LIST"),"",VLOOKUP(G2752,Students!$A:$C,3,FALSE)&amp;"")</f>
        <v/>
      </c>
    </row>
    <row r="2753">
      <c r="A2753" s="31" t="n"/>
      <c r="B2753" s="32" t="n"/>
      <c r="C2753" s="32" t="n"/>
      <c r="D2753" s="33" t="n"/>
      <c r="E2753" s="32" t="n"/>
      <c r="F2753" s="34">
        <f>IF(A2753="","",IFERROR(INT(A2753),"check date"))</f>
        <v/>
      </c>
      <c r="G2753" s="35">
        <f>IF(B2753="","",IFERROR(INDEX(Students!$A:$A,MATCH(TRIM(B2753),Students!$A:$A,0)),"NOT ON LIST"))</f>
        <v/>
      </c>
      <c r="H2753" s="35">
        <f>IF(OR(G2753="",G2753="NOT ON LIST"),"",VLOOKUP(G2753,Students!$A:$C,2,FALSE))</f>
        <v/>
      </c>
      <c r="I2753" s="35">
        <f>IF(OR(G2753="",G2753="NOT ON LIST"),"",VLOOKUP(G2753,Students!$A:$C,3,FALSE)&amp;"")</f>
        <v/>
      </c>
    </row>
    <row r="2754">
      <c r="A2754" s="31" t="n"/>
      <c r="B2754" s="32" t="n"/>
      <c r="C2754" s="32" t="n"/>
      <c r="D2754" s="33" t="n"/>
      <c r="E2754" s="32" t="n"/>
      <c r="F2754" s="34">
        <f>IF(A2754="","",IFERROR(INT(A2754),"check date"))</f>
        <v/>
      </c>
      <c r="G2754" s="35">
        <f>IF(B2754="","",IFERROR(INDEX(Students!$A:$A,MATCH(TRIM(B2754),Students!$A:$A,0)),"NOT ON LIST"))</f>
        <v/>
      </c>
      <c r="H2754" s="35">
        <f>IF(OR(G2754="",G2754="NOT ON LIST"),"",VLOOKUP(G2754,Students!$A:$C,2,FALSE))</f>
        <v/>
      </c>
      <c r="I2754" s="35">
        <f>IF(OR(G2754="",G2754="NOT ON LIST"),"",VLOOKUP(G2754,Students!$A:$C,3,FALSE)&amp;"")</f>
        <v/>
      </c>
    </row>
    <row r="2755">
      <c r="A2755" s="31" t="n"/>
      <c r="B2755" s="32" t="n"/>
      <c r="C2755" s="32" t="n"/>
      <c r="D2755" s="33" t="n"/>
      <c r="E2755" s="32" t="n"/>
      <c r="F2755" s="34">
        <f>IF(A2755="","",IFERROR(INT(A2755),"check date"))</f>
        <v/>
      </c>
      <c r="G2755" s="35">
        <f>IF(B2755="","",IFERROR(INDEX(Students!$A:$A,MATCH(TRIM(B2755),Students!$A:$A,0)),"NOT ON LIST"))</f>
        <v/>
      </c>
      <c r="H2755" s="35">
        <f>IF(OR(G2755="",G2755="NOT ON LIST"),"",VLOOKUP(G2755,Students!$A:$C,2,FALSE))</f>
        <v/>
      </c>
      <c r="I2755" s="35">
        <f>IF(OR(G2755="",G2755="NOT ON LIST"),"",VLOOKUP(G2755,Students!$A:$C,3,FALSE)&amp;"")</f>
        <v/>
      </c>
    </row>
    <row r="2756">
      <c r="A2756" s="31" t="n"/>
      <c r="B2756" s="32" t="n"/>
      <c r="C2756" s="32" t="n"/>
      <c r="D2756" s="33" t="n"/>
      <c r="E2756" s="32" t="n"/>
      <c r="F2756" s="34">
        <f>IF(A2756="","",IFERROR(INT(A2756),"check date"))</f>
        <v/>
      </c>
      <c r="G2756" s="35">
        <f>IF(B2756="","",IFERROR(INDEX(Students!$A:$A,MATCH(TRIM(B2756),Students!$A:$A,0)),"NOT ON LIST"))</f>
        <v/>
      </c>
      <c r="H2756" s="35">
        <f>IF(OR(G2756="",G2756="NOT ON LIST"),"",VLOOKUP(G2756,Students!$A:$C,2,FALSE))</f>
        <v/>
      </c>
      <c r="I2756" s="35">
        <f>IF(OR(G2756="",G2756="NOT ON LIST"),"",VLOOKUP(G2756,Students!$A:$C,3,FALSE)&amp;"")</f>
        <v/>
      </c>
    </row>
    <row r="2757">
      <c r="A2757" s="31" t="n"/>
      <c r="B2757" s="32" t="n"/>
      <c r="C2757" s="32" t="n"/>
      <c r="D2757" s="33" t="n"/>
      <c r="E2757" s="32" t="n"/>
      <c r="F2757" s="34">
        <f>IF(A2757="","",IFERROR(INT(A2757),"check date"))</f>
        <v/>
      </c>
      <c r="G2757" s="35">
        <f>IF(B2757="","",IFERROR(INDEX(Students!$A:$A,MATCH(TRIM(B2757),Students!$A:$A,0)),"NOT ON LIST"))</f>
        <v/>
      </c>
      <c r="H2757" s="35">
        <f>IF(OR(G2757="",G2757="NOT ON LIST"),"",VLOOKUP(G2757,Students!$A:$C,2,FALSE))</f>
        <v/>
      </c>
      <c r="I2757" s="35">
        <f>IF(OR(G2757="",G2757="NOT ON LIST"),"",VLOOKUP(G2757,Students!$A:$C,3,FALSE)&amp;"")</f>
        <v/>
      </c>
    </row>
    <row r="2758">
      <c r="A2758" s="31" t="n"/>
      <c r="B2758" s="32" t="n"/>
      <c r="C2758" s="32" t="n"/>
      <c r="D2758" s="33" t="n"/>
      <c r="E2758" s="32" t="n"/>
      <c r="F2758" s="34">
        <f>IF(A2758="","",IFERROR(INT(A2758),"check date"))</f>
        <v/>
      </c>
      <c r="G2758" s="35">
        <f>IF(B2758="","",IFERROR(INDEX(Students!$A:$A,MATCH(TRIM(B2758),Students!$A:$A,0)),"NOT ON LIST"))</f>
        <v/>
      </c>
      <c r="H2758" s="35">
        <f>IF(OR(G2758="",G2758="NOT ON LIST"),"",VLOOKUP(G2758,Students!$A:$C,2,FALSE))</f>
        <v/>
      </c>
      <c r="I2758" s="35">
        <f>IF(OR(G2758="",G2758="NOT ON LIST"),"",VLOOKUP(G2758,Students!$A:$C,3,FALSE)&amp;"")</f>
        <v/>
      </c>
    </row>
    <row r="2759">
      <c r="A2759" s="31" t="n"/>
      <c r="B2759" s="32" t="n"/>
      <c r="C2759" s="32" t="n"/>
      <c r="D2759" s="33" t="n"/>
      <c r="E2759" s="32" t="n"/>
      <c r="F2759" s="34">
        <f>IF(A2759="","",IFERROR(INT(A2759),"check date"))</f>
        <v/>
      </c>
      <c r="G2759" s="35">
        <f>IF(B2759="","",IFERROR(INDEX(Students!$A:$A,MATCH(TRIM(B2759),Students!$A:$A,0)),"NOT ON LIST"))</f>
        <v/>
      </c>
      <c r="H2759" s="35">
        <f>IF(OR(G2759="",G2759="NOT ON LIST"),"",VLOOKUP(G2759,Students!$A:$C,2,FALSE))</f>
        <v/>
      </c>
      <c r="I2759" s="35">
        <f>IF(OR(G2759="",G2759="NOT ON LIST"),"",VLOOKUP(G2759,Students!$A:$C,3,FALSE)&amp;"")</f>
        <v/>
      </c>
    </row>
    <row r="2760">
      <c r="A2760" s="31" t="n"/>
      <c r="B2760" s="32" t="n"/>
      <c r="C2760" s="32" t="n"/>
      <c r="D2760" s="33" t="n"/>
      <c r="E2760" s="32" t="n"/>
      <c r="F2760" s="34">
        <f>IF(A2760="","",IFERROR(INT(A2760),"check date"))</f>
        <v/>
      </c>
      <c r="G2760" s="35">
        <f>IF(B2760="","",IFERROR(INDEX(Students!$A:$A,MATCH(TRIM(B2760),Students!$A:$A,0)),"NOT ON LIST"))</f>
        <v/>
      </c>
      <c r="H2760" s="35">
        <f>IF(OR(G2760="",G2760="NOT ON LIST"),"",VLOOKUP(G2760,Students!$A:$C,2,FALSE))</f>
        <v/>
      </c>
      <c r="I2760" s="35">
        <f>IF(OR(G2760="",G2760="NOT ON LIST"),"",VLOOKUP(G2760,Students!$A:$C,3,FALSE)&amp;"")</f>
        <v/>
      </c>
    </row>
    <row r="2761">
      <c r="A2761" s="31" t="n"/>
      <c r="B2761" s="32" t="n"/>
      <c r="C2761" s="32" t="n"/>
      <c r="D2761" s="33" t="n"/>
      <c r="E2761" s="32" t="n"/>
      <c r="F2761" s="34">
        <f>IF(A2761="","",IFERROR(INT(A2761),"check date"))</f>
        <v/>
      </c>
      <c r="G2761" s="35">
        <f>IF(B2761="","",IFERROR(INDEX(Students!$A:$A,MATCH(TRIM(B2761),Students!$A:$A,0)),"NOT ON LIST"))</f>
        <v/>
      </c>
      <c r="H2761" s="35">
        <f>IF(OR(G2761="",G2761="NOT ON LIST"),"",VLOOKUP(G2761,Students!$A:$C,2,FALSE))</f>
        <v/>
      </c>
      <c r="I2761" s="35">
        <f>IF(OR(G2761="",G2761="NOT ON LIST"),"",VLOOKUP(G2761,Students!$A:$C,3,FALSE)&amp;"")</f>
        <v/>
      </c>
    </row>
    <row r="2762">
      <c r="A2762" s="31" t="n"/>
      <c r="B2762" s="32" t="n"/>
      <c r="C2762" s="32" t="n"/>
      <c r="D2762" s="33" t="n"/>
      <c r="E2762" s="32" t="n"/>
      <c r="F2762" s="34">
        <f>IF(A2762="","",IFERROR(INT(A2762),"check date"))</f>
        <v/>
      </c>
      <c r="G2762" s="35">
        <f>IF(B2762="","",IFERROR(INDEX(Students!$A:$A,MATCH(TRIM(B2762),Students!$A:$A,0)),"NOT ON LIST"))</f>
        <v/>
      </c>
      <c r="H2762" s="35">
        <f>IF(OR(G2762="",G2762="NOT ON LIST"),"",VLOOKUP(G2762,Students!$A:$C,2,FALSE))</f>
        <v/>
      </c>
      <c r="I2762" s="35">
        <f>IF(OR(G2762="",G2762="NOT ON LIST"),"",VLOOKUP(G2762,Students!$A:$C,3,FALSE)&amp;"")</f>
        <v/>
      </c>
    </row>
    <row r="2763">
      <c r="A2763" s="31" t="n"/>
      <c r="B2763" s="32" t="n"/>
      <c r="C2763" s="32" t="n"/>
      <c r="D2763" s="33" t="n"/>
      <c r="E2763" s="32" t="n"/>
      <c r="F2763" s="34">
        <f>IF(A2763="","",IFERROR(INT(A2763),"check date"))</f>
        <v/>
      </c>
      <c r="G2763" s="35">
        <f>IF(B2763="","",IFERROR(INDEX(Students!$A:$A,MATCH(TRIM(B2763),Students!$A:$A,0)),"NOT ON LIST"))</f>
        <v/>
      </c>
      <c r="H2763" s="35">
        <f>IF(OR(G2763="",G2763="NOT ON LIST"),"",VLOOKUP(G2763,Students!$A:$C,2,FALSE))</f>
        <v/>
      </c>
      <c r="I2763" s="35">
        <f>IF(OR(G2763="",G2763="NOT ON LIST"),"",VLOOKUP(G2763,Students!$A:$C,3,FALSE)&amp;"")</f>
        <v/>
      </c>
    </row>
    <row r="2764">
      <c r="A2764" s="31" t="n"/>
      <c r="B2764" s="32" t="n"/>
      <c r="C2764" s="32" t="n"/>
      <c r="D2764" s="33" t="n"/>
      <c r="E2764" s="32" t="n"/>
      <c r="F2764" s="34">
        <f>IF(A2764="","",IFERROR(INT(A2764),"check date"))</f>
        <v/>
      </c>
      <c r="G2764" s="35">
        <f>IF(B2764="","",IFERROR(INDEX(Students!$A:$A,MATCH(TRIM(B2764),Students!$A:$A,0)),"NOT ON LIST"))</f>
        <v/>
      </c>
      <c r="H2764" s="35">
        <f>IF(OR(G2764="",G2764="NOT ON LIST"),"",VLOOKUP(G2764,Students!$A:$C,2,FALSE))</f>
        <v/>
      </c>
      <c r="I2764" s="35">
        <f>IF(OR(G2764="",G2764="NOT ON LIST"),"",VLOOKUP(G2764,Students!$A:$C,3,FALSE)&amp;"")</f>
        <v/>
      </c>
    </row>
    <row r="2765">
      <c r="A2765" s="31" t="n"/>
      <c r="B2765" s="32" t="n"/>
      <c r="C2765" s="32" t="n"/>
      <c r="D2765" s="33" t="n"/>
      <c r="E2765" s="32" t="n"/>
      <c r="F2765" s="34">
        <f>IF(A2765="","",IFERROR(INT(A2765),"check date"))</f>
        <v/>
      </c>
      <c r="G2765" s="35">
        <f>IF(B2765="","",IFERROR(INDEX(Students!$A:$A,MATCH(TRIM(B2765),Students!$A:$A,0)),"NOT ON LIST"))</f>
        <v/>
      </c>
      <c r="H2765" s="35">
        <f>IF(OR(G2765="",G2765="NOT ON LIST"),"",VLOOKUP(G2765,Students!$A:$C,2,FALSE))</f>
        <v/>
      </c>
      <c r="I2765" s="35">
        <f>IF(OR(G2765="",G2765="NOT ON LIST"),"",VLOOKUP(G2765,Students!$A:$C,3,FALSE)&amp;"")</f>
        <v/>
      </c>
    </row>
    <row r="2766">
      <c r="A2766" s="31" t="n"/>
      <c r="B2766" s="32" t="n"/>
      <c r="C2766" s="32" t="n"/>
      <c r="D2766" s="33" t="n"/>
      <c r="E2766" s="32" t="n"/>
      <c r="F2766" s="34">
        <f>IF(A2766="","",IFERROR(INT(A2766),"check date"))</f>
        <v/>
      </c>
      <c r="G2766" s="35">
        <f>IF(B2766="","",IFERROR(INDEX(Students!$A:$A,MATCH(TRIM(B2766),Students!$A:$A,0)),"NOT ON LIST"))</f>
        <v/>
      </c>
      <c r="H2766" s="35">
        <f>IF(OR(G2766="",G2766="NOT ON LIST"),"",VLOOKUP(G2766,Students!$A:$C,2,FALSE))</f>
        <v/>
      </c>
      <c r="I2766" s="35">
        <f>IF(OR(G2766="",G2766="NOT ON LIST"),"",VLOOKUP(G2766,Students!$A:$C,3,FALSE)&amp;"")</f>
        <v/>
      </c>
    </row>
    <row r="2767">
      <c r="A2767" s="31" t="n"/>
      <c r="B2767" s="32" t="n"/>
      <c r="C2767" s="32" t="n"/>
      <c r="D2767" s="33" t="n"/>
      <c r="E2767" s="32" t="n"/>
      <c r="F2767" s="34">
        <f>IF(A2767="","",IFERROR(INT(A2767),"check date"))</f>
        <v/>
      </c>
      <c r="G2767" s="35">
        <f>IF(B2767="","",IFERROR(INDEX(Students!$A:$A,MATCH(TRIM(B2767),Students!$A:$A,0)),"NOT ON LIST"))</f>
        <v/>
      </c>
      <c r="H2767" s="35">
        <f>IF(OR(G2767="",G2767="NOT ON LIST"),"",VLOOKUP(G2767,Students!$A:$C,2,FALSE))</f>
        <v/>
      </c>
      <c r="I2767" s="35">
        <f>IF(OR(G2767="",G2767="NOT ON LIST"),"",VLOOKUP(G2767,Students!$A:$C,3,FALSE)&amp;"")</f>
        <v/>
      </c>
    </row>
    <row r="2768">
      <c r="A2768" s="31" t="n"/>
      <c r="B2768" s="32" t="n"/>
      <c r="C2768" s="32" t="n"/>
      <c r="D2768" s="33" t="n"/>
      <c r="E2768" s="32" t="n"/>
      <c r="F2768" s="34">
        <f>IF(A2768="","",IFERROR(INT(A2768),"check date"))</f>
        <v/>
      </c>
      <c r="G2768" s="35">
        <f>IF(B2768="","",IFERROR(INDEX(Students!$A:$A,MATCH(TRIM(B2768),Students!$A:$A,0)),"NOT ON LIST"))</f>
        <v/>
      </c>
      <c r="H2768" s="35">
        <f>IF(OR(G2768="",G2768="NOT ON LIST"),"",VLOOKUP(G2768,Students!$A:$C,2,FALSE))</f>
        <v/>
      </c>
      <c r="I2768" s="35">
        <f>IF(OR(G2768="",G2768="NOT ON LIST"),"",VLOOKUP(G2768,Students!$A:$C,3,FALSE)&amp;"")</f>
        <v/>
      </c>
    </row>
    <row r="2769">
      <c r="A2769" s="31" t="n"/>
      <c r="B2769" s="32" t="n"/>
      <c r="C2769" s="32" t="n"/>
      <c r="D2769" s="33" t="n"/>
      <c r="E2769" s="32" t="n"/>
      <c r="F2769" s="34">
        <f>IF(A2769="","",IFERROR(INT(A2769),"check date"))</f>
        <v/>
      </c>
      <c r="G2769" s="35">
        <f>IF(B2769="","",IFERROR(INDEX(Students!$A:$A,MATCH(TRIM(B2769),Students!$A:$A,0)),"NOT ON LIST"))</f>
        <v/>
      </c>
      <c r="H2769" s="35">
        <f>IF(OR(G2769="",G2769="NOT ON LIST"),"",VLOOKUP(G2769,Students!$A:$C,2,FALSE))</f>
        <v/>
      </c>
      <c r="I2769" s="35">
        <f>IF(OR(G2769="",G2769="NOT ON LIST"),"",VLOOKUP(G2769,Students!$A:$C,3,FALSE)&amp;"")</f>
        <v/>
      </c>
    </row>
    <row r="2770">
      <c r="A2770" s="31" t="n"/>
      <c r="B2770" s="32" t="n"/>
      <c r="C2770" s="32" t="n"/>
      <c r="D2770" s="33" t="n"/>
      <c r="E2770" s="32" t="n"/>
      <c r="F2770" s="34">
        <f>IF(A2770="","",IFERROR(INT(A2770),"check date"))</f>
        <v/>
      </c>
      <c r="G2770" s="35">
        <f>IF(B2770="","",IFERROR(INDEX(Students!$A:$A,MATCH(TRIM(B2770),Students!$A:$A,0)),"NOT ON LIST"))</f>
        <v/>
      </c>
      <c r="H2770" s="35">
        <f>IF(OR(G2770="",G2770="NOT ON LIST"),"",VLOOKUP(G2770,Students!$A:$C,2,FALSE))</f>
        <v/>
      </c>
      <c r="I2770" s="35">
        <f>IF(OR(G2770="",G2770="NOT ON LIST"),"",VLOOKUP(G2770,Students!$A:$C,3,FALSE)&amp;"")</f>
        <v/>
      </c>
    </row>
    <row r="2771">
      <c r="A2771" s="31" t="n"/>
      <c r="B2771" s="32" t="n"/>
      <c r="C2771" s="32" t="n"/>
      <c r="D2771" s="33" t="n"/>
      <c r="E2771" s="32" t="n"/>
      <c r="F2771" s="34">
        <f>IF(A2771="","",IFERROR(INT(A2771),"check date"))</f>
        <v/>
      </c>
      <c r="G2771" s="35">
        <f>IF(B2771="","",IFERROR(INDEX(Students!$A:$A,MATCH(TRIM(B2771),Students!$A:$A,0)),"NOT ON LIST"))</f>
        <v/>
      </c>
      <c r="H2771" s="35">
        <f>IF(OR(G2771="",G2771="NOT ON LIST"),"",VLOOKUP(G2771,Students!$A:$C,2,FALSE))</f>
        <v/>
      </c>
      <c r="I2771" s="35">
        <f>IF(OR(G2771="",G2771="NOT ON LIST"),"",VLOOKUP(G2771,Students!$A:$C,3,FALSE)&amp;"")</f>
        <v/>
      </c>
    </row>
    <row r="2772">
      <c r="A2772" s="31" t="n"/>
      <c r="B2772" s="32" t="n"/>
      <c r="C2772" s="32" t="n"/>
      <c r="D2772" s="33" t="n"/>
      <c r="E2772" s="32" t="n"/>
      <c r="F2772" s="34">
        <f>IF(A2772="","",IFERROR(INT(A2772),"check date"))</f>
        <v/>
      </c>
      <c r="G2772" s="35">
        <f>IF(B2772="","",IFERROR(INDEX(Students!$A:$A,MATCH(TRIM(B2772),Students!$A:$A,0)),"NOT ON LIST"))</f>
        <v/>
      </c>
      <c r="H2772" s="35">
        <f>IF(OR(G2772="",G2772="NOT ON LIST"),"",VLOOKUP(G2772,Students!$A:$C,2,FALSE))</f>
        <v/>
      </c>
      <c r="I2772" s="35">
        <f>IF(OR(G2772="",G2772="NOT ON LIST"),"",VLOOKUP(G2772,Students!$A:$C,3,FALSE)&amp;"")</f>
        <v/>
      </c>
    </row>
    <row r="2773">
      <c r="A2773" s="31" t="n"/>
      <c r="B2773" s="32" t="n"/>
      <c r="C2773" s="32" t="n"/>
      <c r="D2773" s="33" t="n"/>
      <c r="E2773" s="32" t="n"/>
      <c r="F2773" s="34">
        <f>IF(A2773="","",IFERROR(INT(A2773),"check date"))</f>
        <v/>
      </c>
      <c r="G2773" s="35">
        <f>IF(B2773="","",IFERROR(INDEX(Students!$A:$A,MATCH(TRIM(B2773),Students!$A:$A,0)),"NOT ON LIST"))</f>
        <v/>
      </c>
      <c r="H2773" s="35">
        <f>IF(OR(G2773="",G2773="NOT ON LIST"),"",VLOOKUP(G2773,Students!$A:$C,2,FALSE))</f>
        <v/>
      </c>
      <c r="I2773" s="35">
        <f>IF(OR(G2773="",G2773="NOT ON LIST"),"",VLOOKUP(G2773,Students!$A:$C,3,FALSE)&amp;"")</f>
        <v/>
      </c>
    </row>
    <row r="2774">
      <c r="A2774" s="31" t="n"/>
      <c r="B2774" s="32" t="n"/>
      <c r="C2774" s="32" t="n"/>
      <c r="D2774" s="33" t="n"/>
      <c r="E2774" s="32" t="n"/>
      <c r="F2774" s="34">
        <f>IF(A2774="","",IFERROR(INT(A2774),"check date"))</f>
        <v/>
      </c>
      <c r="G2774" s="35">
        <f>IF(B2774="","",IFERROR(INDEX(Students!$A:$A,MATCH(TRIM(B2774),Students!$A:$A,0)),"NOT ON LIST"))</f>
        <v/>
      </c>
      <c r="H2774" s="35">
        <f>IF(OR(G2774="",G2774="NOT ON LIST"),"",VLOOKUP(G2774,Students!$A:$C,2,FALSE))</f>
        <v/>
      </c>
      <c r="I2774" s="35">
        <f>IF(OR(G2774="",G2774="NOT ON LIST"),"",VLOOKUP(G2774,Students!$A:$C,3,FALSE)&amp;"")</f>
        <v/>
      </c>
    </row>
    <row r="2775">
      <c r="A2775" s="31" t="n"/>
      <c r="B2775" s="32" t="n"/>
      <c r="C2775" s="32" t="n"/>
      <c r="D2775" s="33" t="n"/>
      <c r="E2775" s="32" t="n"/>
      <c r="F2775" s="34">
        <f>IF(A2775="","",IFERROR(INT(A2775),"check date"))</f>
        <v/>
      </c>
      <c r="G2775" s="35">
        <f>IF(B2775="","",IFERROR(INDEX(Students!$A:$A,MATCH(TRIM(B2775),Students!$A:$A,0)),"NOT ON LIST"))</f>
        <v/>
      </c>
      <c r="H2775" s="35">
        <f>IF(OR(G2775="",G2775="NOT ON LIST"),"",VLOOKUP(G2775,Students!$A:$C,2,FALSE))</f>
        <v/>
      </c>
      <c r="I2775" s="35">
        <f>IF(OR(G2775="",G2775="NOT ON LIST"),"",VLOOKUP(G2775,Students!$A:$C,3,FALSE)&amp;"")</f>
        <v/>
      </c>
    </row>
    <row r="2776">
      <c r="A2776" s="31" t="n"/>
      <c r="B2776" s="32" t="n"/>
      <c r="C2776" s="32" t="n"/>
      <c r="D2776" s="33" t="n"/>
      <c r="E2776" s="32" t="n"/>
      <c r="F2776" s="34">
        <f>IF(A2776="","",IFERROR(INT(A2776),"check date"))</f>
        <v/>
      </c>
      <c r="G2776" s="35">
        <f>IF(B2776="","",IFERROR(INDEX(Students!$A:$A,MATCH(TRIM(B2776),Students!$A:$A,0)),"NOT ON LIST"))</f>
        <v/>
      </c>
      <c r="H2776" s="35">
        <f>IF(OR(G2776="",G2776="NOT ON LIST"),"",VLOOKUP(G2776,Students!$A:$C,2,FALSE))</f>
        <v/>
      </c>
      <c r="I2776" s="35">
        <f>IF(OR(G2776="",G2776="NOT ON LIST"),"",VLOOKUP(G2776,Students!$A:$C,3,FALSE)&amp;"")</f>
        <v/>
      </c>
    </row>
    <row r="2777">
      <c r="A2777" s="31" t="n"/>
      <c r="B2777" s="32" t="n"/>
      <c r="C2777" s="32" t="n"/>
      <c r="D2777" s="33" t="n"/>
      <c r="E2777" s="32" t="n"/>
      <c r="F2777" s="34">
        <f>IF(A2777="","",IFERROR(INT(A2777),"check date"))</f>
        <v/>
      </c>
      <c r="G2777" s="35">
        <f>IF(B2777="","",IFERROR(INDEX(Students!$A:$A,MATCH(TRIM(B2777),Students!$A:$A,0)),"NOT ON LIST"))</f>
        <v/>
      </c>
      <c r="H2777" s="35">
        <f>IF(OR(G2777="",G2777="NOT ON LIST"),"",VLOOKUP(G2777,Students!$A:$C,2,FALSE))</f>
        <v/>
      </c>
      <c r="I2777" s="35">
        <f>IF(OR(G2777="",G2777="NOT ON LIST"),"",VLOOKUP(G2777,Students!$A:$C,3,FALSE)&amp;"")</f>
        <v/>
      </c>
    </row>
    <row r="2778">
      <c r="A2778" s="31" t="n"/>
      <c r="B2778" s="32" t="n"/>
      <c r="C2778" s="32" t="n"/>
      <c r="D2778" s="33" t="n"/>
      <c r="E2778" s="32" t="n"/>
      <c r="F2778" s="34">
        <f>IF(A2778="","",IFERROR(INT(A2778),"check date"))</f>
        <v/>
      </c>
      <c r="G2778" s="35">
        <f>IF(B2778="","",IFERROR(INDEX(Students!$A:$A,MATCH(TRIM(B2778),Students!$A:$A,0)),"NOT ON LIST"))</f>
        <v/>
      </c>
      <c r="H2778" s="35">
        <f>IF(OR(G2778="",G2778="NOT ON LIST"),"",VLOOKUP(G2778,Students!$A:$C,2,FALSE))</f>
        <v/>
      </c>
      <c r="I2778" s="35">
        <f>IF(OR(G2778="",G2778="NOT ON LIST"),"",VLOOKUP(G2778,Students!$A:$C,3,FALSE)&amp;"")</f>
        <v/>
      </c>
    </row>
    <row r="2779">
      <c r="A2779" s="31" t="n"/>
      <c r="B2779" s="32" t="n"/>
      <c r="C2779" s="32" t="n"/>
      <c r="D2779" s="33" t="n"/>
      <c r="E2779" s="32" t="n"/>
      <c r="F2779" s="34">
        <f>IF(A2779="","",IFERROR(INT(A2779),"check date"))</f>
        <v/>
      </c>
      <c r="G2779" s="35">
        <f>IF(B2779="","",IFERROR(INDEX(Students!$A:$A,MATCH(TRIM(B2779),Students!$A:$A,0)),"NOT ON LIST"))</f>
        <v/>
      </c>
      <c r="H2779" s="35">
        <f>IF(OR(G2779="",G2779="NOT ON LIST"),"",VLOOKUP(G2779,Students!$A:$C,2,FALSE))</f>
        <v/>
      </c>
      <c r="I2779" s="35">
        <f>IF(OR(G2779="",G2779="NOT ON LIST"),"",VLOOKUP(G2779,Students!$A:$C,3,FALSE)&amp;"")</f>
        <v/>
      </c>
    </row>
    <row r="2780">
      <c r="A2780" s="31" t="n"/>
      <c r="B2780" s="32" t="n"/>
      <c r="C2780" s="32" t="n"/>
      <c r="D2780" s="33" t="n"/>
      <c r="E2780" s="32" t="n"/>
      <c r="F2780" s="34">
        <f>IF(A2780="","",IFERROR(INT(A2780),"check date"))</f>
        <v/>
      </c>
      <c r="G2780" s="35">
        <f>IF(B2780="","",IFERROR(INDEX(Students!$A:$A,MATCH(TRIM(B2780),Students!$A:$A,0)),"NOT ON LIST"))</f>
        <v/>
      </c>
      <c r="H2780" s="35">
        <f>IF(OR(G2780="",G2780="NOT ON LIST"),"",VLOOKUP(G2780,Students!$A:$C,2,FALSE))</f>
        <v/>
      </c>
      <c r="I2780" s="35">
        <f>IF(OR(G2780="",G2780="NOT ON LIST"),"",VLOOKUP(G2780,Students!$A:$C,3,FALSE)&amp;"")</f>
        <v/>
      </c>
    </row>
    <row r="2781">
      <c r="A2781" s="31" t="n"/>
      <c r="B2781" s="32" t="n"/>
      <c r="C2781" s="32" t="n"/>
      <c r="D2781" s="33" t="n"/>
      <c r="E2781" s="32" t="n"/>
      <c r="F2781" s="34">
        <f>IF(A2781="","",IFERROR(INT(A2781),"check date"))</f>
        <v/>
      </c>
      <c r="G2781" s="35">
        <f>IF(B2781="","",IFERROR(INDEX(Students!$A:$A,MATCH(TRIM(B2781),Students!$A:$A,0)),"NOT ON LIST"))</f>
        <v/>
      </c>
      <c r="H2781" s="35">
        <f>IF(OR(G2781="",G2781="NOT ON LIST"),"",VLOOKUP(G2781,Students!$A:$C,2,FALSE))</f>
        <v/>
      </c>
      <c r="I2781" s="35">
        <f>IF(OR(G2781="",G2781="NOT ON LIST"),"",VLOOKUP(G2781,Students!$A:$C,3,FALSE)&amp;"")</f>
        <v/>
      </c>
    </row>
    <row r="2782">
      <c r="A2782" s="31" t="n"/>
      <c r="B2782" s="32" t="n"/>
      <c r="C2782" s="32" t="n"/>
      <c r="D2782" s="33" t="n"/>
      <c r="E2782" s="32" t="n"/>
      <c r="F2782" s="34">
        <f>IF(A2782="","",IFERROR(INT(A2782),"check date"))</f>
        <v/>
      </c>
      <c r="G2782" s="35">
        <f>IF(B2782="","",IFERROR(INDEX(Students!$A:$A,MATCH(TRIM(B2782),Students!$A:$A,0)),"NOT ON LIST"))</f>
        <v/>
      </c>
      <c r="H2782" s="35">
        <f>IF(OR(G2782="",G2782="NOT ON LIST"),"",VLOOKUP(G2782,Students!$A:$C,2,FALSE))</f>
        <v/>
      </c>
      <c r="I2782" s="35">
        <f>IF(OR(G2782="",G2782="NOT ON LIST"),"",VLOOKUP(G2782,Students!$A:$C,3,FALSE)&amp;"")</f>
        <v/>
      </c>
    </row>
    <row r="2783">
      <c r="A2783" s="31" t="n"/>
      <c r="B2783" s="32" t="n"/>
      <c r="C2783" s="32" t="n"/>
      <c r="D2783" s="33" t="n"/>
      <c r="E2783" s="32" t="n"/>
      <c r="F2783" s="34">
        <f>IF(A2783="","",IFERROR(INT(A2783),"check date"))</f>
        <v/>
      </c>
      <c r="G2783" s="35">
        <f>IF(B2783="","",IFERROR(INDEX(Students!$A:$A,MATCH(TRIM(B2783),Students!$A:$A,0)),"NOT ON LIST"))</f>
        <v/>
      </c>
      <c r="H2783" s="35">
        <f>IF(OR(G2783="",G2783="NOT ON LIST"),"",VLOOKUP(G2783,Students!$A:$C,2,FALSE))</f>
        <v/>
      </c>
      <c r="I2783" s="35">
        <f>IF(OR(G2783="",G2783="NOT ON LIST"),"",VLOOKUP(G2783,Students!$A:$C,3,FALSE)&amp;"")</f>
        <v/>
      </c>
    </row>
    <row r="2784">
      <c r="A2784" s="31" t="n"/>
      <c r="B2784" s="32" t="n"/>
      <c r="C2784" s="32" t="n"/>
      <c r="D2784" s="33" t="n"/>
      <c r="E2784" s="32" t="n"/>
      <c r="F2784" s="34">
        <f>IF(A2784="","",IFERROR(INT(A2784),"check date"))</f>
        <v/>
      </c>
      <c r="G2784" s="35">
        <f>IF(B2784="","",IFERROR(INDEX(Students!$A:$A,MATCH(TRIM(B2784),Students!$A:$A,0)),"NOT ON LIST"))</f>
        <v/>
      </c>
      <c r="H2784" s="35">
        <f>IF(OR(G2784="",G2784="NOT ON LIST"),"",VLOOKUP(G2784,Students!$A:$C,2,FALSE))</f>
        <v/>
      </c>
      <c r="I2784" s="35">
        <f>IF(OR(G2784="",G2784="NOT ON LIST"),"",VLOOKUP(G2784,Students!$A:$C,3,FALSE)&amp;"")</f>
        <v/>
      </c>
    </row>
    <row r="2785">
      <c r="A2785" s="31" t="n"/>
      <c r="B2785" s="32" t="n"/>
      <c r="C2785" s="32" t="n"/>
      <c r="D2785" s="33" t="n"/>
      <c r="E2785" s="32" t="n"/>
      <c r="F2785" s="34">
        <f>IF(A2785="","",IFERROR(INT(A2785),"check date"))</f>
        <v/>
      </c>
      <c r="G2785" s="35">
        <f>IF(B2785="","",IFERROR(INDEX(Students!$A:$A,MATCH(TRIM(B2785),Students!$A:$A,0)),"NOT ON LIST"))</f>
        <v/>
      </c>
      <c r="H2785" s="35">
        <f>IF(OR(G2785="",G2785="NOT ON LIST"),"",VLOOKUP(G2785,Students!$A:$C,2,FALSE))</f>
        <v/>
      </c>
      <c r="I2785" s="35">
        <f>IF(OR(G2785="",G2785="NOT ON LIST"),"",VLOOKUP(G2785,Students!$A:$C,3,FALSE)&amp;"")</f>
        <v/>
      </c>
    </row>
    <row r="2786">
      <c r="A2786" s="31" t="n"/>
      <c r="B2786" s="32" t="n"/>
      <c r="C2786" s="32" t="n"/>
      <c r="D2786" s="33" t="n"/>
      <c r="E2786" s="32" t="n"/>
      <c r="F2786" s="34">
        <f>IF(A2786="","",IFERROR(INT(A2786),"check date"))</f>
        <v/>
      </c>
      <c r="G2786" s="35">
        <f>IF(B2786="","",IFERROR(INDEX(Students!$A:$A,MATCH(TRIM(B2786),Students!$A:$A,0)),"NOT ON LIST"))</f>
        <v/>
      </c>
      <c r="H2786" s="35">
        <f>IF(OR(G2786="",G2786="NOT ON LIST"),"",VLOOKUP(G2786,Students!$A:$C,2,FALSE))</f>
        <v/>
      </c>
      <c r="I2786" s="35">
        <f>IF(OR(G2786="",G2786="NOT ON LIST"),"",VLOOKUP(G2786,Students!$A:$C,3,FALSE)&amp;"")</f>
        <v/>
      </c>
    </row>
    <row r="2787">
      <c r="A2787" s="31" t="n"/>
      <c r="B2787" s="32" t="n"/>
      <c r="C2787" s="32" t="n"/>
      <c r="D2787" s="33" t="n"/>
      <c r="E2787" s="32" t="n"/>
      <c r="F2787" s="34">
        <f>IF(A2787="","",IFERROR(INT(A2787),"check date"))</f>
        <v/>
      </c>
      <c r="G2787" s="35">
        <f>IF(B2787="","",IFERROR(INDEX(Students!$A:$A,MATCH(TRIM(B2787),Students!$A:$A,0)),"NOT ON LIST"))</f>
        <v/>
      </c>
      <c r="H2787" s="35">
        <f>IF(OR(G2787="",G2787="NOT ON LIST"),"",VLOOKUP(G2787,Students!$A:$C,2,FALSE))</f>
        <v/>
      </c>
      <c r="I2787" s="35">
        <f>IF(OR(G2787="",G2787="NOT ON LIST"),"",VLOOKUP(G2787,Students!$A:$C,3,FALSE)&amp;"")</f>
        <v/>
      </c>
    </row>
    <row r="2788">
      <c r="A2788" s="31" t="n"/>
      <c r="B2788" s="32" t="n"/>
      <c r="C2788" s="32" t="n"/>
      <c r="D2788" s="33" t="n"/>
      <c r="E2788" s="32" t="n"/>
      <c r="F2788" s="34">
        <f>IF(A2788="","",IFERROR(INT(A2788),"check date"))</f>
        <v/>
      </c>
      <c r="G2788" s="35">
        <f>IF(B2788="","",IFERROR(INDEX(Students!$A:$A,MATCH(TRIM(B2788),Students!$A:$A,0)),"NOT ON LIST"))</f>
        <v/>
      </c>
      <c r="H2788" s="35">
        <f>IF(OR(G2788="",G2788="NOT ON LIST"),"",VLOOKUP(G2788,Students!$A:$C,2,FALSE))</f>
        <v/>
      </c>
      <c r="I2788" s="35">
        <f>IF(OR(G2788="",G2788="NOT ON LIST"),"",VLOOKUP(G2788,Students!$A:$C,3,FALSE)&amp;"")</f>
        <v/>
      </c>
    </row>
    <row r="2789">
      <c r="A2789" s="31" t="n"/>
      <c r="B2789" s="32" t="n"/>
      <c r="C2789" s="32" t="n"/>
      <c r="D2789" s="33" t="n"/>
      <c r="E2789" s="32" t="n"/>
      <c r="F2789" s="34">
        <f>IF(A2789="","",IFERROR(INT(A2789),"check date"))</f>
        <v/>
      </c>
      <c r="G2789" s="35">
        <f>IF(B2789="","",IFERROR(INDEX(Students!$A:$A,MATCH(TRIM(B2789),Students!$A:$A,0)),"NOT ON LIST"))</f>
        <v/>
      </c>
      <c r="H2789" s="35">
        <f>IF(OR(G2789="",G2789="NOT ON LIST"),"",VLOOKUP(G2789,Students!$A:$C,2,FALSE))</f>
        <v/>
      </c>
      <c r="I2789" s="35">
        <f>IF(OR(G2789="",G2789="NOT ON LIST"),"",VLOOKUP(G2789,Students!$A:$C,3,FALSE)&amp;"")</f>
        <v/>
      </c>
    </row>
    <row r="2790">
      <c r="A2790" s="31" t="n"/>
      <c r="B2790" s="32" t="n"/>
      <c r="C2790" s="32" t="n"/>
      <c r="D2790" s="33" t="n"/>
      <c r="E2790" s="32" t="n"/>
      <c r="F2790" s="34">
        <f>IF(A2790="","",IFERROR(INT(A2790),"check date"))</f>
        <v/>
      </c>
      <c r="G2790" s="35">
        <f>IF(B2790="","",IFERROR(INDEX(Students!$A:$A,MATCH(TRIM(B2790),Students!$A:$A,0)),"NOT ON LIST"))</f>
        <v/>
      </c>
      <c r="H2790" s="35">
        <f>IF(OR(G2790="",G2790="NOT ON LIST"),"",VLOOKUP(G2790,Students!$A:$C,2,FALSE))</f>
        <v/>
      </c>
      <c r="I2790" s="35">
        <f>IF(OR(G2790="",G2790="NOT ON LIST"),"",VLOOKUP(G2790,Students!$A:$C,3,FALSE)&amp;"")</f>
        <v/>
      </c>
    </row>
    <row r="2791">
      <c r="A2791" s="31" t="n"/>
      <c r="B2791" s="32" t="n"/>
      <c r="C2791" s="32" t="n"/>
      <c r="D2791" s="33" t="n"/>
      <c r="E2791" s="32" t="n"/>
      <c r="F2791" s="34">
        <f>IF(A2791="","",IFERROR(INT(A2791),"check date"))</f>
        <v/>
      </c>
      <c r="G2791" s="35">
        <f>IF(B2791="","",IFERROR(INDEX(Students!$A:$A,MATCH(TRIM(B2791),Students!$A:$A,0)),"NOT ON LIST"))</f>
        <v/>
      </c>
      <c r="H2791" s="35">
        <f>IF(OR(G2791="",G2791="NOT ON LIST"),"",VLOOKUP(G2791,Students!$A:$C,2,FALSE))</f>
        <v/>
      </c>
      <c r="I2791" s="35">
        <f>IF(OR(G2791="",G2791="NOT ON LIST"),"",VLOOKUP(G2791,Students!$A:$C,3,FALSE)&amp;"")</f>
        <v/>
      </c>
    </row>
    <row r="2792">
      <c r="A2792" s="31" t="n"/>
      <c r="B2792" s="32" t="n"/>
      <c r="C2792" s="32" t="n"/>
      <c r="D2792" s="33" t="n"/>
      <c r="E2792" s="32" t="n"/>
      <c r="F2792" s="34">
        <f>IF(A2792="","",IFERROR(INT(A2792),"check date"))</f>
        <v/>
      </c>
      <c r="G2792" s="35">
        <f>IF(B2792="","",IFERROR(INDEX(Students!$A:$A,MATCH(TRIM(B2792),Students!$A:$A,0)),"NOT ON LIST"))</f>
        <v/>
      </c>
      <c r="H2792" s="35">
        <f>IF(OR(G2792="",G2792="NOT ON LIST"),"",VLOOKUP(G2792,Students!$A:$C,2,FALSE))</f>
        <v/>
      </c>
      <c r="I2792" s="35">
        <f>IF(OR(G2792="",G2792="NOT ON LIST"),"",VLOOKUP(G2792,Students!$A:$C,3,FALSE)&amp;"")</f>
        <v/>
      </c>
    </row>
    <row r="2793">
      <c r="A2793" s="31" t="n"/>
      <c r="B2793" s="32" t="n"/>
      <c r="C2793" s="32" t="n"/>
      <c r="D2793" s="33" t="n"/>
      <c r="E2793" s="32" t="n"/>
      <c r="F2793" s="34">
        <f>IF(A2793="","",IFERROR(INT(A2793),"check date"))</f>
        <v/>
      </c>
      <c r="G2793" s="35">
        <f>IF(B2793="","",IFERROR(INDEX(Students!$A:$A,MATCH(TRIM(B2793),Students!$A:$A,0)),"NOT ON LIST"))</f>
        <v/>
      </c>
      <c r="H2793" s="35">
        <f>IF(OR(G2793="",G2793="NOT ON LIST"),"",VLOOKUP(G2793,Students!$A:$C,2,FALSE))</f>
        <v/>
      </c>
      <c r="I2793" s="35">
        <f>IF(OR(G2793="",G2793="NOT ON LIST"),"",VLOOKUP(G2793,Students!$A:$C,3,FALSE)&amp;"")</f>
        <v/>
      </c>
    </row>
    <row r="2794">
      <c r="A2794" s="31" t="n"/>
      <c r="B2794" s="32" t="n"/>
      <c r="C2794" s="32" t="n"/>
      <c r="D2794" s="33" t="n"/>
      <c r="E2794" s="32" t="n"/>
      <c r="F2794" s="34">
        <f>IF(A2794="","",IFERROR(INT(A2794),"check date"))</f>
        <v/>
      </c>
      <c r="G2794" s="35">
        <f>IF(B2794="","",IFERROR(INDEX(Students!$A:$A,MATCH(TRIM(B2794),Students!$A:$A,0)),"NOT ON LIST"))</f>
        <v/>
      </c>
      <c r="H2794" s="35">
        <f>IF(OR(G2794="",G2794="NOT ON LIST"),"",VLOOKUP(G2794,Students!$A:$C,2,FALSE))</f>
        <v/>
      </c>
      <c r="I2794" s="35">
        <f>IF(OR(G2794="",G2794="NOT ON LIST"),"",VLOOKUP(G2794,Students!$A:$C,3,FALSE)&amp;"")</f>
        <v/>
      </c>
    </row>
    <row r="2795">
      <c r="A2795" s="31" t="n"/>
      <c r="B2795" s="32" t="n"/>
      <c r="C2795" s="32" t="n"/>
      <c r="D2795" s="33" t="n"/>
      <c r="E2795" s="32" t="n"/>
      <c r="F2795" s="34">
        <f>IF(A2795="","",IFERROR(INT(A2795),"check date"))</f>
        <v/>
      </c>
      <c r="G2795" s="35">
        <f>IF(B2795="","",IFERROR(INDEX(Students!$A:$A,MATCH(TRIM(B2795),Students!$A:$A,0)),"NOT ON LIST"))</f>
        <v/>
      </c>
      <c r="H2795" s="35">
        <f>IF(OR(G2795="",G2795="NOT ON LIST"),"",VLOOKUP(G2795,Students!$A:$C,2,FALSE))</f>
        <v/>
      </c>
      <c r="I2795" s="35">
        <f>IF(OR(G2795="",G2795="NOT ON LIST"),"",VLOOKUP(G2795,Students!$A:$C,3,FALSE)&amp;"")</f>
        <v/>
      </c>
    </row>
    <row r="2796">
      <c r="A2796" s="31" t="n"/>
      <c r="B2796" s="32" t="n"/>
      <c r="C2796" s="32" t="n"/>
      <c r="D2796" s="33" t="n"/>
      <c r="E2796" s="32" t="n"/>
      <c r="F2796" s="34">
        <f>IF(A2796="","",IFERROR(INT(A2796),"check date"))</f>
        <v/>
      </c>
      <c r="G2796" s="35">
        <f>IF(B2796="","",IFERROR(INDEX(Students!$A:$A,MATCH(TRIM(B2796),Students!$A:$A,0)),"NOT ON LIST"))</f>
        <v/>
      </c>
      <c r="H2796" s="35">
        <f>IF(OR(G2796="",G2796="NOT ON LIST"),"",VLOOKUP(G2796,Students!$A:$C,2,FALSE))</f>
        <v/>
      </c>
      <c r="I2796" s="35">
        <f>IF(OR(G2796="",G2796="NOT ON LIST"),"",VLOOKUP(G2796,Students!$A:$C,3,FALSE)&amp;"")</f>
        <v/>
      </c>
    </row>
    <row r="2797">
      <c r="A2797" s="31" t="n"/>
      <c r="B2797" s="32" t="n"/>
      <c r="C2797" s="32" t="n"/>
      <c r="D2797" s="33" t="n"/>
      <c r="E2797" s="32" t="n"/>
      <c r="F2797" s="34">
        <f>IF(A2797="","",IFERROR(INT(A2797),"check date"))</f>
        <v/>
      </c>
      <c r="G2797" s="35">
        <f>IF(B2797="","",IFERROR(INDEX(Students!$A:$A,MATCH(TRIM(B2797),Students!$A:$A,0)),"NOT ON LIST"))</f>
        <v/>
      </c>
      <c r="H2797" s="35">
        <f>IF(OR(G2797="",G2797="NOT ON LIST"),"",VLOOKUP(G2797,Students!$A:$C,2,FALSE))</f>
        <v/>
      </c>
      <c r="I2797" s="35">
        <f>IF(OR(G2797="",G2797="NOT ON LIST"),"",VLOOKUP(G2797,Students!$A:$C,3,FALSE)&amp;"")</f>
        <v/>
      </c>
    </row>
    <row r="2798">
      <c r="A2798" s="31" t="n"/>
      <c r="B2798" s="32" t="n"/>
      <c r="C2798" s="32" t="n"/>
      <c r="D2798" s="33" t="n"/>
      <c r="E2798" s="32" t="n"/>
      <c r="F2798" s="34">
        <f>IF(A2798="","",IFERROR(INT(A2798),"check date"))</f>
        <v/>
      </c>
      <c r="G2798" s="35">
        <f>IF(B2798="","",IFERROR(INDEX(Students!$A:$A,MATCH(TRIM(B2798),Students!$A:$A,0)),"NOT ON LIST"))</f>
        <v/>
      </c>
      <c r="H2798" s="35">
        <f>IF(OR(G2798="",G2798="NOT ON LIST"),"",VLOOKUP(G2798,Students!$A:$C,2,FALSE))</f>
        <v/>
      </c>
      <c r="I2798" s="35">
        <f>IF(OR(G2798="",G2798="NOT ON LIST"),"",VLOOKUP(G2798,Students!$A:$C,3,FALSE)&amp;"")</f>
        <v/>
      </c>
    </row>
    <row r="2799">
      <c r="A2799" s="31" t="n"/>
      <c r="B2799" s="32" t="n"/>
      <c r="C2799" s="32" t="n"/>
      <c r="D2799" s="33" t="n"/>
      <c r="E2799" s="32" t="n"/>
      <c r="F2799" s="34">
        <f>IF(A2799="","",IFERROR(INT(A2799),"check date"))</f>
        <v/>
      </c>
      <c r="G2799" s="35">
        <f>IF(B2799="","",IFERROR(INDEX(Students!$A:$A,MATCH(TRIM(B2799),Students!$A:$A,0)),"NOT ON LIST"))</f>
        <v/>
      </c>
      <c r="H2799" s="35">
        <f>IF(OR(G2799="",G2799="NOT ON LIST"),"",VLOOKUP(G2799,Students!$A:$C,2,FALSE))</f>
        <v/>
      </c>
      <c r="I2799" s="35">
        <f>IF(OR(G2799="",G2799="NOT ON LIST"),"",VLOOKUP(G2799,Students!$A:$C,3,FALSE)&amp;"")</f>
        <v/>
      </c>
    </row>
    <row r="2800">
      <c r="A2800" s="31" t="n"/>
      <c r="B2800" s="32" t="n"/>
      <c r="C2800" s="32" t="n"/>
      <c r="D2800" s="33" t="n"/>
      <c r="E2800" s="32" t="n"/>
      <c r="F2800" s="34">
        <f>IF(A2800="","",IFERROR(INT(A2800),"check date"))</f>
        <v/>
      </c>
      <c r="G2800" s="35">
        <f>IF(B2800="","",IFERROR(INDEX(Students!$A:$A,MATCH(TRIM(B2800),Students!$A:$A,0)),"NOT ON LIST"))</f>
        <v/>
      </c>
      <c r="H2800" s="35">
        <f>IF(OR(G2800="",G2800="NOT ON LIST"),"",VLOOKUP(G2800,Students!$A:$C,2,FALSE))</f>
        <v/>
      </c>
      <c r="I2800" s="35">
        <f>IF(OR(G2800="",G2800="NOT ON LIST"),"",VLOOKUP(G2800,Students!$A:$C,3,FALSE)&amp;"")</f>
        <v/>
      </c>
    </row>
    <row r="2801">
      <c r="A2801" s="31" t="n"/>
      <c r="B2801" s="32" t="n"/>
      <c r="C2801" s="32" t="n"/>
      <c r="D2801" s="33" t="n"/>
      <c r="E2801" s="32" t="n"/>
      <c r="F2801" s="34">
        <f>IF(A2801="","",IFERROR(INT(A2801),"check date"))</f>
        <v/>
      </c>
      <c r="G2801" s="35">
        <f>IF(B2801="","",IFERROR(INDEX(Students!$A:$A,MATCH(TRIM(B2801),Students!$A:$A,0)),"NOT ON LIST"))</f>
        <v/>
      </c>
      <c r="H2801" s="35">
        <f>IF(OR(G2801="",G2801="NOT ON LIST"),"",VLOOKUP(G2801,Students!$A:$C,2,FALSE))</f>
        <v/>
      </c>
      <c r="I2801" s="35">
        <f>IF(OR(G2801="",G2801="NOT ON LIST"),"",VLOOKUP(G2801,Students!$A:$C,3,FALSE)&amp;"")</f>
        <v/>
      </c>
    </row>
    <row r="2802">
      <c r="A2802" s="31" t="n"/>
      <c r="B2802" s="32" t="n"/>
      <c r="C2802" s="32" t="n"/>
      <c r="D2802" s="33" t="n"/>
      <c r="E2802" s="32" t="n"/>
      <c r="F2802" s="34">
        <f>IF(A2802="","",IFERROR(INT(A2802),"check date"))</f>
        <v/>
      </c>
      <c r="G2802" s="35">
        <f>IF(B2802="","",IFERROR(INDEX(Students!$A:$A,MATCH(TRIM(B2802),Students!$A:$A,0)),"NOT ON LIST"))</f>
        <v/>
      </c>
      <c r="H2802" s="35">
        <f>IF(OR(G2802="",G2802="NOT ON LIST"),"",VLOOKUP(G2802,Students!$A:$C,2,FALSE))</f>
        <v/>
      </c>
      <c r="I2802" s="35">
        <f>IF(OR(G2802="",G2802="NOT ON LIST"),"",VLOOKUP(G2802,Students!$A:$C,3,FALSE)&amp;"")</f>
        <v/>
      </c>
    </row>
    <row r="2803">
      <c r="A2803" s="31" t="n"/>
      <c r="B2803" s="32" t="n"/>
      <c r="C2803" s="32" t="n"/>
      <c r="D2803" s="33" t="n"/>
      <c r="E2803" s="32" t="n"/>
      <c r="F2803" s="34">
        <f>IF(A2803="","",IFERROR(INT(A2803),"check date"))</f>
        <v/>
      </c>
      <c r="G2803" s="35">
        <f>IF(B2803="","",IFERROR(INDEX(Students!$A:$A,MATCH(TRIM(B2803),Students!$A:$A,0)),"NOT ON LIST"))</f>
        <v/>
      </c>
      <c r="H2803" s="35">
        <f>IF(OR(G2803="",G2803="NOT ON LIST"),"",VLOOKUP(G2803,Students!$A:$C,2,FALSE))</f>
        <v/>
      </c>
      <c r="I2803" s="35">
        <f>IF(OR(G2803="",G2803="NOT ON LIST"),"",VLOOKUP(G2803,Students!$A:$C,3,FALSE)&amp;"")</f>
        <v/>
      </c>
    </row>
    <row r="2804">
      <c r="A2804" s="31" t="n"/>
      <c r="B2804" s="32" t="n"/>
      <c r="C2804" s="32" t="n"/>
      <c r="D2804" s="33" t="n"/>
      <c r="E2804" s="32" t="n"/>
      <c r="F2804" s="34">
        <f>IF(A2804="","",IFERROR(INT(A2804),"check date"))</f>
        <v/>
      </c>
      <c r="G2804" s="35">
        <f>IF(B2804="","",IFERROR(INDEX(Students!$A:$A,MATCH(TRIM(B2804),Students!$A:$A,0)),"NOT ON LIST"))</f>
        <v/>
      </c>
      <c r="H2804" s="35">
        <f>IF(OR(G2804="",G2804="NOT ON LIST"),"",VLOOKUP(G2804,Students!$A:$C,2,FALSE))</f>
        <v/>
      </c>
      <c r="I2804" s="35">
        <f>IF(OR(G2804="",G2804="NOT ON LIST"),"",VLOOKUP(G2804,Students!$A:$C,3,FALSE)&amp;"")</f>
        <v/>
      </c>
    </row>
    <row r="2805">
      <c r="A2805" s="31" t="n"/>
      <c r="B2805" s="32" t="n"/>
      <c r="C2805" s="32" t="n"/>
      <c r="D2805" s="33" t="n"/>
      <c r="E2805" s="32" t="n"/>
      <c r="F2805" s="34">
        <f>IF(A2805="","",IFERROR(INT(A2805),"check date"))</f>
        <v/>
      </c>
      <c r="G2805" s="35">
        <f>IF(B2805="","",IFERROR(INDEX(Students!$A:$A,MATCH(TRIM(B2805),Students!$A:$A,0)),"NOT ON LIST"))</f>
        <v/>
      </c>
      <c r="H2805" s="35">
        <f>IF(OR(G2805="",G2805="NOT ON LIST"),"",VLOOKUP(G2805,Students!$A:$C,2,FALSE))</f>
        <v/>
      </c>
      <c r="I2805" s="35">
        <f>IF(OR(G2805="",G2805="NOT ON LIST"),"",VLOOKUP(G2805,Students!$A:$C,3,FALSE)&amp;"")</f>
        <v/>
      </c>
    </row>
    <row r="2806">
      <c r="A2806" s="31" t="n"/>
      <c r="B2806" s="32" t="n"/>
      <c r="C2806" s="32" t="n"/>
      <c r="D2806" s="33" t="n"/>
      <c r="E2806" s="32" t="n"/>
      <c r="F2806" s="34">
        <f>IF(A2806="","",IFERROR(INT(A2806),"check date"))</f>
        <v/>
      </c>
      <c r="G2806" s="35">
        <f>IF(B2806="","",IFERROR(INDEX(Students!$A:$A,MATCH(TRIM(B2806),Students!$A:$A,0)),"NOT ON LIST"))</f>
        <v/>
      </c>
      <c r="H2806" s="35">
        <f>IF(OR(G2806="",G2806="NOT ON LIST"),"",VLOOKUP(G2806,Students!$A:$C,2,FALSE))</f>
        <v/>
      </c>
      <c r="I2806" s="35">
        <f>IF(OR(G2806="",G2806="NOT ON LIST"),"",VLOOKUP(G2806,Students!$A:$C,3,FALSE)&amp;"")</f>
        <v/>
      </c>
    </row>
    <row r="2807">
      <c r="A2807" s="31" t="n"/>
      <c r="B2807" s="32" t="n"/>
      <c r="C2807" s="32" t="n"/>
      <c r="D2807" s="33" t="n"/>
      <c r="E2807" s="32" t="n"/>
      <c r="F2807" s="34">
        <f>IF(A2807="","",IFERROR(INT(A2807),"check date"))</f>
        <v/>
      </c>
      <c r="G2807" s="35">
        <f>IF(B2807="","",IFERROR(INDEX(Students!$A:$A,MATCH(TRIM(B2807),Students!$A:$A,0)),"NOT ON LIST"))</f>
        <v/>
      </c>
      <c r="H2807" s="35">
        <f>IF(OR(G2807="",G2807="NOT ON LIST"),"",VLOOKUP(G2807,Students!$A:$C,2,FALSE))</f>
        <v/>
      </c>
      <c r="I2807" s="35">
        <f>IF(OR(G2807="",G2807="NOT ON LIST"),"",VLOOKUP(G2807,Students!$A:$C,3,FALSE)&amp;"")</f>
        <v/>
      </c>
    </row>
    <row r="2808">
      <c r="A2808" s="31" t="n"/>
      <c r="B2808" s="32" t="n"/>
      <c r="C2808" s="32" t="n"/>
      <c r="D2808" s="33" t="n"/>
      <c r="E2808" s="32" t="n"/>
      <c r="F2808" s="34">
        <f>IF(A2808="","",IFERROR(INT(A2808),"check date"))</f>
        <v/>
      </c>
      <c r="G2808" s="35">
        <f>IF(B2808="","",IFERROR(INDEX(Students!$A:$A,MATCH(TRIM(B2808),Students!$A:$A,0)),"NOT ON LIST"))</f>
        <v/>
      </c>
      <c r="H2808" s="35">
        <f>IF(OR(G2808="",G2808="NOT ON LIST"),"",VLOOKUP(G2808,Students!$A:$C,2,FALSE))</f>
        <v/>
      </c>
      <c r="I2808" s="35">
        <f>IF(OR(G2808="",G2808="NOT ON LIST"),"",VLOOKUP(G2808,Students!$A:$C,3,FALSE)&amp;"")</f>
        <v/>
      </c>
    </row>
    <row r="2809">
      <c r="A2809" s="31" t="n"/>
      <c r="B2809" s="32" t="n"/>
      <c r="C2809" s="32" t="n"/>
      <c r="D2809" s="33" t="n"/>
      <c r="E2809" s="32" t="n"/>
      <c r="F2809" s="34">
        <f>IF(A2809="","",IFERROR(INT(A2809),"check date"))</f>
        <v/>
      </c>
      <c r="G2809" s="35">
        <f>IF(B2809="","",IFERROR(INDEX(Students!$A:$A,MATCH(TRIM(B2809),Students!$A:$A,0)),"NOT ON LIST"))</f>
        <v/>
      </c>
      <c r="H2809" s="35">
        <f>IF(OR(G2809="",G2809="NOT ON LIST"),"",VLOOKUP(G2809,Students!$A:$C,2,FALSE))</f>
        <v/>
      </c>
      <c r="I2809" s="35">
        <f>IF(OR(G2809="",G2809="NOT ON LIST"),"",VLOOKUP(G2809,Students!$A:$C,3,FALSE)&amp;"")</f>
        <v/>
      </c>
    </row>
    <row r="2810">
      <c r="A2810" s="31" t="n"/>
      <c r="B2810" s="32" t="n"/>
      <c r="C2810" s="32" t="n"/>
      <c r="D2810" s="33" t="n"/>
      <c r="E2810" s="32" t="n"/>
      <c r="F2810" s="34">
        <f>IF(A2810="","",IFERROR(INT(A2810),"check date"))</f>
        <v/>
      </c>
      <c r="G2810" s="35">
        <f>IF(B2810="","",IFERROR(INDEX(Students!$A:$A,MATCH(TRIM(B2810),Students!$A:$A,0)),"NOT ON LIST"))</f>
        <v/>
      </c>
      <c r="H2810" s="35">
        <f>IF(OR(G2810="",G2810="NOT ON LIST"),"",VLOOKUP(G2810,Students!$A:$C,2,FALSE))</f>
        <v/>
      </c>
      <c r="I2810" s="35">
        <f>IF(OR(G2810="",G2810="NOT ON LIST"),"",VLOOKUP(G2810,Students!$A:$C,3,FALSE)&amp;"")</f>
        <v/>
      </c>
    </row>
    <row r="2811">
      <c r="A2811" s="31" t="n"/>
      <c r="B2811" s="32" t="n"/>
      <c r="C2811" s="32" t="n"/>
      <c r="D2811" s="33" t="n"/>
      <c r="E2811" s="32" t="n"/>
      <c r="F2811" s="34">
        <f>IF(A2811="","",IFERROR(INT(A2811),"check date"))</f>
        <v/>
      </c>
      <c r="G2811" s="35">
        <f>IF(B2811="","",IFERROR(INDEX(Students!$A:$A,MATCH(TRIM(B2811),Students!$A:$A,0)),"NOT ON LIST"))</f>
        <v/>
      </c>
      <c r="H2811" s="35">
        <f>IF(OR(G2811="",G2811="NOT ON LIST"),"",VLOOKUP(G2811,Students!$A:$C,2,FALSE))</f>
        <v/>
      </c>
      <c r="I2811" s="35">
        <f>IF(OR(G2811="",G2811="NOT ON LIST"),"",VLOOKUP(G2811,Students!$A:$C,3,FALSE)&amp;"")</f>
        <v/>
      </c>
    </row>
    <row r="2812">
      <c r="A2812" s="31" t="n"/>
      <c r="B2812" s="32" t="n"/>
      <c r="C2812" s="32" t="n"/>
      <c r="D2812" s="33" t="n"/>
      <c r="E2812" s="32" t="n"/>
      <c r="F2812" s="34">
        <f>IF(A2812="","",IFERROR(INT(A2812),"check date"))</f>
        <v/>
      </c>
      <c r="G2812" s="35">
        <f>IF(B2812="","",IFERROR(INDEX(Students!$A:$A,MATCH(TRIM(B2812),Students!$A:$A,0)),"NOT ON LIST"))</f>
        <v/>
      </c>
      <c r="H2812" s="35">
        <f>IF(OR(G2812="",G2812="NOT ON LIST"),"",VLOOKUP(G2812,Students!$A:$C,2,FALSE))</f>
        <v/>
      </c>
      <c r="I2812" s="35">
        <f>IF(OR(G2812="",G2812="NOT ON LIST"),"",VLOOKUP(G2812,Students!$A:$C,3,FALSE)&amp;"")</f>
        <v/>
      </c>
    </row>
    <row r="2813">
      <c r="A2813" s="31" t="n"/>
      <c r="B2813" s="32" t="n"/>
      <c r="C2813" s="32" t="n"/>
      <c r="D2813" s="33" t="n"/>
      <c r="E2813" s="32" t="n"/>
      <c r="F2813" s="34">
        <f>IF(A2813="","",IFERROR(INT(A2813),"check date"))</f>
        <v/>
      </c>
      <c r="G2813" s="35">
        <f>IF(B2813="","",IFERROR(INDEX(Students!$A:$A,MATCH(TRIM(B2813),Students!$A:$A,0)),"NOT ON LIST"))</f>
        <v/>
      </c>
      <c r="H2813" s="35">
        <f>IF(OR(G2813="",G2813="NOT ON LIST"),"",VLOOKUP(G2813,Students!$A:$C,2,FALSE))</f>
        <v/>
      </c>
      <c r="I2813" s="35">
        <f>IF(OR(G2813="",G2813="NOT ON LIST"),"",VLOOKUP(G2813,Students!$A:$C,3,FALSE)&amp;"")</f>
        <v/>
      </c>
    </row>
    <row r="2814">
      <c r="A2814" s="31" t="n"/>
      <c r="B2814" s="32" t="n"/>
      <c r="C2814" s="32" t="n"/>
      <c r="D2814" s="33" t="n"/>
      <c r="E2814" s="32" t="n"/>
      <c r="F2814" s="34">
        <f>IF(A2814="","",IFERROR(INT(A2814),"check date"))</f>
        <v/>
      </c>
      <c r="G2814" s="35">
        <f>IF(B2814="","",IFERROR(INDEX(Students!$A:$A,MATCH(TRIM(B2814),Students!$A:$A,0)),"NOT ON LIST"))</f>
        <v/>
      </c>
      <c r="H2814" s="35">
        <f>IF(OR(G2814="",G2814="NOT ON LIST"),"",VLOOKUP(G2814,Students!$A:$C,2,FALSE))</f>
        <v/>
      </c>
      <c r="I2814" s="35">
        <f>IF(OR(G2814="",G2814="NOT ON LIST"),"",VLOOKUP(G2814,Students!$A:$C,3,FALSE)&amp;"")</f>
        <v/>
      </c>
    </row>
    <row r="2815">
      <c r="A2815" s="31" t="n"/>
      <c r="B2815" s="32" t="n"/>
      <c r="C2815" s="32" t="n"/>
      <c r="D2815" s="33" t="n"/>
      <c r="E2815" s="32" t="n"/>
      <c r="F2815" s="34">
        <f>IF(A2815="","",IFERROR(INT(A2815),"check date"))</f>
        <v/>
      </c>
      <c r="G2815" s="35">
        <f>IF(B2815="","",IFERROR(INDEX(Students!$A:$A,MATCH(TRIM(B2815),Students!$A:$A,0)),"NOT ON LIST"))</f>
        <v/>
      </c>
      <c r="H2815" s="35">
        <f>IF(OR(G2815="",G2815="NOT ON LIST"),"",VLOOKUP(G2815,Students!$A:$C,2,FALSE))</f>
        <v/>
      </c>
      <c r="I2815" s="35">
        <f>IF(OR(G2815="",G2815="NOT ON LIST"),"",VLOOKUP(G2815,Students!$A:$C,3,FALSE)&amp;"")</f>
        <v/>
      </c>
    </row>
    <row r="2816">
      <c r="A2816" s="31" t="n"/>
      <c r="B2816" s="32" t="n"/>
      <c r="C2816" s="32" t="n"/>
      <c r="D2816" s="33" t="n"/>
      <c r="E2816" s="32" t="n"/>
      <c r="F2816" s="34">
        <f>IF(A2816="","",IFERROR(INT(A2816),"check date"))</f>
        <v/>
      </c>
      <c r="G2816" s="35">
        <f>IF(B2816="","",IFERROR(INDEX(Students!$A:$A,MATCH(TRIM(B2816),Students!$A:$A,0)),"NOT ON LIST"))</f>
        <v/>
      </c>
      <c r="H2816" s="35">
        <f>IF(OR(G2816="",G2816="NOT ON LIST"),"",VLOOKUP(G2816,Students!$A:$C,2,FALSE))</f>
        <v/>
      </c>
      <c r="I2816" s="35">
        <f>IF(OR(G2816="",G2816="NOT ON LIST"),"",VLOOKUP(G2816,Students!$A:$C,3,FALSE)&amp;"")</f>
        <v/>
      </c>
    </row>
    <row r="2817">
      <c r="A2817" s="31" t="n"/>
      <c r="B2817" s="32" t="n"/>
      <c r="C2817" s="32" t="n"/>
      <c r="D2817" s="33" t="n"/>
      <c r="E2817" s="32" t="n"/>
      <c r="F2817" s="34">
        <f>IF(A2817="","",IFERROR(INT(A2817),"check date"))</f>
        <v/>
      </c>
      <c r="G2817" s="35">
        <f>IF(B2817="","",IFERROR(INDEX(Students!$A:$A,MATCH(TRIM(B2817),Students!$A:$A,0)),"NOT ON LIST"))</f>
        <v/>
      </c>
      <c r="H2817" s="35">
        <f>IF(OR(G2817="",G2817="NOT ON LIST"),"",VLOOKUP(G2817,Students!$A:$C,2,FALSE))</f>
        <v/>
      </c>
      <c r="I2817" s="35">
        <f>IF(OR(G2817="",G2817="NOT ON LIST"),"",VLOOKUP(G2817,Students!$A:$C,3,FALSE)&amp;"")</f>
        <v/>
      </c>
    </row>
    <row r="2818">
      <c r="A2818" s="31" t="n"/>
      <c r="B2818" s="32" t="n"/>
      <c r="C2818" s="32" t="n"/>
      <c r="D2818" s="33" t="n"/>
      <c r="E2818" s="32" t="n"/>
      <c r="F2818" s="34">
        <f>IF(A2818="","",IFERROR(INT(A2818),"check date"))</f>
        <v/>
      </c>
      <c r="G2818" s="35">
        <f>IF(B2818="","",IFERROR(INDEX(Students!$A:$A,MATCH(TRIM(B2818),Students!$A:$A,0)),"NOT ON LIST"))</f>
        <v/>
      </c>
      <c r="H2818" s="35">
        <f>IF(OR(G2818="",G2818="NOT ON LIST"),"",VLOOKUP(G2818,Students!$A:$C,2,FALSE))</f>
        <v/>
      </c>
      <c r="I2818" s="35">
        <f>IF(OR(G2818="",G2818="NOT ON LIST"),"",VLOOKUP(G2818,Students!$A:$C,3,FALSE)&amp;"")</f>
        <v/>
      </c>
    </row>
    <row r="2819">
      <c r="A2819" s="31" t="n"/>
      <c r="B2819" s="32" t="n"/>
      <c r="C2819" s="32" t="n"/>
      <c r="D2819" s="33" t="n"/>
      <c r="E2819" s="32" t="n"/>
      <c r="F2819" s="34">
        <f>IF(A2819="","",IFERROR(INT(A2819),"check date"))</f>
        <v/>
      </c>
      <c r="G2819" s="35">
        <f>IF(B2819="","",IFERROR(INDEX(Students!$A:$A,MATCH(TRIM(B2819),Students!$A:$A,0)),"NOT ON LIST"))</f>
        <v/>
      </c>
      <c r="H2819" s="35">
        <f>IF(OR(G2819="",G2819="NOT ON LIST"),"",VLOOKUP(G2819,Students!$A:$C,2,FALSE))</f>
        <v/>
      </c>
      <c r="I2819" s="35">
        <f>IF(OR(G2819="",G2819="NOT ON LIST"),"",VLOOKUP(G2819,Students!$A:$C,3,FALSE)&amp;"")</f>
        <v/>
      </c>
    </row>
    <row r="2820">
      <c r="A2820" s="31" t="n"/>
      <c r="B2820" s="32" t="n"/>
      <c r="C2820" s="32" t="n"/>
      <c r="D2820" s="33" t="n"/>
      <c r="E2820" s="32" t="n"/>
      <c r="F2820" s="34">
        <f>IF(A2820="","",IFERROR(INT(A2820),"check date"))</f>
        <v/>
      </c>
      <c r="G2820" s="35">
        <f>IF(B2820="","",IFERROR(INDEX(Students!$A:$A,MATCH(TRIM(B2820),Students!$A:$A,0)),"NOT ON LIST"))</f>
        <v/>
      </c>
      <c r="H2820" s="35">
        <f>IF(OR(G2820="",G2820="NOT ON LIST"),"",VLOOKUP(G2820,Students!$A:$C,2,FALSE))</f>
        <v/>
      </c>
      <c r="I2820" s="35">
        <f>IF(OR(G2820="",G2820="NOT ON LIST"),"",VLOOKUP(G2820,Students!$A:$C,3,FALSE)&amp;"")</f>
        <v/>
      </c>
    </row>
    <row r="2821">
      <c r="A2821" s="31" t="n"/>
      <c r="B2821" s="32" t="n"/>
      <c r="C2821" s="32" t="n"/>
      <c r="D2821" s="33" t="n"/>
      <c r="E2821" s="32" t="n"/>
      <c r="F2821" s="34">
        <f>IF(A2821="","",IFERROR(INT(A2821),"check date"))</f>
        <v/>
      </c>
      <c r="G2821" s="35">
        <f>IF(B2821="","",IFERROR(INDEX(Students!$A:$A,MATCH(TRIM(B2821),Students!$A:$A,0)),"NOT ON LIST"))</f>
        <v/>
      </c>
      <c r="H2821" s="35">
        <f>IF(OR(G2821="",G2821="NOT ON LIST"),"",VLOOKUP(G2821,Students!$A:$C,2,FALSE))</f>
        <v/>
      </c>
      <c r="I2821" s="35">
        <f>IF(OR(G2821="",G2821="NOT ON LIST"),"",VLOOKUP(G2821,Students!$A:$C,3,FALSE)&amp;"")</f>
        <v/>
      </c>
    </row>
    <row r="2822">
      <c r="A2822" s="31" t="n"/>
      <c r="B2822" s="32" t="n"/>
      <c r="C2822" s="32" t="n"/>
      <c r="D2822" s="33" t="n"/>
      <c r="E2822" s="32" t="n"/>
      <c r="F2822" s="34">
        <f>IF(A2822="","",IFERROR(INT(A2822),"check date"))</f>
        <v/>
      </c>
      <c r="G2822" s="35">
        <f>IF(B2822="","",IFERROR(INDEX(Students!$A:$A,MATCH(TRIM(B2822),Students!$A:$A,0)),"NOT ON LIST"))</f>
        <v/>
      </c>
      <c r="H2822" s="35">
        <f>IF(OR(G2822="",G2822="NOT ON LIST"),"",VLOOKUP(G2822,Students!$A:$C,2,FALSE))</f>
        <v/>
      </c>
      <c r="I2822" s="35">
        <f>IF(OR(G2822="",G2822="NOT ON LIST"),"",VLOOKUP(G2822,Students!$A:$C,3,FALSE)&amp;"")</f>
        <v/>
      </c>
    </row>
    <row r="2823">
      <c r="A2823" s="31" t="n"/>
      <c r="B2823" s="32" t="n"/>
      <c r="C2823" s="32" t="n"/>
      <c r="D2823" s="33" t="n"/>
      <c r="E2823" s="32" t="n"/>
      <c r="F2823" s="34">
        <f>IF(A2823="","",IFERROR(INT(A2823),"check date"))</f>
        <v/>
      </c>
      <c r="G2823" s="35">
        <f>IF(B2823="","",IFERROR(INDEX(Students!$A:$A,MATCH(TRIM(B2823),Students!$A:$A,0)),"NOT ON LIST"))</f>
        <v/>
      </c>
      <c r="H2823" s="35">
        <f>IF(OR(G2823="",G2823="NOT ON LIST"),"",VLOOKUP(G2823,Students!$A:$C,2,FALSE))</f>
        <v/>
      </c>
      <c r="I2823" s="35">
        <f>IF(OR(G2823="",G2823="NOT ON LIST"),"",VLOOKUP(G2823,Students!$A:$C,3,FALSE)&amp;"")</f>
        <v/>
      </c>
    </row>
    <row r="2824">
      <c r="A2824" s="31" t="n"/>
      <c r="B2824" s="32" t="n"/>
      <c r="C2824" s="32" t="n"/>
      <c r="D2824" s="33" t="n"/>
      <c r="E2824" s="32" t="n"/>
      <c r="F2824" s="34">
        <f>IF(A2824="","",IFERROR(INT(A2824),"check date"))</f>
        <v/>
      </c>
      <c r="G2824" s="35">
        <f>IF(B2824="","",IFERROR(INDEX(Students!$A:$A,MATCH(TRIM(B2824),Students!$A:$A,0)),"NOT ON LIST"))</f>
        <v/>
      </c>
      <c r="H2824" s="35">
        <f>IF(OR(G2824="",G2824="NOT ON LIST"),"",VLOOKUP(G2824,Students!$A:$C,2,FALSE))</f>
        <v/>
      </c>
      <c r="I2824" s="35">
        <f>IF(OR(G2824="",G2824="NOT ON LIST"),"",VLOOKUP(G2824,Students!$A:$C,3,FALSE)&amp;"")</f>
        <v/>
      </c>
    </row>
    <row r="2825">
      <c r="A2825" s="31" t="n"/>
      <c r="B2825" s="32" t="n"/>
      <c r="C2825" s="32" t="n"/>
      <c r="D2825" s="33" t="n"/>
      <c r="E2825" s="32" t="n"/>
      <c r="F2825" s="34">
        <f>IF(A2825="","",IFERROR(INT(A2825),"check date"))</f>
        <v/>
      </c>
      <c r="G2825" s="35">
        <f>IF(B2825="","",IFERROR(INDEX(Students!$A:$A,MATCH(TRIM(B2825),Students!$A:$A,0)),"NOT ON LIST"))</f>
        <v/>
      </c>
      <c r="H2825" s="35">
        <f>IF(OR(G2825="",G2825="NOT ON LIST"),"",VLOOKUP(G2825,Students!$A:$C,2,FALSE))</f>
        <v/>
      </c>
      <c r="I2825" s="35">
        <f>IF(OR(G2825="",G2825="NOT ON LIST"),"",VLOOKUP(G2825,Students!$A:$C,3,FALSE)&amp;"")</f>
        <v/>
      </c>
    </row>
    <row r="2826">
      <c r="A2826" s="31" t="n"/>
      <c r="B2826" s="32" t="n"/>
      <c r="C2826" s="32" t="n"/>
      <c r="D2826" s="33" t="n"/>
      <c r="E2826" s="32" t="n"/>
      <c r="F2826" s="34">
        <f>IF(A2826="","",IFERROR(INT(A2826),"check date"))</f>
        <v/>
      </c>
      <c r="G2826" s="35">
        <f>IF(B2826="","",IFERROR(INDEX(Students!$A:$A,MATCH(TRIM(B2826),Students!$A:$A,0)),"NOT ON LIST"))</f>
        <v/>
      </c>
      <c r="H2826" s="35">
        <f>IF(OR(G2826="",G2826="NOT ON LIST"),"",VLOOKUP(G2826,Students!$A:$C,2,FALSE))</f>
        <v/>
      </c>
      <c r="I2826" s="35">
        <f>IF(OR(G2826="",G2826="NOT ON LIST"),"",VLOOKUP(G2826,Students!$A:$C,3,FALSE)&amp;"")</f>
        <v/>
      </c>
    </row>
    <row r="2827">
      <c r="A2827" s="31" t="n"/>
      <c r="B2827" s="32" t="n"/>
      <c r="C2827" s="32" t="n"/>
      <c r="D2827" s="33" t="n"/>
      <c r="E2827" s="32" t="n"/>
      <c r="F2827" s="34">
        <f>IF(A2827="","",IFERROR(INT(A2827),"check date"))</f>
        <v/>
      </c>
      <c r="G2827" s="35">
        <f>IF(B2827="","",IFERROR(INDEX(Students!$A:$A,MATCH(TRIM(B2827),Students!$A:$A,0)),"NOT ON LIST"))</f>
        <v/>
      </c>
      <c r="H2827" s="35">
        <f>IF(OR(G2827="",G2827="NOT ON LIST"),"",VLOOKUP(G2827,Students!$A:$C,2,FALSE))</f>
        <v/>
      </c>
      <c r="I2827" s="35">
        <f>IF(OR(G2827="",G2827="NOT ON LIST"),"",VLOOKUP(G2827,Students!$A:$C,3,FALSE)&amp;"")</f>
        <v/>
      </c>
    </row>
    <row r="2828">
      <c r="A2828" s="31" t="n"/>
      <c r="B2828" s="32" t="n"/>
      <c r="C2828" s="32" t="n"/>
      <c r="D2828" s="33" t="n"/>
      <c r="E2828" s="32" t="n"/>
      <c r="F2828" s="34">
        <f>IF(A2828="","",IFERROR(INT(A2828),"check date"))</f>
        <v/>
      </c>
      <c r="G2828" s="35">
        <f>IF(B2828="","",IFERROR(INDEX(Students!$A:$A,MATCH(TRIM(B2828),Students!$A:$A,0)),"NOT ON LIST"))</f>
        <v/>
      </c>
      <c r="H2828" s="35">
        <f>IF(OR(G2828="",G2828="NOT ON LIST"),"",VLOOKUP(G2828,Students!$A:$C,2,FALSE))</f>
        <v/>
      </c>
      <c r="I2828" s="35">
        <f>IF(OR(G2828="",G2828="NOT ON LIST"),"",VLOOKUP(G2828,Students!$A:$C,3,FALSE)&amp;"")</f>
        <v/>
      </c>
    </row>
    <row r="2829">
      <c r="A2829" s="31" t="n"/>
      <c r="B2829" s="32" t="n"/>
      <c r="C2829" s="32" t="n"/>
      <c r="D2829" s="33" t="n"/>
      <c r="E2829" s="32" t="n"/>
      <c r="F2829" s="34">
        <f>IF(A2829="","",IFERROR(INT(A2829),"check date"))</f>
        <v/>
      </c>
      <c r="G2829" s="35">
        <f>IF(B2829="","",IFERROR(INDEX(Students!$A:$A,MATCH(TRIM(B2829),Students!$A:$A,0)),"NOT ON LIST"))</f>
        <v/>
      </c>
      <c r="H2829" s="35">
        <f>IF(OR(G2829="",G2829="NOT ON LIST"),"",VLOOKUP(G2829,Students!$A:$C,2,FALSE))</f>
        <v/>
      </c>
      <c r="I2829" s="35">
        <f>IF(OR(G2829="",G2829="NOT ON LIST"),"",VLOOKUP(G2829,Students!$A:$C,3,FALSE)&amp;"")</f>
        <v/>
      </c>
    </row>
    <row r="2830">
      <c r="A2830" s="31" t="n"/>
      <c r="B2830" s="32" t="n"/>
      <c r="C2830" s="32" t="n"/>
      <c r="D2830" s="33" t="n"/>
      <c r="E2830" s="32" t="n"/>
      <c r="F2830" s="34">
        <f>IF(A2830="","",IFERROR(INT(A2830),"check date"))</f>
        <v/>
      </c>
      <c r="G2830" s="35">
        <f>IF(B2830="","",IFERROR(INDEX(Students!$A:$A,MATCH(TRIM(B2830),Students!$A:$A,0)),"NOT ON LIST"))</f>
        <v/>
      </c>
      <c r="H2830" s="35">
        <f>IF(OR(G2830="",G2830="NOT ON LIST"),"",VLOOKUP(G2830,Students!$A:$C,2,FALSE))</f>
        <v/>
      </c>
      <c r="I2830" s="35">
        <f>IF(OR(G2830="",G2830="NOT ON LIST"),"",VLOOKUP(G2830,Students!$A:$C,3,FALSE)&amp;"")</f>
        <v/>
      </c>
    </row>
    <row r="2831">
      <c r="A2831" s="31" t="n"/>
      <c r="B2831" s="32" t="n"/>
      <c r="C2831" s="32" t="n"/>
      <c r="D2831" s="33" t="n"/>
      <c r="E2831" s="32" t="n"/>
      <c r="F2831" s="34">
        <f>IF(A2831="","",IFERROR(INT(A2831),"check date"))</f>
        <v/>
      </c>
      <c r="G2831" s="35">
        <f>IF(B2831="","",IFERROR(INDEX(Students!$A:$A,MATCH(TRIM(B2831),Students!$A:$A,0)),"NOT ON LIST"))</f>
        <v/>
      </c>
      <c r="H2831" s="35">
        <f>IF(OR(G2831="",G2831="NOT ON LIST"),"",VLOOKUP(G2831,Students!$A:$C,2,FALSE))</f>
        <v/>
      </c>
      <c r="I2831" s="35">
        <f>IF(OR(G2831="",G2831="NOT ON LIST"),"",VLOOKUP(G2831,Students!$A:$C,3,FALSE)&amp;"")</f>
        <v/>
      </c>
    </row>
    <row r="2832">
      <c r="A2832" s="31" t="n"/>
      <c r="B2832" s="32" t="n"/>
      <c r="C2832" s="32" t="n"/>
      <c r="D2832" s="33" t="n"/>
      <c r="E2832" s="32" t="n"/>
      <c r="F2832" s="34">
        <f>IF(A2832="","",IFERROR(INT(A2832),"check date"))</f>
        <v/>
      </c>
      <c r="G2832" s="35">
        <f>IF(B2832="","",IFERROR(INDEX(Students!$A:$A,MATCH(TRIM(B2832),Students!$A:$A,0)),"NOT ON LIST"))</f>
        <v/>
      </c>
      <c r="H2832" s="35">
        <f>IF(OR(G2832="",G2832="NOT ON LIST"),"",VLOOKUP(G2832,Students!$A:$C,2,FALSE))</f>
        <v/>
      </c>
      <c r="I2832" s="35">
        <f>IF(OR(G2832="",G2832="NOT ON LIST"),"",VLOOKUP(G2832,Students!$A:$C,3,FALSE)&amp;"")</f>
        <v/>
      </c>
    </row>
    <row r="2833">
      <c r="A2833" s="31" t="n"/>
      <c r="B2833" s="32" t="n"/>
      <c r="C2833" s="32" t="n"/>
      <c r="D2833" s="33" t="n"/>
      <c r="E2833" s="32" t="n"/>
      <c r="F2833" s="34">
        <f>IF(A2833="","",IFERROR(INT(A2833),"check date"))</f>
        <v/>
      </c>
      <c r="G2833" s="35">
        <f>IF(B2833="","",IFERROR(INDEX(Students!$A:$A,MATCH(TRIM(B2833),Students!$A:$A,0)),"NOT ON LIST"))</f>
        <v/>
      </c>
      <c r="H2833" s="35">
        <f>IF(OR(G2833="",G2833="NOT ON LIST"),"",VLOOKUP(G2833,Students!$A:$C,2,FALSE))</f>
        <v/>
      </c>
      <c r="I2833" s="35">
        <f>IF(OR(G2833="",G2833="NOT ON LIST"),"",VLOOKUP(G2833,Students!$A:$C,3,FALSE)&amp;"")</f>
        <v/>
      </c>
    </row>
    <row r="2834">
      <c r="A2834" s="31" t="n"/>
      <c r="B2834" s="32" t="n"/>
      <c r="C2834" s="32" t="n"/>
      <c r="D2834" s="33" t="n"/>
      <c r="E2834" s="32" t="n"/>
      <c r="F2834" s="34">
        <f>IF(A2834="","",IFERROR(INT(A2834),"check date"))</f>
        <v/>
      </c>
      <c r="G2834" s="35">
        <f>IF(B2834="","",IFERROR(INDEX(Students!$A:$A,MATCH(TRIM(B2834),Students!$A:$A,0)),"NOT ON LIST"))</f>
        <v/>
      </c>
      <c r="H2834" s="35">
        <f>IF(OR(G2834="",G2834="NOT ON LIST"),"",VLOOKUP(G2834,Students!$A:$C,2,FALSE))</f>
        <v/>
      </c>
      <c r="I2834" s="35">
        <f>IF(OR(G2834="",G2834="NOT ON LIST"),"",VLOOKUP(G2834,Students!$A:$C,3,FALSE)&amp;"")</f>
        <v/>
      </c>
    </row>
    <row r="2835">
      <c r="A2835" s="31" t="n"/>
      <c r="B2835" s="32" t="n"/>
      <c r="C2835" s="32" t="n"/>
      <c r="D2835" s="33" t="n"/>
      <c r="E2835" s="32" t="n"/>
      <c r="F2835" s="34">
        <f>IF(A2835="","",IFERROR(INT(A2835),"check date"))</f>
        <v/>
      </c>
      <c r="G2835" s="35">
        <f>IF(B2835="","",IFERROR(INDEX(Students!$A:$A,MATCH(TRIM(B2835),Students!$A:$A,0)),"NOT ON LIST"))</f>
        <v/>
      </c>
      <c r="H2835" s="35">
        <f>IF(OR(G2835="",G2835="NOT ON LIST"),"",VLOOKUP(G2835,Students!$A:$C,2,FALSE))</f>
        <v/>
      </c>
      <c r="I2835" s="35">
        <f>IF(OR(G2835="",G2835="NOT ON LIST"),"",VLOOKUP(G2835,Students!$A:$C,3,FALSE)&amp;"")</f>
        <v/>
      </c>
    </row>
    <row r="2836">
      <c r="A2836" s="31" t="n"/>
      <c r="B2836" s="32" t="n"/>
      <c r="C2836" s="32" t="n"/>
      <c r="D2836" s="33" t="n"/>
      <c r="E2836" s="32" t="n"/>
      <c r="F2836" s="34">
        <f>IF(A2836="","",IFERROR(INT(A2836),"check date"))</f>
        <v/>
      </c>
      <c r="G2836" s="35">
        <f>IF(B2836="","",IFERROR(INDEX(Students!$A:$A,MATCH(TRIM(B2836),Students!$A:$A,0)),"NOT ON LIST"))</f>
        <v/>
      </c>
      <c r="H2836" s="35">
        <f>IF(OR(G2836="",G2836="NOT ON LIST"),"",VLOOKUP(G2836,Students!$A:$C,2,FALSE))</f>
        <v/>
      </c>
      <c r="I2836" s="35">
        <f>IF(OR(G2836="",G2836="NOT ON LIST"),"",VLOOKUP(G2836,Students!$A:$C,3,FALSE)&amp;"")</f>
        <v/>
      </c>
    </row>
    <row r="2837">
      <c r="A2837" s="31" t="n"/>
      <c r="B2837" s="32" t="n"/>
      <c r="C2837" s="32" t="n"/>
      <c r="D2837" s="33" t="n"/>
      <c r="E2837" s="32" t="n"/>
      <c r="F2837" s="34">
        <f>IF(A2837="","",IFERROR(INT(A2837),"check date"))</f>
        <v/>
      </c>
      <c r="G2837" s="35">
        <f>IF(B2837="","",IFERROR(INDEX(Students!$A:$A,MATCH(TRIM(B2837),Students!$A:$A,0)),"NOT ON LIST"))</f>
        <v/>
      </c>
      <c r="H2837" s="35">
        <f>IF(OR(G2837="",G2837="NOT ON LIST"),"",VLOOKUP(G2837,Students!$A:$C,2,FALSE))</f>
        <v/>
      </c>
      <c r="I2837" s="35">
        <f>IF(OR(G2837="",G2837="NOT ON LIST"),"",VLOOKUP(G2837,Students!$A:$C,3,FALSE)&amp;"")</f>
        <v/>
      </c>
    </row>
    <row r="2838">
      <c r="A2838" s="31" t="n"/>
      <c r="B2838" s="32" t="n"/>
      <c r="C2838" s="32" t="n"/>
      <c r="D2838" s="33" t="n"/>
      <c r="E2838" s="32" t="n"/>
      <c r="F2838" s="34">
        <f>IF(A2838="","",IFERROR(INT(A2838),"check date"))</f>
        <v/>
      </c>
      <c r="G2838" s="35">
        <f>IF(B2838="","",IFERROR(INDEX(Students!$A:$A,MATCH(TRIM(B2838),Students!$A:$A,0)),"NOT ON LIST"))</f>
        <v/>
      </c>
      <c r="H2838" s="35">
        <f>IF(OR(G2838="",G2838="NOT ON LIST"),"",VLOOKUP(G2838,Students!$A:$C,2,FALSE))</f>
        <v/>
      </c>
      <c r="I2838" s="35">
        <f>IF(OR(G2838="",G2838="NOT ON LIST"),"",VLOOKUP(G2838,Students!$A:$C,3,FALSE)&amp;"")</f>
        <v/>
      </c>
    </row>
    <row r="2839">
      <c r="A2839" s="31" t="n"/>
      <c r="B2839" s="32" t="n"/>
      <c r="C2839" s="32" t="n"/>
      <c r="D2839" s="33" t="n"/>
      <c r="E2839" s="32" t="n"/>
      <c r="F2839" s="34">
        <f>IF(A2839="","",IFERROR(INT(A2839),"check date"))</f>
        <v/>
      </c>
      <c r="G2839" s="35">
        <f>IF(B2839="","",IFERROR(INDEX(Students!$A:$A,MATCH(TRIM(B2839),Students!$A:$A,0)),"NOT ON LIST"))</f>
        <v/>
      </c>
      <c r="H2839" s="35">
        <f>IF(OR(G2839="",G2839="NOT ON LIST"),"",VLOOKUP(G2839,Students!$A:$C,2,FALSE))</f>
        <v/>
      </c>
      <c r="I2839" s="35">
        <f>IF(OR(G2839="",G2839="NOT ON LIST"),"",VLOOKUP(G2839,Students!$A:$C,3,FALSE)&amp;"")</f>
        <v/>
      </c>
    </row>
    <row r="2840">
      <c r="A2840" s="31" t="n"/>
      <c r="B2840" s="32" t="n"/>
      <c r="C2840" s="32" t="n"/>
      <c r="D2840" s="33" t="n"/>
      <c r="E2840" s="32" t="n"/>
      <c r="F2840" s="34">
        <f>IF(A2840="","",IFERROR(INT(A2840),"check date"))</f>
        <v/>
      </c>
      <c r="G2840" s="35">
        <f>IF(B2840="","",IFERROR(INDEX(Students!$A:$A,MATCH(TRIM(B2840),Students!$A:$A,0)),"NOT ON LIST"))</f>
        <v/>
      </c>
      <c r="H2840" s="35">
        <f>IF(OR(G2840="",G2840="NOT ON LIST"),"",VLOOKUP(G2840,Students!$A:$C,2,FALSE))</f>
        <v/>
      </c>
      <c r="I2840" s="35">
        <f>IF(OR(G2840="",G2840="NOT ON LIST"),"",VLOOKUP(G2840,Students!$A:$C,3,FALSE)&amp;"")</f>
        <v/>
      </c>
    </row>
    <row r="2841">
      <c r="A2841" s="31" t="n"/>
      <c r="B2841" s="32" t="n"/>
      <c r="C2841" s="32" t="n"/>
      <c r="D2841" s="33" t="n"/>
      <c r="E2841" s="32" t="n"/>
      <c r="F2841" s="34">
        <f>IF(A2841="","",IFERROR(INT(A2841),"check date"))</f>
        <v/>
      </c>
      <c r="G2841" s="35">
        <f>IF(B2841="","",IFERROR(INDEX(Students!$A:$A,MATCH(TRIM(B2841),Students!$A:$A,0)),"NOT ON LIST"))</f>
        <v/>
      </c>
      <c r="H2841" s="35">
        <f>IF(OR(G2841="",G2841="NOT ON LIST"),"",VLOOKUP(G2841,Students!$A:$C,2,FALSE))</f>
        <v/>
      </c>
      <c r="I2841" s="35">
        <f>IF(OR(G2841="",G2841="NOT ON LIST"),"",VLOOKUP(G2841,Students!$A:$C,3,FALSE)&amp;"")</f>
        <v/>
      </c>
    </row>
    <row r="2842">
      <c r="A2842" s="31" t="n"/>
      <c r="B2842" s="32" t="n"/>
      <c r="C2842" s="32" t="n"/>
      <c r="D2842" s="33" t="n"/>
      <c r="E2842" s="32" t="n"/>
      <c r="F2842" s="34">
        <f>IF(A2842="","",IFERROR(INT(A2842),"check date"))</f>
        <v/>
      </c>
      <c r="G2842" s="35">
        <f>IF(B2842="","",IFERROR(INDEX(Students!$A:$A,MATCH(TRIM(B2842),Students!$A:$A,0)),"NOT ON LIST"))</f>
        <v/>
      </c>
      <c r="H2842" s="35">
        <f>IF(OR(G2842="",G2842="NOT ON LIST"),"",VLOOKUP(G2842,Students!$A:$C,2,FALSE))</f>
        <v/>
      </c>
      <c r="I2842" s="35">
        <f>IF(OR(G2842="",G2842="NOT ON LIST"),"",VLOOKUP(G2842,Students!$A:$C,3,FALSE)&amp;"")</f>
        <v/>
      </c>
    </row>
    <row r="2843">
      <c r="A2843" s="31" t="n"/>
      <c r="B2843" s="32" t="n"/>
      <c r="C2843" s="32" t="n"/>
      <c r="D2843" s="33" t="n"/>
      <c r="E2843" s="32" t="n"/>
      <c r="F2843" s="34">
        <f>IF(A2843="","",IFERROR(INT(A2843),"check date"))</f>
        <v/>
      </c>
      <c r="G2843" s="35">
        <f>IF(B2843="","",IFERROR(INDEX(Students!$A:$A,MATCH(TRIM(B2843),Students!$A:$A,0)),"NOT ON LIST"))</f>
        <v/>
      </c>
      <c r="H2843" s="35">
        <f>IF(OR(G2843="",G2843="NOT ON LIST"),"",VLOOKUP(G2843,Students!$A:$C,2,FALSE))</f>
        <v/>
      </c>
      <c r="I2843" s="35">
        <f>IF(OR(G2843="",G2843="NOT ON LIST"),"",VLOOKUP(G2843,Students!$A:$C,3,FALSE)&amp;"")</f>
        <v/>
      </c>
    </row>
    <row r="2844">
      <c r="A2844" s="31" t="n"/>
      <c r="B2844" s="32" t="n"/>
      <c r="C2844" s="32" t="n"/>
      <c r="D2844" s="33" t="n"/>
      <c r="E2844" s="32" t="n"/>
      <c r="F2844" s="34">
        <f>IF(A2844="","",IFERROR(INT(A2844),"check date"))</f>
        <v/>
      </c>
      <c r="G2844" s="35">
        <f>IF(B2844="","",IFERROR(INDEX(Students!$A:$A,MATCH(TRIM(B2844),Students!$A:$A,0)),"NOT ON LIST"))</f>
        <v/>
      </c>
      <c r="H2844" s="35">
        <f>IF(OR(G2844="",G2844="NOT ON LIST"),"",VLOOKUP(G2844,Students!$A:$C,2,FALSE))</f>
        <v/>
      </c>
      <c r="I2844" s="35">
        <f>IF(OR(G2844="",G2844="NOT ON LIST"),"",VLOOKUP(G2844,Students!$A:$C,3,FALSE)&amp;"")</f>
        <v/>
      </c>
    </row>
    <row r="2845">
      <c r="A2845" s="31" t="n"/>
      <c r="B2845" s="32" t="n"/>
      <c r="C2845" s="32" t="n"/>
      <c r="D2845" s="33" t="n"/>
      <c r="E2845" s="32" t="n"/>
      <c r="F2845" s="34">
        <f>IF(A2845="","",IFERROR(INT(A2845),"check date"))</f>
        <v/>
      </c>
      <c r="G2845" s="35">
        <f>IF(B2845="","",IFERROR(INDEX(Students!$A:$A,MATCH(TRIM(B2845),Students!$A:$A,0)),"NOT ON LIST"))</f>
        <v/>
      </c>
      <c r="H2845" s="35">
        <f>IF(OR(G2845="",G2845="NOT ON LIST"),"",VLOOKUP(G2845,Students!$A:$C,2,FALSE))</f>
        <v/>
      </c>
      <c r="I2845" s="35">
        <f>IF(OR(G2845="",G2845="NOT ON LIST"),"",VLOOKUP(G2845,Students!$A:$C,3,FALSE)&amp;"")</f>
        <v/>
      </c>
    </row>
    <row r="2846">
      <c r="A2846" s="31" t="n"/>
      <c r="B2846" s="32" t="n"/>
      <c r="C2846" s="32" t="n"/>
      <c r="D2846" s="33" t="n"/>
      <c r="E2846" s="32" t="n"/>
      <c r="F2846" s="34">
        <f>IF(A2846="","",IFERROR(INT(A2846),"check date"))</f>
        <v/>
      </c>
      <c r="G2846" s="35">
        <f>IF(B2846="","",IFERROR(INDEX(Students!$A:$A,MATCH(TRIM(B2846),Students!$A:$A,0)),"NOT ON LIST"))</f>
        <v/>
      </c>
      <c r="H2846" s="35">
        <f>IF(OR(G2846="",G2846="NOT ON LIST"),"",VLOOKUP(G2846,Students!$A:$C,2,FALSE))</f>
        <v/>
      </c>
      <c r="I2846" s="35">
        <f>IF(OR(G2846="",G2846="NOT ON LIST"),"",VLOOKUP(G2846,Students!$A:$C,3,FALSE)&amp;"")</f>
        <v/>
      </c>
    </row>
    <row r="2847">
      <c r="A2847" s="31" t="n"/>
      <c r="B2847" s="32" t="n"/>
      <c r="C2847" s="32" t="n"/>
      <c r="D2847" s="33" t="n"/>
      <c r="E2847" s="32" t="n"/>
      <c r="F2847" s="34">
        <f>IF(A2847="","",IFERROR(INT(A2847),"check date"))</f>
        <v/>
      </c>
      <c r="G2847" s="35">
        <f>IF(B2847="","",IFERROR(INDEX(Students!$A:$A,MATCH(TRIM(B2847),Students!$A:$A,0)),"NOT ON LIST"))</f>
        <v/>
      </c>
      <c r="H2847" s="35">
        <f>IF(OR(G2847="",G2847="NOT ON LIST"),"",VLOOKUP(G2847,Students!$A:$C,2,FALSE))</f>
        <v/>
      </c>
      <c r="I2847" s="35">
        <f>IF(OR(G2847="",G2847="NOT ON LIST"),"",VLOOKUP(G2847,Students!$A:$C,3,FALSE)&amp;"")</f>
        <v/>
      </c>
    </row>
    <row r="2848">
      <c r="A2848" s="31" t="n"/>
      <c r="B2848" s="32" t="n"/>
      <c r="C2848" s="32" t="n"/>
      <c r="D2848" s="33" t="n"/>
      <c r="E2848" s="32" t="n"/>
      <c r="F2848" s="34">
        <f>IF(A2848="","",IFERROR(INT(A2848),"check date"))</f>
        <v/>
      </c>
      <c r="G2848" s="35">
        <f>IF(B2848="","",IFERROR(INDEX(Students!$A:$A,MATCH(TRIM(B2848),Students!$A:$A,0)),"NOT ON LIST"))</f>
        <v/>
      </c>
      <c r="H2848" s="35">
        <f>IF(OR(G2848="",G2848="NOT ON LIST"),"",VLOOKUP(G2848,Students!$A:$C,2,FALSE))</f>
        <v/>
      </c>
      <c r="I2848" s="35">
        <f>IF(OR(G2848="",G2848="NOT ON LIST"),"",VLOOKUP(G2848,Students!$A:$C,3,FALSE)&amp;"")</f>
        <v/>
      </c>
    </row>
    <row r="2849">
      <c r="A2849" s="31" t="n"/>
      <c r="B2849" s="32" t="n"/>
      <c r="C2849" s="32" t="n"/>
      <c r="D2849" s="33" t="n"/>
      <c r="E2849" s="32" t="n"/>
      <c r="F2849" s="34">
        <f>IF(A2849="","",IFERROR(INT(A2849),"check date"))</f>
        <v/>
      </c>
      <c r="G2849" s="35">
        <f>IF(B2849="","",IFERROR(INDEX(Students!$A:$A,MATCH(TRIM(B2849),Students!$A:$A,0)),"NOT ON LIST"))</f>
        <v/>
      </c>
      <c r="H2849" s="35">
        <f>IF(OR(G2849="",G2849="NOT ON LIST"),"",VLOOKUP(G2849,Students!$A:$C,2,FALSE))</f>
        <v/>
      </c>
      <c r="I2849" s="35">
        <f>IF(OR(G2849="",G2849="NOT ON LIST"),"",VLOOKUP(G2849,Students!$A:$C,3,FALSE)&amp;"")</f>
        <v/>
      </c>
    </row>
    <row r="2850">
      <c r="A2850" s="31" t="n"/>
      <c r="B2850" s="32" t="n"/>
      <c r="C2850" s="32" t="n"/>
      <c r="D2850" s="33" t="n"/>
      <c r="E2850" s="32" t="n"/>
      <c r="F2850" s="34">
        <f>IF(A2850="","",IFERROR(INT(A2850),"check date"))</f>
        <v/>
      </c>
      <c r="G2850" s="35">
        <f>IF(B2850="","",IFERROR(INDEX(Students!$A:$A,MATCH(TRIM(B2850),Students!$A:$A,0)),"NOT ON LIST"))</f>
        <v/>
      </c>
      <c r="H2850" s="35">
        <f>IF(OR(G2850="",G2850="NOT ON LIST"),"",VLOOKUP(G2850,Students!$A:$C,2,FALSE))</f>
        <v/>
      </c>
      <c r="I2850" s="35">
        <f>IF(OR(G2850="",G2850="NOT ON LIST"),"",VLOOKUP(G2850,Students!$A:$C,3,FALSE)&amp;"")</f>
        <v/>
      </c>
    </row>
    <row r="2851">
      <c r="A2851" s="31" t="n"/>
      <c r="B2851" s="32" t="n"/>
      <c r="C2851" s="32" t="n"/>
      <c r="D2851" s="33" t="n"/>
      <c r="E2851" s="32" t="n"/>
      <c r="F2851" s="34">
        <f>IF(A2851="","",IFERROR(INT(A2851),"check date"))</f>
        <v/>
      </c>
      <c r="G2851" s="35">
        <f>IF(B2851="","",IFERROR(INDEX(Students!$A:$A,MATCH(TRIM(B2851),Students!$A:$A,0)),"NOT ON LIST"))</f>
        <v/>
      </c>
      <c r="H2851" s="35">
        <f>IF(OR(G2851="",G2851="NOT ON LIST"),"",VLOOKUP(G2851,Students!$A:$C,2,FALSE))</f>
        <v/>
      </c>
      <c r="I2851" s="35">
        <f>IF(OR(G2851="",G2851="NOT ON LIST"),"",VLOOKUP(G2851,Students!$A:$C,3,FALSE)&amp;"")</f>
        <v/>
      </c>
    </row>
    <row r="2852">
      <c r="A2852" s="31" t="n"/>
      <c r="B2852" s="32" t="n"/>
      <c r="C2852" s="32" t="n"/>
      <c r="D2852" s="33" t="n"/>
      <c r="E2852" s="32" t="n"/>
      <c r="F2852" s="34">
        <f>IF(A2852="","",IFERROR(INT(A2852),"check date"))</f>
        <v/>
      </c>
      <c r="G2852" s="35">
        <f>IF(B2852="","",IFERROR(INDEX(Students!$A:$A,MATCH(TRIM(B2852),Students!$A:$A,0)),"NOT ON LIST"))</f>
        <v/>
      </c>
      <c r="H2852" s="35">
        <f>IF(OR(G2852="",G2852="NOT ON LIST"),"",VLOOKUP(G2852,Students!$A:$C,2,FALSE))</f>
        <v/>
      </c>
      <c r="I2852" s="35">
        <f>IF(OR(G2852="",G2852="NOT ON LIST"),"",VLOOKUP(G2852,Students!$A:$C,3,FALSE)&amp;"")</f>
        <v/>
      </c>
    </row>
    <row r="2853">
      <c r="A2853" s="31" t="n"/>
      <c r="B2853" s="32" t="n"/>
      <c r="C2853" s="32" t="n"/>
      <c r="D2853" s="33" t="n"/>
      <c r="E2853" s="32" t="n"/>
      <c r="F2853" s="34">
        <f>IF(A2853="","",IFERROR(INT(A2853),"check date"))</f>
        <v/>
      </c>
      <c r="G2853" s="35">
        <f>IF(B2853="","",IFERROR(INDEX(Students!$A:$A,MATCH(TRIM(B2853),Students!$A:$A,0)),"NOT ON LIST"))</f>
        <v/>
      </c>
      <c r="H2853" s="35">
        <f>IF(OR(G2853="",G2853="NOT ON LIST"),"",VLOOKUP(G2853,Students!$A:$C,2,FALSE))</f>
        <v/>
      </c>
      <c r="I2853" s="35">
        <f>IF(OR(G2853="",G2853="NOT ON LIST"),"",VLOOKUP(G2853,Students!$A:$C,3,FALSE)&amp;"")</f>
        <v/>
      </c>
    </row>
    <row r="2854">
      <c r="A2854" s="31" t="n"/>
      <c r="B2854" s="32" t="n"/>
      <c r="C2854" s="32" t="n"/>
      <c r="D2854" s="33" t="n"/>
      <c r="E2854" s="32" t="n"/>
      <c r="F2854" s="34">
        <f>IF(A2854="","",IFERROR(INT(A2854),"check date"))</f>
        <v/>
      </c>
      <c r="G2854" s="35">
        <f>IF(B2854="","",IFERROR(INDEX(Students!$A:$A,MATCH(TRIM(B2854),Students!$A:$A,0)),"NOT ON LIST"))</f>
        <v/>
      </c>
      <c r="H2854" s="35">
        <f>IF(OR(G2854="",G2854="NOT ON LIST"),"",VLOOKUP(G2854,Students!$A:$C,2,FALSE))</f>
        <v/>
      </c>
      <c r="I2854" s="35">
        <f>IF(OR(G2854="",G2854="NOT ON LIST"),"",VLOOKUP(G2854,Students!$A:$C,3,FALSE)&amp;"")</f>
        <v/>
      </c>
    </row>
    <row r="2855">
      <c r="A2855" s="31" t="n"/>
      <c r="B2855" s="32" t="n"/>
      <c r="C2855" s="32" t="n"/>
      <c r="D2855" s="33" t="n"/>
      <c r="E2855" s="32" t="n"/>
      <c r="F2855" s="34">
        <f>IF(A2855="","",IFERROR(INT(A2855),"check date"))</f>
        <v/>
      </c>
      <c r="G2855" s="35">
        <f>IF(B2855="","",IFERROR(INDEX(Students!$A:$A,MATCH(TRIM(B2855),Students!$A:$A,0)),"NOT ON LIST"))</f>
        <v/>
      </c>
      <c r="H2855" s="35">
        <f>IF(OR(G2855="",G2855="NOT ON LIST"),"",VLOOKUP(G2855,Students!$A:$C,2,FALSE))</f>
        <v/>
      </c>
      <c r="I2855" s="35">
        <f>IF(OR(G2855="",G2855="NOT ON LIST"),"",VLOOKUP(G2855,Students!$A:$C,3,FALSE)&amp;"")</f>
        <v/>
      </c>
    </row>
    <row r="2856">
      <c r="A2856" s="31" t="n"/>
      <c r="B2856" s="32" t="n"/>
      <c r="C2856" s="32" t="n"/>
      <c r="D2856" s="33" t="n"/>
      <c r="E2856" s="32" t="n"/>
      <c r="F2856" s="34">
        <f>IF(A2856="","",IFERROR(INT(A2856),"check date"))</f>
        <v/>
      </c>
      <c r="G2856" s="35">
        <f>IF(B2856="","",IFERROR(INDEX(Students!$A:$A,MATCH(TRIM(B2856),Students!$A:$A,0)),"NOT ON LIST"))</f>
        <v/>
      </c>
      <c r="H2856" s="35">
        <f>IF(OR(G2856="",G2856="NOT ON LIST"),"",VLOOKUP(G2856,Students!$A:$C,2,FALSE))</f>
        <v/>
      </c>
      <c r="I2856" s="35">
        <f>IF(OR(G2856="",G2856="NOT ON LIST"),"",VLOOKUP(G2856,Students!$A:$C,3,FALSE)&amp;"")</f>
        <v/>
      </c>
    </row>
    <row r="2857">
      <c r="A2857" s="31" t="n"/>
      <c r="B2857" s="32" t="n"/>
      <c r="C2857" s="32" t="n"/>
      <c r="D2857" s="33" t="n"/>
      <c r="E2857" s="32" t="n"/>
      <c r="F2857" s="34">
        <f>IF(A2857="","",IFERROR(INT(A2857),"check date"))</f>
        <v/>
      </c>
      <c r="G2857" s="35">
        <f>IF(B2857="","",IFERROR(INDEX(Students!$A:$A,MATCH(TRIM(B2857),Students!$A:$A,0)),"NOT ON LIST"))</f>
        <v/>
      </c>
      <c r="H2857" s="35">
        <f>IF(OR(G2857="",G2857="NOT ON LIST"),"",VLOOKUP(G2857,Students!$A:$C,2,FALSE))</f>
        <v/>
      </c>
      <c r="I2857" s="35">
        <f>IF(OR(G2857="",G2857="NOT ON LIST"),"",VLOOKUP(G2857,Students!$A:$C,3,FALSE)&amp;"")</f>
        <v/>
      </c>
    </row>
    <row r="2858">
      <c r="A2858" s="31" t="n"/>
      <c r="B2858" s="32" t="n"/>
      <c r="C2858" s="32" t="n"/>
      <c r="D2858" s="33" t="n"/>
      <c r="E2858" s="32" t="n"/>
      <c r="F2858" s="34">
        <f>IF(A2858="","",IFERROR(INT(A2858),"check date"))</f>
        <v/>
      </c>
      <c r="G2858" s="35">
        <f>IF(B2858="","",IFERROR(INDEX(Students!$A:$A,MATCH(TRIM(B2858),Students!$A:$A,0)),"NOT ON LIST"))</f>
        <v/>
      </c>
      <c r="H2858" s="35">
        <f>IF(OR(G2858="",G2858="NOT ON LIST"),"",VLOOKUP(G2858,Students!$A:$C,2,FALSE))</f>
        <v/>
      </c>
      <c r="I2858" s="35">
        <f>IF(OR(G2858="",G2858="NOT ON LIST"),"",VLOOKUP(G2858,Students!$A:$C,3,FALSE)&amp;"")</f>
        <v/>
      </c>
    </row>
    <row r="2859">
      <c r="A2859" s="31" t="n"/>
      <c r="B2859" s="32" t="n"/>
      <c r="C2859" s="32" t="n"/>
      <c r="D2859" s="33" t="n"/>
      <c r="E2859" s="32" t="n"/>
      <c r="F2859" s="34">
        <f>IF(A2859="","",IFERROR(INT(A2859),"check date"))</f>
        <v/>
      </c>
      <c r="G2859" s="35">
        <f>IF(B2859="","",IFERROR(INDEX(Students!$A:$A,MATCH(TRIM(B2859),Students!$A:$A,0)),"NOT ON LIST"))</f>
        <v/>
      </c>
      <c r="H2859" s="35">
        <f>IF(OR(G2859="",G2859="NOT ON LIST"),"",VLOOKUP(G2859,Students!$A:$C,2,FALSE))</f>
        <v/>
      </c>
      <c r="I2859" s="35">
        <f>IF(OR(G2859="",G2859="NOT ON LIST"),"",VLOOKUP(G2859,Students!$A:$C,3,FALSE)&amp;"")</f>
        <v/>
      </c>
    </row>
    <row r="2860">
      <c r="A2860" s="31" t="n"/>
      <c r="B2860" s="32" t="n"/>
      <c r="C2860" s="32" t="n"/>
      <c r="D2860" s="33" t="n"/>
      <c r="E2860" s="32" t="n"/>
      <c r="F2860" s="34">
        <f>IF(A2860="","",IFERROR(INT(A2860),"check date"))</f>
        <v/>
      </c>
      <c r="G2860" s="35">
        <f>IF(B2860="","",IFERROR(INDEX(Students!$A:$A,MATCH(TRIM(B2860),Students!$A:$A,0)),"NOT ON LIST"))</f>
        <v/>
      </c>
      <c r="H2860" s="35">
        <f>IF(OR(G2860="",G2860="NOT ON LIST"),"",VLOOKUP(G2860,Students!$A:$C,2,FALSE))</f>
        <v/>
      </c>
      <c r="I2860" s="35">
        <f>IF(OR(G2860="",G2860="NOT ON LIST"),"",VLOOKUP(G2860,Students!$A:$C,3,FALSE)&amp;"")</f>
        <v/>
      </c>
    </row>
    <row r="2861">
      <c r="A2861" s="31" t="n"/>
      <c r="B2861" s="32" t="n"/>
      <c r="C2861" s="32" t="n"/>
      <c r="D2861" s="33" t="n"/>
      <c r="E2861" s="32" t="n"/>
      <c r="F2861" s="34">
        <f>IF(A2861="","",IFERROR(INT(A2861),"check date"))</f>
        <v/>
      </c>
      <c r="G2861" s="35">
        <f>IF(B2861="","",IFERROR(INDEX(Students!$A:$A,MATCH(TRIM(B2861),Students!$A:$A,0)),"NOT ON LIST"))</f>
        <v/>
      </c>
      <c r="H2861" s="35">
        <f>IF(OR(G2861="",G2861="NOT ON LIST"),"",VLOOKUP(G2861,Students!$A:$C,2,FALSE))</f>
        <v/>
      </c>
      <c r="I2861" s="35">
        <f>IF(OR(G2861="",G2861="NOT ON LIST"),"",VLOOKUP(G2861,Students!$A:$C,3,FALSE)&amp;"")</f>
        <v/>
      </c>
    </row>
    <row r="2862">
      <c r="A2862" s="31" t="n"/>
      <c r="B2862" s="32" t="n"/>
      <c r="C2862" s="32" t="n"/>
      <c r="D2862" s="33" t="n"/>
      <c r="E2862" s="32" t="n"/>
      <c r="F2862" s="34">
        <f>IF(A2862="","",IFERROR(INT(A2862),"check date"))</f>
        <v/>
      </c>
      <c r="G2862" s="35">
        <f>IF(B2862="","",IFERROR(INDEX(Students!$A:$A,MATCH(TRIM(B2862),Students!$A:$A,0)),"NOT ON LIST"))</f>
        <v/>
      </c>
      <c r="H2862" s="35">
        <f>IF(OR(G2862="",G2862="NOT ON LIST"),"",VLOOKUP(G2862,Students!$A:$C,2,FALSE))</f>
        <v/>
      </c>
      <c r="I2862" s="35">
        <f>IF(OR(G2862="",G2862="NOT ON LIST"),"",VLOOKUP(G2862,Students!$A:$C,3,FALSE)&amp;"")</f>
        <v/>
      </c>
    </row>
    <row r="2863">
      <c r="A2863" s="31" t="n"/>
      <c r="B2863" s="32" t="n"/>
      <c r="C2863" s="32" t="n"/>
      <c r="D2863" s="33" t="n"/>
      <c r="E2863" s="32" t="n"/>
      <c r="F2863" s="34">
        <f>IF(A2863="","",IFERROR(INT(A2863),"check date"))</f>
        <v/>
      </c>
      <c r="G2863" s="35">
        <f>IF(B2863="","",IFERROR(INDEX(Students!$A:$A,MATCH(TRIM(B2863),Students!$A:$A,0)),"NOT ON LIST"))</f>
        <v/>
      </c>
      <c r="H2863" s="35">
        <f>IF(OR(G2863="",G2863="NOT ON LIST"),"",VLOOKUP(G2863,Students!$A:$C,2,FALSE))</f>
        <v/>
      </c>
      <c r="I2863" s="35">
        <f>IF(OR(G2863="",G2863="NOT ON LIST"),"",VLOOKUP(G2863,Students!$A:$C,3,FALSE)&amp;"")</f>
        <v/>
      </c>
    </row>
    <row r="2864">
      <c r="A2864" s="31" t="n"/>
      <c r="B2864" s="32" t="n"/>
      <c r="C2864" s="32" t="n"/>
      <c r="D2864" s="33" t="n"/>
      <c r="E2864" s="32" t="n"/>
      <c r="F2864" s="34">
        <f>IF(A2864="","",IFERROR(INT(A2864),"check date"))</f>
        <v/>
      </c>
      <c r="G2864" s="35">
        <f>IF(B2864="","",IFERROR(INDEX(Students!$A:$A,MATCH(TRIM(B2864),Students!$A:$A,0)),"NOT ON LIST"))</f>
        <v/>
      </c>
      <c r="H2864" s="35">
        <f>IF(OR(G2864="",G2864="NOT ON LIST"),"",VLOOKUP(G2864,Students!$A:$C,2,FALSE))</f>
        <v/>
      </c>
      <c r="I2864" s="35">
        <f>IF(OR(G2864="",G2864="NOT ON LIST"),"",VLOOKUP(G2864,Students!$A:$C,3,FALSE)&amp;"")</f>
        <v/>
      </c>
    </row>
    <row r="2865">
      <c r="A2865" s="31" t="n"/>
      <c r="B2865" s="32" t="n"/>
      <c r="C2865" s="32" t="n"/>
      <c r="D2865" s="33" t="n"/>
      <c r="E2865" s="32" t="n"/>
      <c r="F2865" s="34">
        <f>IF(A2865="","",IFERROR(INT(A2865),"check date"))</f>
        <v/>
      </c>
      <c r="G2865" s="35">
        <f>IF(B2865="","",IFERROR(INDEX(Students!$A:$A,MATCH(TRIM(B2865),Students!$A:$A,0)),"NOT ON LIST"))</f>
        <v/>
      </c>
      <c r="H2865" s="35">
        <f>IF(OR(G2865="",G2865="NOT ON LIST"),"",VLOOKUP(G2865,Students!$A:$C,2,FALSE))</f>
        <v/>
      </c>
      <c r="I2865" s="35">
        <f>IF(OR(G2865="",G2865="NOT ON LIST"),"",VLOOKUP(G2865,Students!$A:$C,3,FALSE)&amp;"")</f>
        <v/>
      </c>
    </row>
    <row r="2866">
      <c r="A2866" s="31" t="n"/>
      <c r="B2866" s="32" t="n"/>
      <c r="C2866" s="32" t="n"/>
      <c r="D2866" s="33" t="n"/>
      <c r="E2866" s="32" t="n"/>
      <c r="F2866" s="34">
        <f>IF(A2866="","",IFERROR(INT(A2866),"check date"))</f>
        <v/>
      </c>
      <c r="G2866" s="35">
        <f>IF(B2866="","",IFERROR(INDEX(Students!$A:$A,MATCH(TRIM(B2866),Students!$A:$A,0)),"NOT ON LIST"))</f>
        <v/>
      </c>
      <c r="H2866" s="35">
        <f>IF(OR(G2866="",G2866="NOT ON LIST"),"",VLOOKUP(G2866,Students!$A:$C,2,FALSE))</f>
        <v/>
      </c>
      <c r="I2866" s="35">
        <f>IF(OR(G2866="",G2866="NOT ON LIST"),"",VLOOKUP(G2866,Students!$A:$C,3,FALSE)&amp;"")</f>
        <v/>
      </c>
    </row>
    <row r="2867">
      <c r="A2867" s="31" t="n"/>
      <c r="B2867" s="32" t="n"/>
      <c r="C2867" s="32" t="n"/>
      <c r="D2867" s="33" t="n"/>
      <c r="E2867" s="32" t="n"/>
      <c r="F2867" s="34">
        <f>IF(A2867="","",IFERROR(INT(A2867),"check date"))</f>
        <v/>
      </c>
      <c r="G2867" s="35">
        <f>IF(B2867="","",IFERROR(INDEX(Students!$A:$A,MATCH(TRIM(B2867),Students!$A:$A,0)),"NOT ON LIST"))</f>
        <v/>
      </c>
      <c r="H2867" s="35">
        <f>IF(OR(G2867="",G2867="NOT ON LIST"),"",VLOOKUP(G2867,Students!$A:$C,2,FALSE))</f>
        <v/>
      </c>
      <c r="I2867" s="35">
        <f>IF(OR(G2867="",G2867="NOT ON LIST"),"",VLOOKUP(G2867,Students!$A:$C,3,FALSE)&amp;"")</f>
        <v/>
      </c>
    </row>
    <row r="2868">
      <c r="A2868" s="31" t="n"/>
      <c r="B2868" s="32" t="n"/>
      <c r="C2868" s="32" t="n"/>
      <c r="D2868" s="33" t="n"/>
      <c r="E2868" s="32" t="n"/>
      <c r="F2868" s="34">
        <f>IF(A2868="","",IFERROR(INT(A2868),"check date"))</f>
        <v/>
      </c>
      <c r="G2868" s="35">
        <f>IF(B2868="","",IFERROR(INDEX(Students!$A:$A,MATCH(TRIM(B2868),Students!$A:$A,0)),"NOT ON LIST"))</f>
        <v/>
      </c>
      <c r="H2868" s="35">
        <f>IF(OR(G2868="",G2868="NOT ON LIST"),"",VLOOKUP(G2868,Students!$A:$C,2,FALSE))</f>
        <v/>
      </c>
      <c r="I2868" s="35">
        <f>IF(OR(G2868="",G2868="NOT ON LIST"),"",VLOOKUP(G2868,Students!$A:$C,3,FALSE)&amp;"")</f>
        <v/>
      </c>
    </row>
    <row r="2869">
      <c r="A2869" s="31" t="n"/>
      <c r="B2869" s="32" t="n"/>
      <c r="C2869" s="32" t="n"/>
      <c r="D2869" s="33" t="n"/>
      <c r="E2869" s="32" t="n"/>
      <c r="F2869" s="34">
        <f>IF(A2869="","",IFERROR(INT(A2869),"check date"))</f>
        <v/>
      </c>
      <c r="G2869" s="35">
        <f>IF(B2869="","",IFERROR(INDEX(Students!$A:$A,MATCH(TRIM(B2869),Students!$A:$A,0)),"NOT ON LIST"))</f>
        <v/>
      </c>
      <c r="H2869" s="35">
        <f>IF(OR(G2869="",G2869="NOT ON LIST"),"",VLOOKUP(G2869,Students!$A:$C,2,FALSE))</f>
        <v/>
      </c>
      <c r="I2869" s="35">
        <f>IF(OR(G2869="",G2869="NOT ON LIST"),"",VLOOKUP(G2869,Students!$A:$C,3,FALSE)&amp;"")</f>
        <v/>
      </c>
    </row>
    <row r="2870">
      <c r="A2870" s="31" t="n"/>
      <c r="B2870" s="32" t="n"/>
      <c r="C2870" s="32" t="n"/>
      <c r="D2870" s="33" t="n"/>
      <c r="E2870" s="32" t="n"/>
      <c r="F2870" s="34">
        <f>IF(A2870="","",IFERROR(INT(A2870),"check date"))</f>
        <v/>
      </c>
      <c r="G2870" s="35">
        <f>IF(B2870="","",IFERROR(INDEX(Students!$A:$A,MATCH(TRIM(B2870),Students!$A:$A,0)),"NOT ON LIST"))</f>
        <v/>
      </c>
      <c r="H2870" s="35">
        <f>IF(OR(G2870="",G2870="NOT ON LIST"),"",VLOOKUP(G2870,Students!$A:$C,2,FALSE))</f>
        <v/>
      </c>
      <c r="I2870" s="35">
        <f>IF(OR(G2870="",G2870="NOT ON LIST"),"",VLOOKUP(G2870,Students!$A:$C,3,FALSE)&amp;"")</f>
        <v/>
      </c>
    </row>
    <row r="2871">
      <c r="A2871" s="31" t="n"/>
      <c r="B2871" s="32" t="n"/>
      <c r="C2871" s="32" t="n"/>
      <c r="D2871" s="33" t="n"/>
      <c r="E2871" s="32" t="n"/>
      <c r="F2871" s="34">
        <f>IF(A2871="","",IFERROR(INT(A2871),"check date"))</f>
        <v/>
      </c>
      <c r="G2871" s="35">
        <f>IF(B2871="","",IFERROR(INDEX(Students!$A:$A,MATCH(TRIM(B2871),Students!$A:$A,0)),"NOT ON LIST"))</f>
        <v/>
      </c>
      <c r="H2871" s="35">
        <f>IF(OR(G2871="",G2871="NOT ON LIST"),"",VLOOKUP(G2871,Students!$A:$C,2,FALSE))</f>
        <v/>
      </c>
      <c r="I2871" s="35">
        <f>IF(OR(G2871="",G2871="NOT ON LIST"),"",VLOOKUP(G2871,Students!$A:$C,3,FALSE)&amp;"")</f>
        <v/>
      </c>
    </row>
    <row r="2872">
      <c r="A2872" s="31" t="n"/>
      <c r="B2872" s="32" t="n"/>
      <c r="C2872" s="32" t="n"/>
      <c r="D2872" s="33" t="n"/>
      <c r="E2872" s="32" t="n"/>
      <c r="F2872" s="34">
        <f>IF(A2872="","",IFERROR(INT(A2872),"check date"))</f>
        <v/>
      </c>
      <c r="G2872" s="35">
        <f>IF(B2872="","",IFERROR(INDEX(Students!$A:$A,MATCH(TRIM(B2872),Students!$A:$A,0)),"NOT ON LIST"))</f>
        <v/>
      </c>
      <c r="H2872" s="35">
        <f>IF(OR(G2872="",G2872="NOT ON LIST"),"",VLOOKUP(G2872,Students!$A:$C,2,FALSE))</f>
        <v/>
      </c>
      <c r="I2872" s="35">
        <f>IF(OR(G2872="",G2872="NOT ON LIST"),"",VLOOKUP(G2872,Students!$A:$C,3,FALSE)&amp;"")</f>
        <v/>
      </c>
    </row>
    <row r="2873">
      <c r="A2873" s="31" t="n"/>
      <c r="B2873" s="32" t="n"/>
      <c r="C2873" s="32" t="n"/>
      <c r="D2873" s="33" t="n"/>
      <c r="E2873" s="32" t="n"/>
      <c r="F2873" s="34">
        <f>IF(A2873="","",IFERROR(INT(A2873),"check date"))</f>
        <v/>
      </c>
      <c r="G2873" s="35">
        <f>IF(B2873="","",IFERROR(INDEX(Students!$A:$A,MATCH(TRIM(B2873),Students!$A:$A,0)),"NOT ON LIST"))</f>
        <v/>
      </c>
      <c r="H2873" s="35">
        <f>IF(OR(G2873="",G2873="NOT ON LIST"),"",VLOOKUP(G2873,Students!$A:$C,2,FALSE))</f>
        <v/>
      </c>
      <c r="I2873" s="35">
        <f>IF(OR(G2873="",G2873="NOT ON LIST"),"",VLOOKUP(G2873,Students!$A:$C,3,FALSE)&amp;"")</f>
        <v/>
      </c>
    </row>
    <row r="2874">
      <c r="A2874" s="31" t="n"/>
      <c r="B2874" s="32" t="n"/>
      <c r="C2874" s="32" t="n"/>
      <c r="D2874" s="33" t="n"/>
      <c r="E2874" s="32" t="n"/>
      <c r="F2874" s="34">
        <f>IF(A2874="","",IFERROR(INT(A2874),"check date"))</f>
        <v/>
      </c>
      <c r="G2874" s="35">
        <f>IF(B2874="","",IFERROR(INDEX(Students!$A:$A,MATCH(TRIM(B2874),Students!$A:$A,0)),"NOT ON LIST"))</f>
        <v/>
      </c>
      <c r="H2874" s="35">
        <f>IF(OR(G2874="",G2874="NOT ON LIST"),"",VLOOKUP(G2874,Students!$A:$C,2,FALSE))</f>
        <v/>
      </c>
      <c r="I2874" s="35">
        <f>IF(OR(G2874="",G2874="NOT ON LIST"),"",VLOOKUP(G2874,Students!$A:$C,3,FALSE)&amp;"")</f>
        <v/>
      </c>
    </row>
    <row r="2875">
      <c r="A2875" s="31" t="n"/>
      <c r="B2875" s="32" t="n"/>
      <c r="C2875" s="32" t="n"/>
      <c r="D2875" s="33" t="n"/>
      <c r="E2875" s="32" t="n"/>
      <c r="F2875" s="34">
        <f>IF(A2875="","",IFERROR(INT(A2875),"check date"))</f>
        <v/>
      </c>
      <c r="G2875" s="35">
        <f>IF(B2875="","",IFERROR(INDEX(Students!$A:$A,MATCH(TRIM(B2875),Students!$A:$A,0)),"NOT ON LIST"))</f>
        <v/>
      </c>
      <c r="H2875" s="35">
        <f>IF(OR(G2875="",G2875="NOT ON LIST"),"",VLOOKUP(G2875,Students!$A:$C,2,FALSE))</f>
        <v/>
      </c>
      <c r="I2875" s="35">
        <f>IF(OR(G2875="",G2875="NOT ON LIST"),"",VLOOKUP(G2875,Students!$A:$C,3,FALSE)&amp;"")</f>
        <v/>
      </c>
    </row>
    <row r="2876">
      <c r="A2876" s="31" t="n"/>
      <c r="B2876" s="32" t="n"/>
      <c r="C2876" s="32" t="n"/>
      <c r="D2876" s="33" t="n"/>
      <c r="E2876" s="32" t="n"/>
      <c r="F2876" s="34">
        <f>IF(A2876="","",IFERROR(INT(A2876),"check date"))</f>
        <v/>
      </c>
      <c r="G2876" s="35">
        <f>IF(B2876="","",IFERROR(INDEX(Students!$A:$A,MATCH(TRIM(B2876),Students!$A:$A,0)),"NOT ON LIST"))</f>
        <v/>
      </c>
      <c r="H2876" s="35">
        <f>IF(OR(G2876="",G2876="NOT ON LIST"),"",VLOOKUP(G2876,Students!$A:$C,2,FALSE))</f>
        <v/>
      </c>
      <c r="I2876" s="35">
        <f>IF(OR(G2876="",G2876="NOT ON LIST"),"",VLOOKUP(G2876,Students!$A:$C,3,FALSE)&amp;"")</f>
        <v/>
      </c>
    </row>
    <row r="2877">
      <c r="A2877" s="31" t="n"/>
      <c r="B2877" s="32" t="n"/>
      <c r="C2877" s="32" t="n"/>
      <c r="D2877" s="33" t="n"/>
      <c r="E2877" s="32" t="n"/>
      <c r="F2877" s="34">
        <f>IF(A2877="","",IFERROR(INT(A2877),"check date"))</f>
        <v/>
      </c>
      <c r="G2877" s="35">
        <f>IF(B2877="","",IFERROR(INDEX(Students!$A:$A,MATCH(TRIM(B2877),Students!$A:$A,0)),"NOT ON LIST"))</f>
        <v/>
      </c>
      <c r="H2877" s="35">
        <f>IF(OR(G2877="",G2877="NOT ON LIST"),"",VLOOKUP(G2877,Students!$A:$C,2,FALSE))</f>
        <v/>
      </c>
      <c r="I2877" s="35">
        <f>IF(OR(G2877="",G2877="NOT ON LIST"),"",VLOOKUP(G2877,Students!$A:$C,3,FALSE)&amp;"")</f>
        <v/>
      </c>
    </row>
    <row r="2878">
      <c r="A2878" s="31" t="n"/>
      <c r="B2878" s="32" t="n"/>
      <c r="C2878" s="32" t="n"/>
      <c r="D2878" s="33" t="n"/>
      <c r="E2878" s="32" t="n"/>
      <c r="F2878" s="34">
        <f>IF(A2878="","",IFERROR(INT(A2878),"check date"))</f>
        <v/>
      </c>
      <c r="G2878" s="35">
        <f>IF(B2878="","",IFERROR(INDEX(Students!$A:$A,MATCH(TRIM(B2878),Students!$A:$A,0)),"NOT ON LIST"))</f>
        <v/>
      </c>
      <c r="H2878" s="35">
        <f>IF(OR(G2878="",G2878="NOT ON LIST"),"",VLOOKUP(G2878,Students!$A:$C,2,FALSE))</f>
        <v/>
      </c>
      <c r="I2878" s="35">
        <f>IF(OR(G2878="",G2878="NOT ON LIST"),"",VLOOKUP(G2878,Students!$A:$C,3,FALSE)&amp;"")</f>
        <v/>
      </c>
    </row>
    <row r="2879">
      <c r="A2879" s="31" t="n"/>
      <c r="B2879" s="32" t="n"/>
      <c r="C2879" s="32" t="n"/>
      <c r="D2879" s="33" t="n"/>
      <c r="E2879" s="32" t="n"/>
      <c r="F2879" s="34">
        <f>IF(A2879="","",IFERROR(INT(A2879),"check date"))</f>
        <v/>
      </c>
      <c r="G2879" s="35">
        <f>IF(B2879="","",IFERROR(INDEX(Students!$A:$A,MATCH(TRIM(B2879),Students!$A:$A,0)),"NOT ON LIST"))</f>
        <v/>
      </c>
      <c r="H2879" s="35">
        <f>IF(OR(G2879="",G2879="NOT ON LIST"),"",VLOOKUP(G2879,Students!$A:$C,2,FALSE))</f>
        <v/>
      </c>
      <c r="I2879" s="35">
        <f>IF(OR(G2879="",G2879="NOT ON LIST"),"",VLOOKUP(G2879,Students!$A:$C,3,FALSE)&amp;"")</f>
        <v/>
      </c>
    </row>
    <row r="2880">
      <c r="A2880" s="31" t="n"/>
      <c r="B2880" s="32" t="n"/>
      <c r="C2880" s="32" t="n"/>
      <c r="D2880" s="33" t="n"/>
      <c r="E2880" s="32" t="n"/>
      <c r="F2880" s="34">
        <f>IF(A2880="","",IFERROR(INT(A2880),"check date"))</f>
        <v/>
      </c>
      <c r="G2880" s="35">
        <f>IF(B2880="","",IFERROR(INDEX(Students!$A:$A,MATCH(TRIM(B2880),Students!$A:$A,0)),"NOT ON LIST"))</f>
        <v/>
      </c>
      <c r="H2880" s="35">
        <f>IF(OR(G2880="",G2880="NOT ON LIST"),"",VLOOKUP(G2880,Students!$A:$C,2,FALSE))</f>
        <v/>
      </c>
      <c r="I2880" s="35">
        <f>IF(OR(G2880="",G2880="NOT ON LIST"),"",VLOOKUP(G2880,Students!$A:$C,3,FALSE)&amp;"")</f>
        <v/>
      </c>
    </row>
    <row r="2881">
      <c r="A2881" s="31" t="n"/>
      <c r="B2881" s="32" t="n"/>
      <c r="C2881" s="32" t="n"/>
      <c r="D2881" s="33" t="n"/>
      <c r="E2881" s="32" t="n"/>
      <c r="F2881" s="34">
        <f>IF(A2881="","",IFERROR(INT(A2881),"check date"))</f>
        <v/>
      </c>
      <c r="G2881" s="35">
        <f>IF(B2881="","",IFERROR(INDEX(Students!$A:$A,MATCH(TRIM(B2881),Students!$A:$A,0)),"NOT ON LIST"))</f>
        <v/>
      </c>
      <c r="H2881" s="35">
        <f>IF(OR(G2881="",G2881="NOT ON LIST"),"",VLOOKUP(G2881,Students!$A:$C,2,FALSE))</f>
        <v/>
      </c>
      <c r="I2881" s="35">
        <f>IF(OR(G2881="",G2881="NOT ON LIST"),"",VLOOKUP(G2881,Students!$A:$C,3,FALSE)&amp;"")</f>
        <v/>
      </c>
    </row>
    <row r="2882">
      <c r="A2882" s="31" t="n"/>
      <c r="B2882" s="32" t="n"/>
      <c r="C2882" s="32" t="n"/>
      <c r="D2882" s="33" t="n"/>
      <c r="E2882" s="32" t="n"/>
      <c r="F2882" s="34">
        <f>IF(A2882="","",IFERROR(INT(A2882),"check date"))</f>
        <v/>
      </c>
      <c r="G2882" s="35">
        <f>IF(B2882="","",IFERROR(INDEX(Students!$A:$A,MATCH(TRIM(B2882),Students!$A:$A,0)),"NOT ON LIST"))</f>
        <v/>
      </c>
      <c r="H2882" s="35">
        <f>IF(OR(G2882="",G2882="NOT ON LIST"),"",VLOOKUP(G2882,Students!$A:$C,2,FALSE))</f>
        <v/>
      </c>
      <c r="I2882" s="35">
        <f>IF(OR(G2882="",G2882="NOT ON LIST"),"",VLOOKUP(G2882,Students!$A:$C,3,FALSE)&amp;"")</f>
        <v/>
      </c>
    </row>
    <row r="2883">
      <c r="A2883" s="31" t="n"/>
      <c r="B2883" s="32" t="n"/>
      <c r="C2883" s="32" t="n"/>
      <c r="D2883" s="33" t="n"/>
      <c r="E2883" s="32" t="n"/>
      <c r="F2883" s="34">
        <f>IF(A2883="","",IFERROR(INT(A2883),"check date"))</f>
        <v/>
      </c>
      <c r="G2883" s="35">
        <f>IF(B2883="","",IFERROR(INDEX(Students!$A:$A,MATCH(TRIM(B2883),Students!$A:$A,0)),"NOT ON LIST"))</f>
        <v/>
      </c>
      <c r="H2883" s="35">
        <f>IF(OR(G2883="",G2883="NOT ON LIST"),"",VLOOKUP(G2883,Students!$A:$C,2,FALSE))</f>
        <v/>
      </c>
      <c r="I2883" s="35">
        <f>IF(OR(G2883="",G2883="NOT ON LIST"),"",VLOOKUP(G2883,Students!$A:$C,3,FALSE)&amp;"")</f>
        <v/>
      </c>
    </row>
    <row r="2884">
      <c r="A2884" s="31" t="n"/>
      <c r="B2884" s="32" t="n"/>
      <c r="C2884" s="32" t="n"/>
      <c r="D2884" s="33" t="n"/>
      <c r="E2884" s="32" t="n"/>
      <c r="F2884" s="34">
        <f>IF(A2884="","",IFERROR(INT(A2884),"check date"))</f>
        <v/>
      </c>
      <c r="G2884" s="35">
        <f>IF(B2884="","",IFERROR(INDEX(Students!$A:$A,MATCH(TRIM(B2884),Students!$A:$A,0)),"NOT ON LIST"))</f>
        <v/>
      </c>
      <c r="H2884" s="35">
        <f>IF(OR(G2884="",G2884="NOT ON LIST"),"",VLOOKUP(G2884,Students!$A:$C,2,FALSE))</f>
        <v/>
      </c>
      <c r="I2884" s="35">
        <f>IF(OR(G2884="",G2884="NOT ON LIST"),"",VLOOKUP(G2884,Students!$A:$C,3,FALSE)&amp;"")</f>
        <v/>
      </c>
    </row>
    <row r="2885">
      <c r="A2885" s="31" t="n"/>
      <c r="B2885" s="32" t="n"/>
      <c r="C2885" s="32" t="n"/>
      <c r="D2885" s="33" t="n"/>
      <c r="E2885" s="32" t="n"/>
      <c r="F2885" s="34">
        <f>IF(A2885="","",IFERROR(INT(A2885),"check date"))</f>
        <v/>
      </c>
      <c r="G2885" s="35">
        <f>IF(B2885="","",IFERROR(INDEX(Students!$A:$A,MATCH(TRIM(B2885),Students!$A:$A,0)),"NOT ON LIST"))</f>
        <v/>
      </c>
      <c r="H2885" s="35">
        <f>IF(OR(G2885="",G2885="NOT ON LIST"),"",VLOOKUP(G2885,Students!$A:$C,2,FALSE))</f>
        <v/>
      </c>
      <c r="I2885" s="35">
        <f>IF(OR(G2885="",G2885="NOT ON LIST"),"",VLOOKUP(G2885,Students!$A:$C,3,FALSE)&amp;"")</f>
        <v/>
      </c>
    </row>
    <row r="2886">
      <c r="A2886" s="31" t="n"/>
      <c r="B2886" s="32" t="n"/>
      <c r="C2886" s="32" t="n"/>
      <c r="D2886" s="33" t="n"/>
      <c r="E2886" s="32" t="n"/>
      <c r="F2886" s="34">
        <f>IF(A2886="","",IFERROR(INT(A2886),"check date"))</f>
        <v/>
      </c>
      <c r="G2886" s="35">
        <f>IF(B2886="","",IFERROR(INDEX(Students!$A:$A,MATCH(TRIM(B2886),Students!$A:$A,0)),"NOT ON LIST"))</f>
        <v/>
      </c>
      <c r="H2886" s="35">
        <f>IF(OR(G2886="",G2886="NOT ON LIST"),"",VLOOKUP(G2886,Students!$A:$C,2,FALSE))</f>
        <v/>
      </c>
      <c r="I2886" s="35">
        <f>IF(OR(G2886="",G2886="NOT ON LIST"),"",VLOOKUP(G2886,Students!$A:$C,3,FALSE)&amp;"")</f>
        <v/>
      </c>
    </row>
    <row r="2887">
      <c r="A2887" s="31" t="n"/>
      <c r="B2887" s="32" t="n"/>
      <c r="C2887" s="32" t="n"/>
      <c r="D2887" s="33" t="n"/>
      <c r="E2887" s="32" t="n"/>
      <c r="F2887" s="34">
        <f>IF(A2887="","",IFERROR(INT(A2887),"check date"))</f>
        <v/>
      </c>
      <c r="G2887" s="35">
        <f>IF(B2887="","",IFERROR(INDEX(Students!$A:$A,MATCH(TRIM(B2887),Students!$A:$A,0)),"NOT ON LIST"))</f>
        <v/>
      </c>
      <c r="H2887" s="35">
        <f>IF(OR(G2887="",G2887="NOT ON LIST"),"",VLOOKUP(G2887,Students!$A:$C,2,FALSE))</f>
        <v/>
      </c>
      <c r="I2887" s="35">
        <f>IF(OR(G2887="",G2887="NOT ON LIST"),"",VLOOKUP(G2887,Students!$A:$C,3,FALSE)&amp;"")</f>
        <v/>
      </c>
    </row>
    <row r="2888">
      <c r="A2888" s="31" t="n"/>
      <c r="B2888" s="32" t="n"/>
      <c r="C2888" s="32" t="n"/>
      <c r="D2888" s="33" t="n"/>
      <c r="E2888" s="32" t="n"/>
      <c r="F2888" s="34">
        <f>IF(A2888="","",IFERROR(INT(A2888),"check date"))</f>
        <v/>
      </c>
      <c r="G2888" s="35">
        <f>IF(B2888="","",IFERROR(INDEX(Students!$A:$A,MATCH(TRIM(B2888),Students!$A:$A,0)),"NOT ON LIST"))</f>
        <v/>
      </c>
      <c r="H2888" s="35">
        <f>IF(OR(G2888="",G2888="NOT ON LIST"),"",VLOOKUP(G2888,Students!$A:$C,2,FALSE))</f>
        <v/>
      </c>
      <c r="I2888" s="35">
        <f>IF(OR(G2888="",G2888="NOT ON LIST"),"",VLOOKUP(G2888,Students!$A:$C,3,FALSE)&amp;"")</f>
        <v/>
      </c>
    </row>
    <row r="2889">
      <c r="A2889" s="31" t="n"/>
      <c r="B2889" s="32" t="n"/>
      <c r="C2889" s="32" t="n"/>
      <c r="D2889" s="33" t="n"/>
      <c r="E2889" s="32" t="n"/>
      <c r="F2889" s="34">
        <f>IF(A2889="","",IFERROR(INT(A2889),"check date"))</f>
        <v/>
      </c>
      <c r="G2889" s="35">
        <f>IF(B2889="","",IFERROR(INDEX(Students!$A:$A,MATCH(TRIM(B2889),Students!$A:$A,0)),"NOT ON LIST"))</f>
        <v/>
      </c>
      <c r="H2889" s="35">
        <f>IF(OR(G2889="",G2889="NOT ON LIST"),"",VLOOKUP(G2889,Students!$A:$C,2,FALSE))</f>
        <v/>
      </c>
      <c r="I2889" s="35">
        <f>IF(OR(G2889="",G2889="NOT ON LIST"),"",VLOOKUP(G2889,Students!$A:$C,3,FALSE)&amp;"")</f>
        <v/>
      </c>
    </row>
    <row r="2890">
      <c r="A2890" s="31" t="n"/>
      <c r="B2890" s="32" t="n"/>
      <c r="C2890" s="32" t="n"/>
      <c r="D2890" s="33" t="n"/>
      <c r="E2890" s="32" t="n"/>
      <c r="F2890" s="34">
        <f>IF(A2890="","",IFERROR(INT(A2890),"check date"))</f>
        <v/>
      </c>
      <c r="G2890" s="35">
        <f>IF(B2890="","",IFERROR(INDEX(Students!$A:$A,MATCH(TRIM(B2890),Students!$A:$A,0)),"NOT ON LIST"))</f>
        <v/>
      </c>
      <c r="H2890" s="35">
        <f>IF(OR(G2890="",G2890="NOT ON LIST"),"",VLOOKUP(G2890,Students!$A:$C,2,FALSE))</f>
        <v/>
      </c>
      <c r="I2890" s="35">
        <f>IF(OR(G2890="",G2890="NOT ON LIST"),"",VLOOKUP(G2890,Students!$A:$C,3,FALSE)&amp;"")</f>
        <v/>
      </c>
    </row>
    <row r="2891">
      <c r="A2891" s="31" t="n"/>
      <c r="B2891" s="32" t="n"/>
      <c r="C2891" s="32" t="n"/>
      <c r="D2891" s="33" t="n"/>
      <c r="E2891" s="32" t="n"/>
      <c r="F2891" s="34">
        <f>IF(A2891="","",IFERROR(INT(A2891),"check date"))</f>
        <v/>
      </c>
      <c r="G2891" s="35">
        <f>IF(B2891="","",IFERROR(INDEX(Students!$A:$A,MATCH(TRIM(B2891),Students!$A:$A,0)),"NOT ON LIST"))</f>
        <v/>
      </c>
      <c r="H2891" s="35">
        <f>IF(OR(G2891="",G2891="NOT ON LIST"),"",VLOOKUP(G2891,Students!$A:$C,2,FALSE))</f>
        <v/>
      </c>
      <c r="I2891" s="35">
        <f>IF(OR(G2891="",G2891="NOT ON LIST"),"",VLOOKUP(G2891,Students!$A:$C,3,FALSE)&amp;"")</f>
        <v/>
      </c>
    </row>
    <row r="2892">
      <c r="A2892" s="31" t="n"/>
      <c r="B2892" s="32" t="n"/>
      <c r="C2892" s="32" t="n"/>
      <c r="D2892" s="33" t="n"/>
      <c r="E2892" s="32" t="n"/>
      <c r="F2892" s="34">
        <f>IF(A2892="","",IFERROR(INT(A2892),"check date"))</f>
        <v/>
      </c>
      <c r="G2892" s="35">
        <f>IF(B2892="","",IFERROR(INDEX(Students!$A:$A,MATCH(TRIM(B2892),Students!$A:$A,0)),"NOT ON LIST"))</f>
        <v/>
      </c>
      <c r="H2892" s="35">
        <f>IF(OR(G2892="",G2892="NOT ON LIST"),"",VLOOKUP(G2892,Students!$A:$C,2,FALSE))</f>
        <v/>
      </c>
      <c r="I2892" s="35">
        <f>IF(OR(G2892="",G2892="NOT ON LIST"),"",VLOOKUP(G2892,Students!$A:$C,3,FALSE)&amp;"")</f>
        <v/>
      </c>
    </row>
    <row r="2893">
      <c r="A2893" s="31" t="n"/>
      <c r="B2893" s="32" t="n"/>
      <c r="C2893" s="32" t="n"/>
      <c r="D2893" s="33" t="n"/>
      <c r="E2893" s="32" t="n"/>
      <c r="F2893" s="34">
        <f>IF(A2893="","",IFERROR(INT(A2893),"check date"))</f>
        <v/>
      </c>
      <c r="G2893" s="35">
        <f>IF(B2893="","",IFERROR(INDEX(Students!$A:$A,MATCH(TRIM(B2893),Students!$A:$A,0)),"NOT ON LIST"))</f>
        <v/>
      </c>
      <c r="H2893" s="35">
        <f>IF(OR(G2893="",G2893="NOT ON LIST"),"",VLOOKUP(G2893,Students!$A:$C,2,FALSE))</f>
        <v/>
      </c>
      <c r="I2893" s="35">
        <f>IF(OR(G2893="",G2893="NOT ON LIST"),"",VLOOKUP(G2893,Students!$A:$C,3,FALSE)&amp;"")</f>
        <v/>
      </c>
    </row>
    <row r="2894">
      <c r="A2894" s="31" t="n"/>
      <c r="B2894" s="32" t="n"/>
      <c r="C2894" s="32" t="n"/>
      <c r="D2894" s="33" t="n"/>
      <c r="E2894" s="32" t="n"/>
      <c r="F2894" s="34">
        <f>IF(A2894="","",IFERROR(INT(A2894),"check date"))</f>
        <v/>
      </c>
      <c r="G2894" s="35">
        <f>IF(B2894="","",IFERROR(INDEX(Students!$A:$A,MATCH(TRIM(B2894),Students!$A:$A,0)),"NOT ON LIST"))</f>
        <v/>
      </c>
      <c r="H2894" s="35">
        <f>IF(OR(G2894="",G2894="NOT ON LIST"),"",VLOOKUP(G2894,Students!$A:$C,2,FALSE))</f>
        <v/>
      </c>
      <c r="I2894" s="35">
        <f>IF(OR(G2894="",G2894="NOT ON LIST"),"",VLOOKUP(G2894,Students!$A:$C,3,FALSE)&amp;"")</f>
        <v/>
      </c>
    </row>
    <row r="2895">
      <c r="A2895" s="31" t="n"/>
      <c r="B2895" s="32" t="n"/>
      <c r="C2895" s="32" t="n"/>
      <c r="D2895" s="33" t="n"/>
      <c r="E2895" s="32" t="n"/>
      <c r="F2895" s="34">
        <f>IF(A2895="","",IFERROR(INT(A2895),"check date"))</f>
        <v/>
      </c>
      <c r="G2895" s="35">
        <f>IF(B2895="","",IFERROR(INDEX(Students!$A:$A,MATCH(TRIM(B2895),Students!$A:$A,0)),"NOT ON LIST"))</f>
        <v/>
      </c>
      <c r="H2895" s="35">
        <f>IF(OR(G2895="",G2895="NOT ON LIST"),"",VLOOKUP(G2895,Students!$A:$C,2,FALSE))</f>
        <v/>
      </c>
      <c r="I2895" s="35">
        <f>IF(OR(G2895="",G2895="NOT ON LIST"),"",VLOOKUP(G2895,Students!$A:$C,3,FALSE)&amp;"")</f>
        <v/>
      </c>
    </row>
    <row r="2896">
      <c r="A2896" s="31" t="n"/>
      <c r="B2896" s="32" t="n"/>
      <c r="C2896" s="32" t="n"/>
      <c r="D2896" s="33" t="n"/>
      <c r="E2896" s="32" t="n"/>
      <c r="F2896" s="34">
        <f>IF(A2896="","",IFERROR(INT(A2896),"check date"))</f>
        <v/>
      </c>
      <c r="G2896" s="35">
        <f>IF(B2896="","",IFERROR(INDEX(Students!$A:$A,MATCH(TRIM(B2896),Students!$A:$A,0)),"NOT ON LIST"))</f>
        <v/>
      </c>
      <c r="H2896" s="35">
        <f>IF(OR(G2896="",G2896="NOT ON LIST"),"",VLOOKUP(G2896,Students!$A:$C,2,FALSE))</f>
        <v/>
      </c>
      <c r="I2896" s="35">
        <f>IF(OR(G2896="",G2896="NOT ON LIST"),"",VLOOKUP(G2896,Students!$A:$C,3,FALSE)&amp;"")</f>
        <v/>
      </c>
    </row>
    <row r="2897">
      <c r="A2897" s="31" t="n"/>
      <c r="B2897" s="32" t="n"/>
      <c r="C2897" s="32" t="n"/>
      <c r="D2897" s="33" t="n"/>
      <c r="E2897" s="32" t="n"/>
      <c r="F2897" s="34">
        <f>IF(A2897="","",IFERROR(INT(A2897),"check date"))</f>
        <v/>
      </c>
      <c r="G2897" s="35">
        <f>IF(B2897="","",IFERROR(INDEX(Students!$A:$A,MATCH(TRIM(B2897),Students!$A:$A,0)),"NOT ON LIST"))</f>
        <v/>
      </c>
      <c r="H2897" s="35">
        <f>IF(OR(G2897="",G2897="NOT ON LIST"),"",VLOOKUP(G2897,Students!$A:$C,2,FALSE))</f>
        <v/>
      </c>
      <c r="I2897" s="35">
        <f>IF(OR(G2897="",G2897="NOT ON LIST"),"",VLOOKUP(G2897,Students!$A:$C,3,FALSE)&amp;"")</f>
        <v/>
      </c>
    </row>
    <row r="2898">
      <c r="A2898" s="31" t="n"/>
      <c r="B2898" s="32" t="n"/>
      <c r="C2898" s="32" t="n"/>
      <c r="D2898" s="33" t="n"/>
      <c r="E2898" s="32" t="n"/>
      <c r="F2898" s="34">
        <f>IF(A2898="","",IFERROR(INT(A2898),"check date"))</f>
        <v/>
      </c>
      <c r="G2898" s="35">
        <f>IF(B2898="","",IFERROR(INDEX(Students!$A:$A,MATCH(TRIM(B2898),Students!$A:$A,0)),"NOT ON LIST"))</f>
        <v/>
      </c>
      <c r="H2898" s="35">
        <f>IF(OR(G2898="",G2898="NOT ON LIST"),"",VLOOKUP(G2898,Students!$A:$C,2,FALSE))</f>
        <v/>
      </c>
      <c r="I2898" s="35">
        <f>IF(OR(G2898="",G2898="NOT ON LIST"),"",VLOOKUP(G2898,Students!$A:$C,3,FALSE)&amp;"")</f>
        <v/>
      </c>
    </row>
    <row r="2899">
      <c r="A2899" s="31" t="n"/>
      <c r="B2899" s="32" t="n"/>
      <c r="C2899" s="32" t="n"/>
      <c r="D2899" s="33" t="n"/>
      <c r="E2899" s="32" t="n"/>
      <c r="F2899" s="34">
        <f>IF(A2899="","",IFERROR(INT(A2899),"check date"))</f>
        <v/>
      </c>
      <c r="G2899" s="35">
        <f>IF(B2899="","",IFERROR(INDEX(Students!$A:$A,MATCH(TRIM(B2899),Students!$A:$A,0)),"NOT ON LIST"))</f>
        <v/>
      </c>
      <c r="H2899" s="35">
        <f>IF(OR(G2899="",G2899="NOT ON LIST"),"",VLOOKUP(G2899,Students!$A:$C,2,FALSE))</f>
        <v/>
      </c>
      <c r="I2899" s="35">
        <f>IF(OR(G2899="",G2899="NOT ON LIST"),"",VLOOKUP(G2899,Students!$A:$C,3,FALSE)&amp;"")</f>
        <v/>
      </c>
    </row>
    <row r="2900">
      <c r="A2900" s="31" t="n"/>
      <c r="B2900" s="32" t="n"/>
      <c r="C2900" s="32" t="n"/>
      <c r="D2900" s="33" t="n"/>
      <c r="E2900" s="32" t="n"/>
      <c r="F2900" s="34">
        <f>IF(A2900="","",IFERROR(INT(A2900),"check date"))</f>
        <v/>
      </c>
      <c r="G2900" s="35">
        <f>IF(B2900="","",IFERROR(INDEX(Students!$A:$A,MATCH(TRIM(B2900),Students!$A:$A,0)),"NOT ON LIST"))</f>
        <v/>
      </c>
      <c r="H2900" s="35">
        <f>IF(OR(G2900="",G2900="NOT ON LIST"),"",VLOOKUP(G2900,Students!$A:$C,2,FALSE))</f>
        <v/>
      </c>
      <c r="I2900" s="35">
        <f>IF(OR(G2900="",G2900="NOT ON LIST"),"",VLOOKUP(G2900,Students!$A:$C,3,FALSE)&amp;"")</f>
        <v/>
      </c>
    </row>
    <row r="2901">
      <c r="A2901" s="31" t="n"/>
      <c r="B2901" s="32" t="n"/>
      <c r="C2901" s="32" t="n"/>
      <c r="D2901" s="33" t="n"/>
      <c r="E2901" s="32" t="n"/>
      <c r="F2901" s="34">
        <f>IF(A2901="","",IFERROR(INT(A2901),"check date"))</f>
        <v/>
      </c>
      <c r="G2901" s="35">
        <f>IF(B2901="","",IFERROR(INDEX(Students!$A:$A,MATCH(TRIM(B2901),Students!$A:$A,0)),"NOT ON LIST"))</f>
        <v/>
      </c>
      <c r="H2901" s="35">
        <f>IF(OR(G2901="",G2901="NOT ON LIST"),"",VLOOKUP(G2901,Students!$A:$C,2,FALSE))</f>
        <v/>
      </c>
      <c r="I2901" s="35">
        <f>IF(OR(G2901="",G2901="NOT ON LIST"),"",VLOOKUP(G2901,Students!$A:$C,3,FALSE)&amp;"")</f>
        <v/>
      </c>
    </row>
    <row r="2902">
      <c r="A2902" s="31" t="n"/>
      <c r="B2902" s="32" t="n"/>
      <c r="C2902" s="32" t="n"/>
      <c r="D2902" s="33" t="n"/>
      <c r="E2902" s="32" t="n"/>
      <c r="F2902" s="34">
        <f>IF(A2902="","",IFERROR(INT(A2902),"check date"))</f>
        <v/>
      </c>
      <c r="G2902" s="35">
        <f>IF(B2902="","",IFERROR(INDEX(Students!$A:$A,MATCH(TRIM(B2902),Students!$A:$A,0)),"NOT ON LIST"))</f>
        <v/>
      </c>
      <c r="H2902" s="35">
        <f>IF(OR(G2902="",G2902="NOT ON LIST"),"",VLOOKUP(G2902,Students!$A:$C,2,FALSE))</f>
        <v/>
      </c>
      <c r="I2902" s="35">
        <f>IF(OR(G2902="",G2902="NOT ON LIST"),"",VLOOKUP(G2902,Students!$A:$C,3,FALSE)&amp;"")</f>
        <v/>
      </c>
    </row>
    <row r="2903">
      <c r="A2903" s="31" t="n"/>
      <c r="B2903" s="32" t="n"/>
      <c r="C2903" s="32" t="n"/>
      <c r="D2903" s="33" t="n"/>
      <c r="E2903" s="32" t="n"/>
      <c r="F2903" s="34">
        <f>IF(A2903="","",IFERROR(INT(A2903),"check date"))</f>
        <v/>
      </c>
      <c r="G2903" s="35">
        <f>IF(B2903="","",IFERROR(INDEX(Students!$A:$A,MATCH(TRIM(B2903),Students!$A:$A,0)),"NOT ON LIST"))</f>
        <v/>
      </c>
      <c r="H2903" s="35">
        <f>IF(OR(G2903="",G2903="NOT ON LIST"),"",VLOOKUP(G2903,Students!$A:$C,2,FALSE))</f>
        <v/>
      </c>
      <c r="I2903" s="35">
        <f>IF(OR(G2903="",G2903="NOT ON LIST"),"",VLOOKUP(G2903,Students!$A:$C,3,FALSE)&amp;"")</f>
        <v/>
      </c>
    </row>
    <row r="2904">
      <c r="A2904" s="31" t="n"/>
      <c r="B2904" s="32" t="n"/>
      <c r="C2904" s="32" t="n"/>
      <c r="D2904" s="33" t="n"/>
      <c r="E2904" s="32" t="n"/>
      <c r="F2904" s="34">
        <f>IF(A2904="","",IFERROR(INT(A2904),"check date"))</f>
        <v/>
      </c>
      <c r="G2904" s="35">
        <f>IF(B2904="","",IFERROR(INDEX(Students!$A:$A,MATCH(TRIM(B2904),Students!$A:$A,0)),"NOT ON LIST"))</f>
        <v/>
      </c>
      <c r="H2904" s="35">
        <f>IF(OR(G2904="",G2904="NOT ON LIST"),"",VLOOKUP(G2904,Students!$A:$C,2,FALSE))</f>
        <v/>
      </c>
      <c r="I2904" s="35">
        <f>IF(OR(G2904="",G2904="NOT ON LIST"),"",VLOOKUP(G2904,Students!$A:$C,3,FALSE)&amp;"")</f>
        <v/>
      </c>
    </row>
    <row r="2905">
      <c r="A2905" s="31" t="n"/>
      <c r="B2905" s="32" t="n"/>
      <c r="C2905" s="32" t="n"/>
      <c r="D2905" s="33" t="n"/>
      <c r="E2905" s="32" t="n"/>
      <c r="F2905" s="34">
        <f>IF(A2905="","",IFERROR(INT(A2905),"check date"))</f>
        <v/>
      </c>
      <c r="G2905" s="35">
        <f>IF(B2905="","",IFERROR(INDEX(Students!$A:$A,MATCH(TRIM(B2905),Students!$A:$A,0)),"NOT ON LIST"))</f>
        <v/>
      </c>
      <c r="H2905" s="35">
        <f>IF(OR(G2905="",G2905="NOT ON LIST"),"",VLOOKUP(G2905,Students!$A:$C,2,FALSE))</f>
        <v/>
      </c>
      <c r="I2905" s="35">
        <f>IF(OR(G2905="",G2905="NOT ON LIST"),"",VLOOKUP(G2905,Students!$A:$C,3,FALSE)&amp;"")</f>
        <v/>
      </c>
    </row>
    <row r="2906">
      <c r="A2906" s="31" t="n"/>
      <c r="B2906" s="32" t="n"/>
      <c r="C2906" s="32" t="n"/>
      <c r="D2906" s="33" t="n"/>
      <c r="E2906" s="32" t="n"/>
      <c r="F2906" s="34">
        <f>IF(A2906="","",IFERROR(INT(A2906),"check date"))</f>
        <v/>
      </c>
      <c r="G2906" s="35">
        <f>IF(B2906="","",IFERROR(INDEX(Students!$A:$A,MATCH(TRIM(B2906),Students!$A:$A,0)),"NOT ON LIST"))</f>
        <v/>
      </c>
      <c r="H2906" s="35">
        <f>IF(OR(G2906="",G2906="NOT ON LIST"),"",VLOOKUP(G2906,Students!$A:$C,2,FALSE))</f>
        <v/>
      </c>
      <c r="I2906" s="35">
        <f>IF(OR(G2906="",G2906="NOT ON LIST"),"",VLOOKUP(G2906,Students!$A:$C,3,FALSE)&amp;"")</f>
        <v/>
      </c>
    </row>
    <row r="2907">
      <c r="A2907" s="31" t="n"/>
      <c r="B2907" s="32" t="n"/>
      <c r="C2907" s="32" t="n"/>
      <c r="D2907" s="33" t="n"/>
      <c r="E2907" s="32" t="n"/>
      <c r="F2907" s="34">
        <f>IF(A2907="","",IFERROR(INT(A2907),"check date"))</f>
        <v/>
      </c>
      <c r="G2907" s="35">
        <f>IF(B2907="","",IFERROR(INDEX(Students!$A:$A,MATCH(TRIM(B2907),Students!$A:$A,0)),"NOT ON LIST"))</f>
        <v/>
      </c>
      <c r="H2907" s="35">
        <f>IF(OR(G2907="",G2907="NOT ON LIST"),"",VLOOKUP(G2907,Students!$A:$C,2,FALSE))</f>
        <v/>
      </c>
      <c r="I2907" s="35">
        <f>IF(OR(G2907="",G2907="NOT ON LIST"),"",VLOOKUP(G2907,Students!$A:$C,3,FALSE)&amp;"")</f>
        <v/>
      </c>
    </row>
    <row r="2908">
      <c r="A2908" s="31" t="n"/>
      <c r="B2908" s="32" t="n"/>
      <c r="C2908" s="32" t="n"/>
      <c r="D2908" s="33" t="n"/>
      <c r="E2908" s="32" t="n"/>
      <c r="F2908" s="34">
        <f>IF(A2908="","",IFERROR(INT(A2908),"check date"))</f>
        <v/>
      </c>
      <c r="G2908" s="35">
        <f>IF(B2908="","",IFERROR(INDEX(Students!$A:$A,MATCH(TRIM(B2908),Students!$A:$A,0)),"NOT ON LIST"))</f>
        <v/>
      </c>
      <c r="H2908" s="35">
        <f>IF(OR(G2908="",G2908="NOT ON LIST"),"",VLOOKUP(G2908,Students!$A:$C,2,FALSE))</f>
        <v/>
      </c>
      <c r="I2908" s="35">
        <f>IF(OR(G2908="",G2908="NOT ON LIST"),"",VLOOKUP(G2908,Students!$A:$C,3,FALSE)&amp;"")</f>
        <v/>
      </c>
    </row>
    <row r="2909">
      <c r="A2909" s="31" t="n"/>
      <c r="B2909" s="32" t="n"/>
      <c r="C2909" s="32" t="n"/>
      <c r="D2909" s="33" t="n"/>
      <c r="E2909" s="32" t="n"/>
      <c r="F2909" s="34">
        <f>IF(A2909="","",IFERROR(INT(A2909),"check date"))</f>
        <v/>
      </c>
      <c r="G2909" s="35">
        <f>IF(B2909="","",IFERROR(INDEX(Students!$A:$A,MATCH(TRIM(B2909),Students!$A:$A,0)),"NOT ON LIST"))</f>
        <v/>
      </c>
      <c r="H2909" s="35">
        <f>IF(OR(G2909="",G2909="NOT ON LIST"),"",VLOOKUP(G2909,Students!$A:$C,2,FALSE))</f>
        <v/>
      </c>
      <c r="I2909" s="35">
        <f>IF(OR(G2909="",G2909="NOT ON LIST"),"",VLOOKUP(G2909,Students!$A:$C,3,FALSE)&amp;"")</f>
        <v/>
      </c>
    </row>
    <row r="2910">
      <c r="A2910" s="31" t="n"/>
      <c r="B2910" s="32" t="n"/>
      <c r="C2910" s="32" t="n"/>
      <c r="D2910" s="33" t="n"/>
      <c r="E2910" s="32" t="n"/>
      <c r="F2910" s="34">
        <f>IF(A2910="","",IFERROR(INT(A2910),"check date"))</f>
        <v/>
      </c>
      <c r="G2910" s="35">
        <f>IF(B2910="","",IFERROR(INDEX(Students!$A:$A,MATCH(TRIM(B2910),Students!$A:$A,0)),"NOT ON LIST"))</f>
        <v/>
      </c>
      <c r="H2910" s="35">
        <f>IF(OR(G2910="",G2910="NOT ON LIST"),"",VLOOKUP(G2910,Students!$A:$C,2,FALSE))</f>
        <v/>
      </c>
      <c r="I2910" s="35">
        <f>IF(OR(G2910="",G2910="NOT ON LIST"),"",VLOOKUP(G2910,Students!$A:$C,3,FALSE)&amp;"")</f>
        <v/>
      </c>
    </row>
    <row r="2911">
      <c r="A2911" s="31" t="n"/>
      <c r="B2911" s="32" t="n"/>
      <c r="C2911" s="32" t="n"/>
      <c r="D2911" s="33" t="n"/>
      <c r="E2911" s="32" t="n"/>
      <c r="F2911" s="34">
        <f>IF(A2911="","",IFERROR(INT(A2911),"check date"))</f>
        <v/>
      </c>
      <c r="G2911" s="35">
        <f>IF(B2911="","",IFERROR(INDEX(Students!$A:$A,MATCH(TRIM(B2911),Students!$A:$A,0)),"NOT ON LIST"))</f>
        <v/>
      </c>
      <c r="H2911" s="35">
        <f>IF(OR(G2911="",G2911="NOT ON LIST"),"",VLOOKUP(G2911,Students!$A:$C,2,FALSE))</f>
        <v/>
      </c>
      <c r="I2911" s="35">
        <f>IF(OR(G2911="",G2911="NOT ON LIST"),"",VLOOKUP(G2911,Students!$A:$C,3,FALSE)&amp;"")</f>
        <v/>
      </c>
    </row>
    <row r="2912">
      <c r="A2912" s="31" t="n"/>
      <c r="B2912" s="32" t="n"/>
      <c r="C2912" s="32" t="n"/>
      <c r="D2912" s="33" t="n"/>
      <c r="E2912" s="32" t="n"/>
      <c r="F2912" s="34">
        <f>IF(A2912="","",IFERROR(INT(A2912),"check date"))</f>
        <v/>
      </c>
      <c r="G2912" s="35">
        <f>IF(B2912="","",IFERROR(INDEX(Students!$A:$A,MATCH(TRIM(B2912),Students!$A:$A,0)),"NOT ON LIST"))</f>
        <v/>
      </c>
      <c r="H2912" s="35">
        <f>IF(OR(G2912="",G2912="NOT ON LIST"),"",VLOOKUP(G2912,Students!$A:$C,2,FALSE))</f>
        <v/>
      </c>
      <c r="I2912" s="35">
        <f>IF(OR(G2912="",G2912="NOT ON LIST"),"",VLOOKUP(G2912,Students!$A:$C,3,FALSE)&amp;"")</f>
        <v/>
      </c>
    </row>
    <row r="2913">
      <c r="A2913" s="31" t="n"/>
      <c r="B2913" s="32" t="n"/>
      <c r="C2913" s="32" t="n"/>
      <c r="D2913" s="33" t="n"/>
      <c r="E2913" s="32" t="n"/>
      <c r="F2913" s="34">
        <f>IF(A2913="","",IFERROR(INT(A2913),"check date"))</f>
        <v/>
      </c>
      <c r="G2913" s="35">
        <f>IF(B2913="","",IFERROR(INDEX(Students!$A:$A,MATCH(TRIM(B2913),Students!$A:$A,0)),"NOT ON LIST"))</f>
        <v/>
      </c>
      <c r="H2913" s="35">
        <f>IF(OR(G2913="",G2913="NOT ON LIST"),"",VLOOKUP(G2913,Students!$A:$C,2,FALSE))</f>
        <v/>
      </c>
      <c r="I2913" s="35">
        <f>IF(OR(G2913="",G2913="NOT ON LIST"),"",VLOOKUP(G2913,Students!$A:$C,3,FALSE)&amp;"")</f>
        <v/>
      </c>
    </row>
    <row r="2914">
      <c r="A2914" s="31" t="n"/>
      <c r="B2914" s="32" t="n"/>
      <c r="C2914" s="32" t="n"/>
      <c r="D2914" s="33" t="n"/>
      <c r="E2914" s="32" t="n"/>
      <c r="F2914" s="34">
        <f>IF(A2914="","",IFERROR(INT(A2914),"check date"))</f>
        <v/>
      </c>
      <c r="G2914" s="35">
        <f>IF(B2914="","",IFERROR(INDEX(Students!$A:$A,MATCH(TRIM(B2914),Students!$A:$A,0)),"NOT ON LIST"))</f>
        <v/>
      </c>
      <c r="H2914" s="35">
        <f>IF(OR(G2914="",G2914="NOT ON LIST"),"",VLOOKUP(G2914,Students!$A:$C,2,FALSE))</f>
        <v/>
      </c>
      <c r="I2914" s="35">
        <f>IF(OR(G2914="",G2914="NOT ON LIST"),"",VLOOKUP(G2914,Students!$A:$C,3,FALSE)&amp;"")</f>
        <v/>
      </c>
    </row>
    <row r="2915">
      <c r="A2915" s="31" t="n"/>
      <c r="B2915" s="32" t="n"/>
      <c r="C2915" s="32" t="n"/>
      <c r="D2915" s="33" t="n"/>
      <c r="E2915" s="32" t="n"/>
      <c r="F2915" s="34">
        <f>IF(A2915="","",IFERROR(INT(A2915),"check date"))</f>
        <v/>
      </c>
      <c r="G2915" s="35">
        <f>IF(B2915="","",IFERROR(INDEX(Students!$A:$A,MATCH(TRIM(B2915),Students!$A:$A,0)),"NOT ON LIST"))</f>
        <v/>
      </c>
      <c r="H2915" s="35">
        <f>IF(OR(G2915="",G2915="NOT ON LIST"),"",VLOOKUP(G2915,Students!$A:$C,2,FALSE))</f>
        <v/>
      </c>
      <c r="I2915" s="35">
        <f>IF(OR(G2915="",G2915="NOT ON LIST"),"",VLOOKUP(G2915,Students!$A:$C,3,FALSE)&amp;"")</f>
        <v/>
      </c>
    </row>
    <row r="2916">
      <c r="A2916" s="31" t="n"/>
      <c r="B2916" s="32" t="n"/>
      <c r="C2916" s="32" t="n"/>
      <c r="D2916" s="33" t="n"/>
      <c r="E2916" s="32" t="n"/>
      <c r="F2916" s="34">
        <f>IF(A2916="","",IFERROR(INT(A2916),"check date"))</f>
        <v/>
      </c>
      <c r="G2916" s="35">
        <f>IF(B2916="","",IFERROR(INDEX(Students!$A:$A,MATCH(TRIM(B2916),Students!$A:$A,0)),"NOT ON LIST"))</f>
        <v/>
      </c>
      <c r="H2916" s="35">
        <f>IF(OR(G2916="",G2916="NOT ON LIST"),"",VLOOKUP(G2916,Students!$A:$C,2,FALSE))</f>
        <v/>
      </c>
      <c r="I2916" s="35">
        <f>IF(OR(G2916="",G2916="NOT ON LIST"),"",VLOOKUP(G2916,Students!$A:$C,3,FALSE)&amp;"")</f>
        <v/>
      </c>
    </row>
    <row r="2917">
      <c r="A2917" s="31" t="n"/>
      <c r="B2917" s="32" t="n"/>
      <c r="C2917" s="32" t="n"/>
      <c r="D2917" s="33" t="n"/>
      <c r="E2917" s="32" t="n"/>
      <c r="F2917" s="34">
        <f>IF(A2917="","",IFERROR(INT(A2917),"check date"))</f>
        <v/>
      </c>
      <c r="G2917" s="35">
        <f>IF(B2917="","",IFERROR(INDEX(Students!$A:$A,MATCH(TRIM(B2917),Students!$A:$A,0)),"NOT ON LIST"))</f>
        <v/>
      </c>
      <c r="H2917" s="35">
        <f>IF(OR(G2917="",G2917="NOT ON LIST"),"",VLOOKUP(G2917,Students!$A:$C,2,FALSE))</f>
        <v/>
      </c>
      <c r="I2917" s="35">
        <f>IF(OR(G2917="",G2917="NOT ON LIST"),"",VLOOKUP(G2917,Students!$A:$C,3,FALSE)&amp;"")</f>
        <v/>
      </c>
    </row>
    <row r="2918">
      <c r="A2918" s="31" t="n"/>
      <c r="B2918" s="32" t="n"/>
      <c r="C2918" s="32" t="n"/>
      <c r="D2918" s="33" t="n"/>
      <c r="E2918" s="32" t="n"/>
      <c r="F2918" s="34">
        <f>IF(A2918="","",IFERROR(INT(A2918),"check date"))</f>
        <v/>
      </c>
      <c r="G2918" s="35">
        <f>IF(B2918="","",IFERROR(INDEX(Students!$A:$A,MATCH(TRIM(B2918),Students!$A:$A,0)),"NOT ON LIST"))</f>
        <v/>
      </c>
      <c r="H2918" s="35">
        <f>IF(OR(G2918="",G2918="NOT ON LIST"),"",VLOOKUP(G2918,Students!$A:$C,2,FALSE))</f>
        <v/>
      </c>
      <c r="I2918" s="35">
        <f>IF(OR(G2918="",G2918="NOT ON LIST"),"",VLOOKUP(G2918,Students!$A:$C,3,FALSE)&amp;"")</f>
        <v/>
      </c>
    </row>
    <row r="2919">
      <c r="A2919" s="31" t="n"/>
      <c r="B2919" s="32" t="n"/>
      <c r="C2919" s="32" t="n"/>
      <c r="D2919" s="33" t="n"/>
      <c r="E2919" s="32" t="n"/>
      <c r="F2919" s="34">
        <f>IF(A2919="","",IFERROR(INT(A2919),"check date"))</f>
        <v/>
      </c>
      <c r="G2919" s="35">
        <f>IF(B2919="","",IFERROR(INDEX(Students!$A:$A,MATCH(TRIM(B2919),Students!$A:$A,0)),"NOT ON LIST"))</f>
        <v/>
      </c>
      <c r="H2919" s="35">
        <f>IF(OR(G2919="",G2919="NOT ON LIST"),"",VLOOKUP(G2919,Students!$A:$C,2,FALSE))</f>
        <v/>
      </c>
      <c r="I2919" s="35">
        <f>IF(OR(G2919="",G2919="NOT ON LIST"),"",VLOOKUP(G2919,Students!$A:$C,3,FALSE)&amp;"")</f>
        <v/>
      </c>
    </row>
    <row r="2920">
      <c r="A2920" s="31" t="n"/>
      <c r="B2920" s="32" t="n"/>
      <c r="C2920" s="32" t="n"/>
      <c r="D2920" s="33" t="n"/>
      <c r="E2920" s="32" t="n"/>
      <c r="F2920" s="34">
        <f>IF(A2920="","",IFERROR(INT(A2920),"check date"))</f>
        <v/>
      </c>
      <c r="G2920" s="35">
        <f>IF(B2920="","",IFERROR(INDEX(Students!$A:$A,MATCH(TRIM(B2920),Students!$A:$A,0)),"NOT ON LIST"))</f>
        <v/>
      </c>
      <c r="H2920" s="35">
        <f>IF(OR(G2920="",G2920="NOT ON LIST"),"",VLOOKUP(G2920,Students!$A:$C,2,FALSE))</f>
        <v/>
      </c>
      <c r="I2920" s="35">
        <f>IF(OR(G2920="",G2920="NOT ON LIST"),"",VLOOKUP(G2920,Students!$A:$C,3,FALSE)&amp;"")</f>
        <v/>
      </c>
    </row>
    <row r="2921">
      <c r="A2921" s="31" t="n"/>
      <c r="B2921" s="32" t="n"/>
      <c r="C2921" s="32" t="n"/>
      <c r="D2921" s="33" t="n"/>
      <c r="E2921" s="32" t="n"/>
      <c r="F2921" s="34">
        <f>IF(A2921="","",IFERROR(INT(A2921),"check date"))</f>
        <v/>
      </c>
      <c r="G2921" s="35">
        <f>IF(B2921="","",IFERROR(INDEX(Students!$A:$A,MATCH(TRIM(B2921),Students!$A:$A,0)),"NOT ON LIST"))</f>
        <v/>
      </c>
      <c r="H2921" s="35">
        <f>IF(OR(G2921="",G2921="NOT ON LIST"),"",VLOOKUP(G2921,Students!$A:$C,2,FALSE))</f>
        <v/>
      </c>
      <c r="I2921" s="35">
        <f>IF(OR(G2921="",G2921="NOT ON LIST"),"",VLOOKUP(G2921,Students!$A:$C,3,FALSE)&amp;"")</f>
        <v/>
      </c>
    </row>
    <row r="2922">
      <c r="A2922" s="31" t="n"/>
      <c r="B2922" s="32" t="n"/>
      <c r="C2922" s="32" t="n"/>
      <c r="D2922" s="33" t="n"/>
      <c r="E2922" s="32" t="n"/>
      <c r="F2922" s="34">
        <f>IF(A2922="","",IFERROR(INT(A2922),"check date"))</f>
        <v/>
      </c>
      <c r="G2922" s="35">
        <f>IF(B2922="","",IFERROR(INDEX(Students!$A:$A,MATCH(TRIM(B2922),Students!$A:$A,0)),"NOT ON LIST"))</f>
        <v/>
      </c>
      <c r="H2922" s="35">
        <f>IF(OR(G2922="",G2922="NOT ON LIST"),"",VLOOKUP(G2922,Students!$A:$C,2,FALSE))</f>
        <v/>
      </c>
      <c r="I2922" s="35">
        <f>IF(OR(G2922="",G2922="NOT ON LIST"),"",VLOOKUP(G2922,Students!$A:$C,3,FALSE)&amp;"")</f>
        <v/>
      </c>
    </row>
    <row r="2923">
      <c r="A2923" s="31" t="n"/>
      <c r="B2923" s="32" t="n"/>
      <c r="C2923" s="32" t="n"/>
      <c r="D2923" s="33" t="n"/>
      <c r="E2923" s="32" t="n"/>
      <c r="F2923" s="34">
        <f>IF(A2923="","",IFERROR(INT(A2923),"check date"))</f>
        <v/>
      </c>
      <c r="G2923" s="35">
        <f>IF(B2923="","",IFERROR(INDEX(Students!$A:$A,MATCH(TRIM(B2923),Students!$A:$A,0)),"NOT ON LIST"))</f>
        <v/>
      </c>
      <c r="H2923" s="35">
        <f>IF(OR(G2923="",G2923="NOT ON LIST"),"",VLOOKUP(G2923,Students!$A:$C,2,FALSE))</f>
        <v/>
      </c>
      <c r="I2923" s="35">
        <f>IF(OR(G2923="",G2923="NOT ON LIST"),"",VLOOKUP(G2923,Students!$A:$C,3,FALSE)&amp;"")</f>
        <v/>
      </c>
    </row>
    <row r="2924">
      <c r="A2924" s="31" t="n"/>
      <c r="B2924" s="32" t="n"/>
      <c r="C2924" s="32" t="n"/>
      <c r="D2924" s="33" t="n"/>
      <c r="E2924" s="32" t="n"/>
      <c r="F2924" s="34">
        <f>IF(A2924="","",IFERROR(INT(A2924),"check date"))</f>
        <v/>
      </c>
      <c r="G2924" s="35">
        <f>IF(B2924="","",IFERROR(INDEX(Students!$A:$A,MATCH(TRIM(B2924),Students!$A:$A,0)),"NOT ON LIST"))</f>
        <v/>
      </c>
      <c r="H2924" s="35">
        <f>IF(OR(G2924="",G2924="NOT ON LIST"),"",VLOOKUP(G2924,Students!$A:$C,2,FALSE))</f>
        <v/>
      </c>
      <c r="I2924" s="35">
        <f>IF(OR(G2924="",G2924="NOT ON LIST"),"",VLOOKUP(G2924,Students!$A:$C,3,FALSE)&amp;"")</f>
        <v/>
      </c>
    </row>
    <row r="2925">
      <c r="A2925" s="31" t="n"/>
      <c r="B2925" s="32" t="n"/>
      <c r="C2925" s="32" t="n"/>
      <c r="D2925" s="33" t="n"/>
      <c r="E2925" s="32" t="n"/>
      <c r="F2925" s="34">
        <f>IF(A2925="","",IFERROR(INT(A2925),"check date"))</f>
        <v/>
      </c>
      <c r="G2925" s="35">
        <f>IF(B2925="","",IFERROR(INDEX(Students!$A:$A,MATCH(TRIM(B2925),Students!$A:$A,0)),"NOT ON LIST"))</f>
        <v/>
      </c>
      <c r="H2925" s="35">
        <f>IF(OR(G2925="",G2925="NOT ON LIST"),"",VLOOKUP(G2925,Students!$A:$C,2,FALSE))</f>
        <v/>
      </c>
      <c r="I2925" s="35">
        <f>IF(OR(G2925="",G2925="NOT ON LIST"),"",VLOOKUP(G2925,Students!$A:$C,3,FALSE)&amp;"")</f>
        <v/>
      </c>
    </row>
    <row r="2926">
      <c r="A2926" s="31" t="n"/>
      <c r="B2926" s="32" t="n"/>
      <c r="C2926" s="32" t="n"/>
      <c r="D2926" s="33" t="n"/>
      <c r="E2926" s="32" t="n"/>
      <c r="F2926" s="34">
        <f>IF(A2926="","",IFERROR(INT(A2926),"check date"))</f>
        <v/>
      </c>
      <c r="G2926" s="35">
        <f>IF(B2926="","",IFERROR(INDEX(Students!$A:$A,MATCH(TRIM(B2926),Students!$A:$A,0)),"NOT ON LIST"))</f>
        <v/>
      </c>
      <c r="H2926" s="35">
        <f>IF(OR(G2926="",G2926="NOT ON LIST"),"",VLOOKUP(G2926,Students!$A:$C,2,FALSE))</f>
        <v/>
      </c>
      <c r="I2926" s="35">
        <f>IF(OR(G2926="",G2926="NOT ON LIST"),"",VLOOKUP(G2926,Students!$A:$C,3,FALSE)&amp;"")</f>
        <v/>
      </c>
    </row>
    <row r="2927">
      <c r="A2927" s="31" t="n"/>
      <c r="B2927" s="32" t="n"/>
      <c r="C2927" s="32" t="n"/>
      <c r="D2927" s="33" t="n"/>
      <c r="E2927" s="32" t="n"/>
      <c r="F2927" s="34">
        <f>IF(A2927="","",IFERROR(INT(A2927),"check date"))</f>
        <v/>
      </c>
      <c r="G2927" s="35">
        <f>IF(B2927="","",IFERROR(INDEX(Students!$A:$A,MATCH(TRIM(B2927),Students!$A:$A,0)),"NOT ON LIST"))</f>
        <v/>
      </c>
      <c r="H2927" s="35">
        <f>IF(OR(G2927="",G2927="NOT ON LIST"),"",VLOOKUP(G2927,Students!$A:$C,2,FALSE))</f>
        <v/>
      </c>
      <c r="I2927" s="35">
        <f>IF(OR(G2927="",G2927="NOT ON LIST"),"",VLOOKUP(G2927,Students!$A:$C,3,FALSE)&amp;"")</f>
        <v/>
      </c>
    </row>
    <row r="2928">
      <c r="A2928" s="31" t="n"/>
      <c r="B2928" s="32" t="n"/>
      <c r="C2928" s="32" t="n"/>
      <c r="D2928" s="33" t="n"/>
      <c r="E2928" s="32" t="n"/>
      <c r="F2928" s="34">
        <f>IF(A2928="","",IFERROR(INT(A2928),"check date"))</f>
        <v/>
      </c>
      <c r="G2928" s="35">
        <f>IF(B2928="","",IFERROR(INDEX(Students!$A:$A,MATCH(TRIM(B2928),Students!$A:$A,0)),"NOT ON LIST"))</f>
        <v/>
      </c>
      <c r="H2928" s="35">
        <f>IF(OR(G2928="",G2928="NOT ON LIST"),"",VLOOKUP(G2928,Students!$A:$C,2,FALSE))</f>
        <v/>
      </c>
      <c r="I2928" s="35">
        <f>IF(OR(G2928="",G2928="NOT ON LIST"),"",VLOOKUP(G2928,Students!$A:$C,3,FALSE)&amp;"")</f>
        <v/>
      </c>
    </row>
    <row r="2929">
      <c r="A2929" s="31" t="n"/>
      <c r="B2929" s="32" t="n"/>
      <c r="C2929" s="32" t="n"/>
      <c r="D2929" s="33" t="n"/>
      <c r="E2929" s="32" t="n"/>
      <c r="F2929" s="34">
        <f>IF(A2929="","",IFERROR(INT(A2929),"check date"))</f>
        <v/>
      </c>
      <c r="G2929" s="35">
        <f>IF(B2929="","",IFERROR(INDEX(Students!$A:$A,MATCH(TRIM(B2929),Students!$A:$A,0)),"NOT ON LIST"))</f>
        <v/>
      </c>
      <c r="H2929" s="35">
        <f>IF(OR(G2929="",G2929="NOT ON LIST"),"",VLOOKUP(G2929,Students!$A:$C,2,FALSE))</f>
        <v/>
      </c>
      <c r="I2929" s="35">
        <f>IF(OR(G2929="",G2929="NOT ON LIST"),"",VLOOKUP(G2929,Students!$A:$C,3,FALSE)&amp;"")</f>
        <v/>
      </c>
    </row>
    <row r="2930">
      <c r="A2930" s="31" t="n"/>
      <c r="B2930" s="32" t="n"/>
      <c r="C2930" s="32" t="n"/>
      <c r="D2930" s="33" t="n"/>
      <c r="E2930" s="32" t="n"/>
      <c r="F2930" s="34">
        <f>IF(A2930="","",IFERROR(INT(A2930),"check date"))</f>
        <v/>
      </c>
      <c r="G2930" s="35">
        <f>IF(B2930="","",IFERROR(INDEX(Students!$A:$A,MATCH(TRIM(B2930),Students!$A:$A,0)),"NOT ON LIST"))</f>
        <v/>
      </c>
      <c r="H2930" s="35">
        <f>IF(OR(G2930="",G2930="NOT ON LIST"),"",VLOOKUP(G2930,Students!$A:$C,2,FALSE))</f>
        <v/>
      </c>
      <c r="I2930" s="35">
        <f>IF(OR(G2930="",G2930="NOT ON LIST"),"",VLOOKUP(G2930,Students!$A:$C,3,FALSE)&amp;"")</f>
        <v/>
      </c>
    </row>
    <row r="2931">
      <c r="A2931" s="31" t="n"/>
      <c r="B2931" s="32" t="n"/>
      <c r="C2931" s="32" t="n"/>
      <c r="D2931" s="33" t="n"/>
      <c r="E2931" s="32" t="n"/>
      <c r="F2931" s="34">
        <f>IF(A2931="","",IFERROR(INT(A2931),"check date"))</f>
        <v/>
      </c>
      <c r="G2931" s="35">
        <f>IF(B2931="","",IFERROR(INDEX(Students!$A:$A,MATCH(TRIM(B2931),Students!$A:$A,0)),"NOT ON LIST"))</f>
        <v/>
      </c>
      <c r="H2931" s="35">
        <f>IF(OR(G2931="",G2931="NOT ON LIST"),"",VLOOKUP(G2931,Students!$A:$C,2,FALSE))</f>
        <v/>
      </c>
      <c r="I2931" s="35">
        <f>IF(OR(G2931="",G2931="NOT ON LIST"),"",VLOOKUP(G2931,Students!$A:$C,3,FALSE)&amp;"")</f>
        <v/>
      </c>
    </row>
    <row r="2932">
      <c r="A2932" s="31" t="n"/>
      <c r="B2932" s="32" t="n"/>
      <c r="C2932" s="32" t="n"/>
      <c r="D2932" s="33" t="n"/>
      <c r="E2932" s="32" t="n"/>
      <c r="F2932" s="34">
        <f>IF(A2932="","",IFERROR(INT(A2932),"check date"))</f>
        <v/>
      </c>
      <c r="G2932" s="35">
        <f>IF(B2932="","",IFERROR(INDEX(Students!$A:$A,MATCH(TRIM(B2932),Students!$A:$A,0)),"NOT ON LIST"))</f>
        <v/>
      </c>
      <c r="H2932" s="35">
        <f>IF(OR(G2932="",G2932="NOT ON LIST"),"",VLOOKUP(G2932,Students!$A:$C,2,FALSE))</f>
        <v/>
      </c>
      <c r="I2932" s="35">
        <f>IF(OR(G2932="",G2932="NOT ON LIST"),"",VLOOKUP(G2932,Students!$A:$C,3,FALSE)&amp;"")</f>
        <v/>
      </c>
    </row>
    <row r="2933">
      <c r="A2933" s="31" t="n"/>
      <c r="B2933" s="32" t="n"/>
      <c r="C2933" s="32" t="n"/>
      <c r="D2933" s="33" t="n"/>
      <c r="E2933" s="32" t="n"/>
      <c r="F2933" s="34">
        <f>IF(A2933="","",IFERROR(INT(A2933),"check date"))</f>
        <v/>
      </c>
      <c r="G2933" s="35">
        <f>IF(B2933="","",IFERROR(INDEX(Students!$A:$A,MATCH(TRIM(B2933),Students!$A:$A,0)),"NOT ON LIST"))</f>
        <v/>
      </c>
      <c r="H2933" s="35">
        <f>IF(OR(G2933="",G2933="NOT ON LIST"),"",VLOOKUP(G2933,Students!$A:$C,2,FALSE))</f>
        <v/>
      </c>
      <c r="I2933" s="35">
        <f>IF(OR(G2933="",G2933="NOT ON LIST"),"",VLOOKUP(G2933,Students!$A:$C,3,FALSE)&amp;"")</f>
        <v/>
      </c>
    </row>
    <row r="2934">
      <c r="A2934" s="31" t="n"/>
      <c r="B2934" s="32" t="n"/>
      <c r="C2934" s="32" t="n"/>
      <c r="D2934" s="33" t="n"/>
      <c r="E2934" s="32" t="n"/>
      <c r="F2934" s="34">
        <f>IF(A2934="","",IFERROR(INT(A2934),"check date"))</f>
        <v/>
      </c>
      <c r="G2934" s="35">
        <f>IF(B2934="","",IFERROR(INDEX(Students!$A:$A,MATCH(TRIM(B2934),Students!$A:$A,0)),"NOT ON LIST"))</f>
        <v/>
      </c>
      <c r="H2934" s="35">
        <f>IF(OR(G2934="",G2934="NOT ON LIST"),"",VLOOKUP(G2934,Students!$A:$C,2,FALSE))</f>
        <v/>
      </c>
      <c r="I2934" s="35">
        <f>IF(OR(G2934="",G2934="NOT ON LIST"),"",VLOOKUP(G2934,Students!$A:$C,3,FALSE)&amp;"")</f>
        <v/>
      </c>
    </row>
    <row r="2935">
      <c r="A2935" s="31" t="n"/>
      <c r="B2935" s="32" t="n"/>
      <c r="C2935" s="32" t="n"/>
      <c r="D2935" s="33" t="n"/>
      <c r="E2935" s="32" t="n"/>
      <c r="F2935" s="34">
        <f>IF(A2935="","",IFERROR(INT(A2935),"check date"))</f>
        <v/>
      </c>
      <c r="G2935" s="35">
        <f>IF(B2935="","",IFERROR(INDEX(Students!$A:$A,MATCH(TRIM(B2935),Students!$A:$A,0)),"NOT ON LIST"))</f>
        <v/>
      </c>
      <c r="H2935" s="35">
        <f>IF(OR(G2935="",G2935="NOT ON LIST"),"",VLOOKUP(G2935,Students!$A:$C,2,FALSE))</f>
        <v/>
      </c>
      <c r="I2935" s="35">
        <f>IF(OR(G2935="",G2935="NOT ON LIST"),"",VLOOKUP(G2935,Students!$A:$C,3,FALSE)&amp;"")</f>
        <v/>
      </c>
    </row>
    <row r="2936">
      <c r="A2936" s="31" t="n"/>
      <c r="B2936" s="32" t="n"/>
      <c r="C2936" s="32" t="n"/>
      <c r="D2936" s="33" t="n"/>
      <c r="E2936" s="32" t="n"/>
      <c r="F2936" s="34">
        <f>IF(A2936="","",IFERROR(INT(A2936),"check date"))</f>
        <v/>
      </c>
      <c r="G2936" s="35">
        <f>IF(B2936="","",IFERROR(INDEX(Students!$A:$A,MATCH(TRIM(B2936),Students!$A:$A,0)),"NOT ON LIST"))</f>
        <v/>
      </c>
      <c r="H2936" s="35">
        <f>IF(OR(G2936="",G2936="NOT ON LIST"),"",VLOOKUP(G2936,Students!$A:$C,2,FALSE))</f>
        <v/>
      </c>
      <c r="I2936" s="35">
        <f>IF(OR(G2936="",G2936="NOT ON LIST"),"",VLOOKUP(G2936,Students!$A:$C,3,FALSE)&amp;"")</f>
        <v/>
      </c>
    </row>
    <row r="2937">
      <c r="A2937" s="31" t="n"/>
      <c r="B2937" s="32" t="n"/>
      <c r="C2937" s="32" t="n"/>
      <c r="D2937" s="33" t="n"/>
      <c r="E2937" s="32" t="n"/>
      <c r="F2937" s="34">
        <f>IF(A2937="","",IFERROR(INT(A2937),"check date"))</f>
        <v/>
      </c>
      <c r="G2937" s="35">
        <f>IF(B2937="","",IFERROR(INDEX(Students!$A:$A,MATCH(TRIM(B2937),Students!$A:$A,0)),"NOT ON LIST"))</f>
        <v/>
      </c>
      <c r="H2937" s="35">
        <f>IF(OR(G2937="",G2937="NOT ON LIST"),"",VLOOKUP(G2937,Students!$A:$C,2,FALSE))</f>
        <v/>
      </c>
      <c r="I2937" s="35">
        <f>IF(OR(G2937="",G2937="NOT ON LIST"),"",VLOOKUP(G2937,Students!$A:$C,3,FALSE)&amp;"")</f>
        <v/>
      </c>
    </row>
    <row r="2938">
      <c r="A2938" s="31" t="n"/>
      <c r="B2938" s="32" t="n"/>
      <c r="C2938" s="32" t="n"/>
      <c r="D2938" s="33" t="n"/>
      <c r="E2938" s="32" t="n"/>
      <c r="F2938" s="34">
        <f>IF(A2938="","",IFERROR(INT(A2938),"check date"))</f>
        <v/>
      </c>
      <c r="G2938" s="35">
        <f>IF(B2938="","",IFERROR(INDEX(Students!$A:$A,MATCH(TRIM(B2938),Students!$A:$A,0)),"NOT ON LIST"))</f>
        <v/>
      </c>
      <c r="H2938" s="35">
        <f>IF(OR(G2938="",G2938="NOT ON LIST"),"",VLOOKUP(G2938,Students!$A:$C,2,FALSE))</f>
        <v/>
      </c>
      <c r="I2938" s="35">
        <f>IF(OR(G2938="",G2938="NOT ON LIST"),"",VLOOKUP(G2938,Students!$A:$C,3,FALSE)&amp;"")</f>
        <v/>
      </c>
    </row>
    <row r="2939">
      <c r="A2939" s="31" t="n"/>
      <c r="B2939" s="32" t="n"/>
      <c r="C2939" s="32" t="n"/>
      <c r="D2939" s="33" t="n"/>
      <c r="E2939" s="32" t="n"/>
      <c r="F2939" s="34">
        <f>IF(A2939="","",IFERROR(INT(A2939),"check date"))</f>
        <v/>
      </c>
      <c r="G2939" s="35">
        <f>IF(B2939="","",IFERROR(INDEX(Students!$A:$A,MATCH(TRIM(B2939),Students!$A:$A,0)),"NOT ON LIST"))</f>
        <v/>
      </c>
      <c r="H2939" s="35">
        <f>IF(OR(G2939="",G2939="NOT ON LIST"),"",VLOOKUP(G2939,Students!$A:$C,2,FALSE))</f>
        <v/>
      </c>
      <c r="I2939" s="35">
        <f>IF(OR(G2939="",G2939="NOT ON LIST"),"",VLOOKUP(G2939,Students!$A:$C,3,FALSE)&amp;"")</f>
        <v/>
      </c>
    </row>
    <row r="2940">
      <c r="A2940" s="31" t="n"/>
      <c r="B2940" s="32" t="n"/>
      <c r="C2940" s="32" t="n"/>
      <c r="D2940" s="33" t="n"/>
      <c r="E2940" s="32" t="n"/>
      <c r="F2940" s="34">
        <f>IF(A2940="","",IFERROR(INT(A2940),"check date"))</f>
        <v/>
      </c>
      <c r="G2940" s="35">
        <f>IF(B2940="","",IFERROR(INDEX(Students!$A:$A,MATCH(TRIM(B2940),Students!$A:$A,0)),"NOT ON LIST"))</f>
        <v/>
      </c>
      <c r="H2940" s="35">
        <f>IF(OR(G2940="",G2940="NOT ON LIST"),"",VLOOKUP(G2940,Students!$A:$C,2,FALSE))</f>
        <v/>
      </c>
      <c r="I2940" s="35">
        <f>IF(OR(G2940="",G2940="NOT ON LIST"),"",VLOOKUP(G2940,Students!$A:$C,3,FALSE)&amp;"")</f>
        <v/>
      </c>
    </row>
    <row r="2941">
      <c r="A2941" s="31" t="n"/>
      <c r="B2941" s="32" t="n"/>
      <c r="C2941" s="32" t="n"/>
      <c r="D2941" s="33" t="n"/>
      <c r="E2941" s="32" t="n"/>
      <c r="F2941" s="34">
        <f>IF(A2941="","",IFERROR(INT(A2941),"check date"))</f>
        <v/>
      </c>
      <c r="G2941" s="35">
        <f>IF(B2941="","",IFERROR(INDEX(Students!$A:$A,MATCH(TRIM(B2941),Students!$A:$A,0)),"NOT ON LIST"))</f>
        <v/>
      </c>
      <c r="H2941" s="35">
        <f>IF(OR(G2941="",G2941="NOT ON LIST"),"",VLOOKUP(G2941,Students!$A:$C,2,FALSE))</f>
        <v/>
      </c>
      <c r="I2941" s="35">
        <f>IF(OR(G2941="",G2941="NOT ON LIST"),"",VLOOKUP(G2941,Students!$A:$C,3,FALSE)&amp;"")</f>
        <v/>
      </c>
    </row>
    <row r="2942">
      <c r="A2942" s="31" t="n"/>
      <c r="B2942" s="32" t="n"/>
      <c r="C2942" s="32" t="n"/>
      <c r="D2942" s="33" t="n"/>
      <c r="E2942" s="32" t="n"/>
      <c r="F2942" s="34">
        <f>IF(A2942="","",IFERROR(INT(A2942),"check date"))</f>
        <v/>
      </c>
      <c r="G2942" s="35">
        <f>IF(B2942="","",IFERROR(INDEX(Students!$A:$A,MATCH(TRIM(B2942),Students!$A:$A,0)),"NOT ON LIST"))</f>
        <v/>
      </c>
      <c r="H2942" s="35">
        <f>IF(OR(G2942="",G2942="NOT ON LIST"),"",VLOOKUP(G2942,Students!$A:$C,2,FALSE))</f>
        <v/>
      </c>
      <c r="I2942" s="35">
        <f>IF(OR(G2942="",G2942="NOT ON LIST"),"",VLOOKUP(G2942,Students!$A:$C,3,FALSE)&amp;"")</f>
        <v/>
      </c>
    </row>
    <row r="2943">
      <c r="A2943" s="31" t="n"/>
      <c r="B2943" s="32" t="n"/>
      <c r="C2943" s="32" t="n"/>
      <c r="D2943" s="33" t="n"/>
      <c r="E2943" s="32" t="n"/>
      <c r="F2943" s="34">
        <f>IF(A2943="","",IFERROR(INT(A2943),"check date"))</f>
        <v/>
      </c>
      <c r="G2943" s="35">
        <f>IF(B2943="","",IFERROR(INDEX(Students!$A:$A,MATCH(TRIM(B2943),Students!$A:$A,0)),"NOT ON LIST"))</f>
        <v/>
      </c>
      <c r="H2943" s="35">
        <f>IF(OR(G2943="",G2943="NOT ON LIST"),"",VLOOKUP(G2943,Students!$A:$C,2,FALSE))</f>
        <v/>
      </c>
      <c r="I2943" s="35">
        <f>IF(OR(G2943="",G2943="NOT ON LIST"),"",VLOOKUP(G2943,Students!$A:$C,3,FALSE)&amp;"")</f>
        <v/>
      </c>
    </row>
    <row r="2944">
      <c r="A2944" s="31" t="n"/>
      <c r="B2944" s="32" t="n"/>
      <c r="C2944" s="32" t="n"/>
      <c r="D2944" s="33" t="n"/>
      <c r="E2944" s="32" t="n"/>
      <c r="F2944" s="34">
        <f>IF(A2944="","",IFERROR(INT(A2944),"check date"))</f>
        <v/>
      </c>
      <c r="G2944" s="35">
        <f>IF(B2944="","",IFERROR(INDEX(Students!$A:$A,MATCH(TRIM(B2944),Students!$A:$A,0)),"NOT ON LIST"))</f>
        <v/>
      </c>
      <c r="H2944" s="35">
        <f>IF(OR(G2944="",G2944="NOT ON LIST"),"",VLOOKUP(G2944,Students!$A:$C,2,FALSE))</f>
        <v/>
      </c>
      <c r="I2944" s="35">
        <f>IF(OR(G2944="",G2944="NOT ON LIST"),"",VLOOKUP(G2944,Students!$A:$C,3,FALSE)&amp;"")</f>
        <v/>
      </c>
    </row>
    <row r="2945">
      <c r="A2945" s="31" t="n"/>
      <c r="B2945" s="32" t="n"/>
      <c r="C2945" s="32" t="n"/>
      <c r="D2945" s="33" t="n"/>
      <c r="E2945" s="32" t="n"/>
      <c r="F2945" s="34">
        <f>IF(A2945="","",IFERROR(INT(A2945),"check date"))</f>
        <v/>
      </c>
      <c r="G2945" s="35">
        <f>IF(B2945="","",IFERROR(INDEX(Students!$A:$A,MATCH(TRIM(B2945),Students!$A:$A,0)),"NOT ON LIST"))</f>
        <v/>
      </c>
      <c r="H2945" s="35">
        <f>IF(OR(G2945="",G2945="NOT ON LIST"),"",VLOOKUP(G2945,Students!$A:$C,2,FALSE))</f>
        <v/>
      </c>
      <c r="I2945" s="35">
        <f>IF(OR(G2945="",G2945="NOT ON LIST"),"",VLOOKUP(G2945,Students!$A:$C,3,FALSE)&amp;"")</f>
        <v/>
      </c>
    </row>
    <row r="2946">
      <c r="A2946" s="31" t="n"/>
      <c r="B2946" s="32" t="n"/>
      <c r="C2946" s="32" t="n"/>
      <c r="D2946" s="33" t="n"/>
      <c r="E2946" s="32" t="n"/>
      <c r="F2946" s="34">
        <f>IF(A2946="","",IFERROR(INT(A2946),"check date"))</f>
        <v/>
      </c>
      <c r="G2946" s="35">
        <f>IF(B2946="","",IFERROR(INDEX(Students!$A:$A,MATCH(TRIM(B2946),Students!$A:$A,0)),"NOT ON LIST"))</f>
        <v/>
      </c>
      <c r="H2946" s="35">
        <f>IF(OR(G2946="",G2946="NOT ON LIST"),"",VLOOKUP(G2946,Students!$A:$C,2,FALSE))</f>
        <v/>
      </c>
      <c r="I2946" s="35">
        <f>IF(OR(G2946="",G2946="NOT ON LIST"),"",VLOOKUP(G2946,Students!$A:$C,3,FALSE)&amp;"")</f>
        <v/>
      </c>
    </row>
    <row r="2947">
      <c r="A2947" s="31" t="n"/>
      <c r="B2947" s="32" t="n"/>
      <c r="C2947" s="32" t="n"/>
      <c r="D2947" s="33" t="n"/>
      <c r="E2947" s="32" t="n"/>
      <c r="F2947" s="34">
        <f>IF(A2947="","",IFERROR(INT(A2947),"check date"))</f>
        <v/>
      </c>
      <c r="G2947" s="35">
        <f>IF(B2947="","",IFERROR(INDEX(Students!$A:$A,MATCH(TRIM(B2947),Students!$A:$A,0)),"NOT ON LIST"))</f>
        <v/>
      </c>
      <c r="H2947" s="35">
        <f>IF(OR(G2947="",G2947="NOT ON LIST"),"",VLOOKUP(G2947,Students!$A:$C,2,FALSE))</f>
        <v/>
      </c>
      <c r="I2947" s="35">
        <f>IF(OR(G2947="",G2947="NOT ON LIST"),"",VLOOKUP(G2947,Students!$A:$C,3,FALSE)&amp;"")</f>
        <v/>
      </c>
    </row>
    <row r="2948">
      <c r="A2948" s="31" t="n"/>
      <c r="B2948" s="32" t="n"/>
      <c r="C2948" s="32" t="n"/>
      <c r="D2948" s="33" t="n"/>
      <c r="E2948" s="32" t="n"/>
      <c r="F2948" s="34">
        <f>IF(A2948="","",IFERROR(INT(A2948),"check date"))</f>
        <v/>
      </c>
      <c r="G2948" s="35">
        <f>IF(B2948="","",IFERROR(INDEX(Students!$A:$A,MATCH(TRIM(B2948),Students!$A:$A,0)),"NOT ON LIST"))</f>
        <v/>
      </c>
      <c r="H2948" s="35">
        <f>IF(OR(G2948="",G2948="NOT ON LIST"),"",VLOOKUP(G2948,Students!$A:$C,2,FALSE))</f>
        <v/>
      </c>
      <c r="I2948" s="35">
        <f>IF(OR(G2948="",G2948="NOT ON LIST"),"",VLOOKUP(G2948,Students!$A:$C,3,FALSE)&amp;"")</f>
        <v/>
      </c>
    </row>
    <row r="2949">
      <c r="A2949" s="31" t="n"/>
      <c r="B2949" s="32" t="n"/>
      <c r="C2949" s="32" t="n"/>
      <c r="D2949" s="33" t="n"/>
      <c r="E2949" s="32" t="n"/>
      <c r="F2949" s="34">
        <f>IF(A2949="","",IFERROR(INT(A2949),"check date"))</f>
        <v/>
      </c>
      <c r="G2949" s="35">
        <f>IF(B2949="","",IFERROR(INDEX(Students!$A:$A,MATCH(TRIM(B2949),Students!$A:$A,0)),"NOT ON LIST"))</f>
        <v/>
      </c>
      <c r="H2949" s="35">
        <f>IF(OR(G2949="",G2949="NOT ON LIST"),"",VLOOKUP(G2949,Students!$A:$C,2,FALSE))</f>
        <v/>
      </c>
      <c r="I2949" s="35">
        <f>IF(OR(G2949="",G2949="NOT ON LIST"),"",VLOOKUP(G2949,Students!$A:$C,3,FALSE)&amp;"")</f>
        <v/>
      </c>
    </row>
    <row r="2950">
      <c r="A2950" s="31" t="n"/>
      <c r="B2950" s="32" t="n"/>
      <c r="C2950" s="32" t="n"/>
      <c r="D2950" s="33" t="n"/>
      <c r="E2950" s="32" t="n"/>
      <c r="F2950" s="34">
        <f>IF(A2950="","",IFERROR(INT(A2950),"check date"))</f>
        <v/>
      </c>
      <c r="G2950" s="35">
        <f>IF(B2950="","",IFERROR(INDEX(Students!$A:$A,MATCH(TRIM(B2950),Students!$A:$A,0)),"NOT ON LIST"))</f>
        <v/>
      </c>
      <c r="H2950" s="35">
        <f>IF(OR(G2950="",G2950="NOT ON LIST"),"",VLOOKUP(G2950,Students!$A:$C,2,FALSE))</f>
        <v/>
      </c>
      <c r="I2950" s="35">
        <f>IF(OR(G2950="",G2950="NOT ON LIST"),"",VLOOKUP(G2950,Students!$A:$C,3,FALSE)&amp;"")</f>
        <v/>
      </c>
    </row>
    <row r="2951">
      <c r="A2951" s="31" t="n"/>
      <c r="B2951" s="32" t="n"/>
      <c r="C2951" s="32" t="n"/>
      <c r="D2951" s="33" t="n"/>
      <c r="E2951" s="32" t="n"/>
      <c r="F2951" s="34">
        <f>IF(A2951="","",IFERROR(INT(A2951),"check date"))</f>
        <v/>
      </c>
      <c r="G2951" s="35">
        <f>IF(B2951="","",IFERROR(INDEX(Students!$A:$A,MATCH(TRIM(B2951),Students!$A:$A,0)),"NOT ON LIST"))</f>
        <v/>
      </c>
      <c r="H2951" s="35">
        <f>IF(OR(G2951="",G2951="NOT ON LIST"),"",VLOOKUP(G2951,Students!$A:$C,2,FALSE))</f>
        <v/>
      </c>
      <c r="I2951" s="35">
        <f>IF(OR(G2951="",G2951="NOT ON LIST"),"",VLOOKUP(G2951,Students!$A:$C,3,FALSE)&amp;"")</f>
        <v/>
      </c>
    </row>
    <row r="2952">
      <c r="A2952" s="31" t="n"/>
      <c r="B2952" s="32" t="n"/>
      <c r="C2952" s="32" t="n"/>
      <c r="D2952" s="33" t="n"/>
      <c r="E2952" s="32" t="n"/>
      <c r="F2952" s="34">
        <f>IF(A2952="","",IFERROR(INT(A2952),"check date"))</f>
        <v/>
      </c>
      <c r="G2952" s="35">
        <f>IF(B2952="","",IFERROR(INDEX(Students!$A:$A,MATCH(TRIM(B2952),Students!$A:$A,0)),"NOT ON LIST"))</f>
        <v/>
      </c>
      <c r="H2952" s="35">
        <f>IF(OR(G2952="",G2952="NOT ON LIST"),"",VLOOKUP(G2952,Students!$A:$C,2,FALSE))</f>
        <v/>
      </c>
      <c r="I2952" s="35">
        <f>IF(OR(G2952="",G2952="NOT ON LIST"),"",VLOOKUP(G2952,Students!$A:$C,3,FALSE)&amp;"")</f>
        <v/>
      </c>
    </row>
    <row r="2953">
      <c r="A2953" s="31" t="n"/>
      <c r="B2953" s="32" t="n"/>
      <c r="C2953" s="32" t="n"/>
      <c r="D2953" s="33" t="n"/>
      <c r="E2953" s="32" t="n"/>
      <c r="F2953" s="34">
        <f>IF(A2953="","",IFERROR(INT(A2953),"check date"))</f>
        <v/>
      </c>
      <c r="G2953" s="35">
        <f>IF(B2953="","",IFERROR(INDEX(Students!$A:$A,MATCH(TRIM(B2953),Students!$A:$A,0)),"NOT ON LIST"))</f>
        <v/>
      </c>
      <c r="H2953" s="35">
        <f>IF(OR(G2953="",G2953="NOT ON LIST"),"",VLOOKUP(G2953,Students!$A:$C,2,FALSE))</f>
        <v/>
      </c>
      <c r="I2953" s="35">
        <f>IF(OR(G2953="",G2953="NOT ON LIST"),"",VLOOKUP(G2953,Students!$A:$C,3,FALSE)&amp;"")</f>
        <v/>
      </c>
    </row>
    <row r="2954">
      <c r="A2954" s="31" t="n"/>
      <c r="B2954" s="32" t="n"/>
      <c r="C2954" s="32" t="n"/>
      <c r="D2954" s="33" t="n"/>
      <c r="E2954" s="32" t="n"/>
      <c r="F2954" s="34">
        <f>IF(A2954="","",IFERROR(INT(A2954),"check date"))</f>
        <v/>
      </c>
      <c r="G2954" s="35">
        <f>IF(B2954="","",IFERROR(INDEX(Students!$A:$A,MATCH(TRIM(B2954),Students!$A:$A,0)),"NOT ON LIST"))</f>
        <v/>
      </c>
      <c r="H2954" s="35">
        <f>IF(OR(G2954="",G2954="NOT ON LIST"),"",VLOOKUP(G2954,Students!$A:$C,2,FALSE))</f>
        <v/>
      </c>
      <c r="I2954" s="35">
        <f>IF(OR(G2954="",G2954="NOT ON LIST"),"",VLOOKUP(G2954,Students!$A:$C,3,FALSE)&amp;"")</f>
        <v/>
      </c>
    </row>
    <row r="2955">
      <c r="A2955" s="31" t="n"/>
      <c r="B2955" s="32" t="n"/>
      <c r="C2955" s="32" t="n"/>
      <c r="D2955" s="33" t="n"/>
      <c r="E2955" s="32" t="n"/>
      <c r="F2955" s="34">
        <f>IF(A2955="","",IFERROR(INT(A2955),"check date"))</f>
        <v/>
      </c>
      <c r="G2955" s="35">
        <f>IF(B2955="","",IFERROR(INDEX(Students!$A:$A,MATCH(TRIM(B2955),Students!$A:$A,0)),"NOT ON LIST"))</f>
        <v/>
      </c>
      <c r="H2955" s="35">
        <f>IF(OR(G2955="",G2955="NOT ON LIST"),"",VLOOKUP(G2955,Students!$A:$C,2,FALSE))</f>
        <v/>
      </c>
      <c r="I2955" s="35">
        <f>IF(OR(G2955="",G2955="NOT ON LIST"),"",VLOOKUP(G2955,Students!$A:$C,3,FALSE)&amp;"")</f>
        <v/>
      </c>
    </row>
    <row r="2956">
      <c r="A2956" s="31" t="n"/>
      <c r="B2956" s="32" t="n"/>
      <c r="C2956" s="32" t="n"/>
      <c r="D2956" s="33" t="n"/>
      <c r="E2956" s="32" t="n"/>
      <c r="F2956" s="34">
        <f>IF(A2956="","",IFERROR(INT(A2956),"check date"))</f>
        <v/>
      </c>
      <c r="G2956" s="35">
        <f>IF(B2956="","",IFERROR(INDEX(Students!$A:$A,MATCH(TRIM(B2956),Students!$A:$A,0)),"NOT ON LIST"))</f>
        <v/>
      </c>
      <c r="H2956" s="35">
        <f>IF(OR(G2956="",G2956="NOT ON LIST"),"",VLOOKUP(G2956,Students!$A:$C,2,FALSE))</f>
        <v/>
      </c>
      <c r="I2956" s="35">
        <f>IF(OR(G2956="",G2956="NOT ON LIST"),"",VLOOKUP(G2956,Students!$A:$C,3,FALSE)&amp;"")</f>
        <v/>
      </c>
    </row>
    <row r="2957">
      <c r="A2957" s="31" t="n"/>
      <c r="B2957" s="32" t="n"/>
      <c r="C2957" s="32" t="n"/>
      <c r="D2957" s="33" t="n"/>
      <c r="E2957" s="32" t="n"/>
      <c r="F2957" s="34">
        <f>IF(A2957="","",IFERROR(INT(A2957),"check date"))</f>
        <v/>
      </c>
      <c r="G2957" s="35">
        <f>IF(B2957="","",IFERROR(INDEX(Students!$A:$A,MATCH(TRIM(B2957),Students!$A:$A,0)),"NOT ON LIST"))</f>
        <v/>
      </c>
      <c r="H2957" s="35">
        <f>IF(OR(G2957="",G2957="NOT ON LIST"),"",VLOOKUP(G2957,Students!$A:$C,2,FALSE))</f>
        <v/>
      </c>
      <c r="I2957" s="35">
        <f>IF(OR(G2957="",G2957="NOT ON LIST"),"",VLOOKUP(G2957,Students!$A:$C,3,FALSE)&amp;"")</f>
        <v/>
      </c>
    </row>
    <row r="2958">
      <c r="A2958" s="31" t="n"/>
      <c r="B2958" s="32" t="n"/>
      <c r="C2958" s="32" t="n"/>
      <c r="D2958" s="33" t="n"/>
      <c r="E2958" s="32" t="n"/>
      <c r="F2958" s="34">
        <f>IF(A2958="","",IFERROR(INT(A2958),"check date"))</f>
        <v/>
      </c>
      <c r="G2958" s="35">
        <f>IF(B2958="","",IFERROR(INDEX(Students!$A:$A,MATCH(TRIM(B2958),Students!$A:$A,0)),"NOT ON LIST"))</f>
        <v/>
      </c>
      <c r="H2958" s="35">
        <f>IF(OR(G2958="",G2958="NOT ON LIST"),"",VLOOKUP(G2958,Students!$A:$C,2,FALSE))</f>
        <v/>
      </c>
      <c r="I2958" s="35">
        <f>IF(OR(G2958="",G2958="NOT ON LIST"),"",VLOOKUP(G2958,Students!$A:$C,3,FALSE)&amp;"")</f>
        <v/>
      </c>
    </row>
    <row r="2959">
      <c r="A2959" s="31" t="n"/>
      <c r="B2959" s="32" t="n"/>
      <c r="C2959" s="32" t="n"/>
      <c r="D2959" s="33" t="n"/>
      <c r="E2959" s="32" t="n"/>
      <c r="F2959" s="34">
        <f>IF(A2959="","",IFERROR(INT(A2959),"check date"))</f>
        <v/>
      </c>
      <c r="G2959" s="35">
        <f>IF(B2959="","",IFERROR(INDEX(Students!$A:$A,MATCH(TRIM(B2959),Students!$A:$A,0)),"NOT ON LIST"))</f>
        <v/>
      </c>
      <c r="H2959" s="35">
        <f>IF(OR(G2959="",G2959="NOT ON LIST"),"",VLOOKUP(G2959,Students!$A:$C,2,FALSE))</f>
        <v/>
      </c>
      <c r="I2959" s="35">
        <f>IF(OR(G2959="",G2959="NOT ON LIST"),"",VLOOKUP(G2959,Students!$A:$C,3,FALSE)&amp;"")</f>
        <v/>
      </c>
    </row>
    <row r="2960">
      <c r="A2960" s="31" t="n"/>
      <c r="B2960" s="32" t="n"/>
      <c r="C2960" s="32" t="n"/>
      <c r="D2960" s="33" t="n"/>
      <c r="E2960" s="32" t="n"/>
      <c r="F2960" s="34">
        <f>IF(A2960="","",IFERROR(INT(A2960),"check date"))</f>
        <v/>
      </c>
      <c r="G2960" s="35">
        <f>IF(B2960="","",IFERROR(INDEX(Students!$A:$A,MATCH(TRIM(B2960),Students!$A:$A,0)),"NOT ON LIST"))</f>
        <v/>
      </c>
      <c r="H2960" s="35">
        <f>IF(OR(G2960="",G2960="NOT ON LIST"),"",VLOOKUP(G2960,Students!$A:$C,2,FALSE))</f>
        <v/>
      </c>
      <c r="I2960" s="35">
        <f>IF(OR(G2960="",G2960="NOT ON LIST"),"",VLOOKUP(G2960,Students!$A:$C,3,FALSE)&amp;"")</f>
        <v/>
      </c>
    </row>
    <row r="2961">
      <c r="A2961" s="31" t="n"/>
      <c r="B2961" s="32" t="n"/>
      <c r="C2961" s="32" t="n"/>
      <c r="D2961" s="33" t="n"/>
      <c r="E2961" s="32" t="n"/>
      <c r="F2961" s="34">
        <f>IF(A2961="","",IFERROR(INT(A2961),"check date"))</f>
        <v/>
      </c>
      <c r="G2961" s="35">
        <f>IF(B2961="","",IFERROR(INDEX(Students!$A:$A,MATCH(TRIM(B2961),Students!$A:$A,0)),"NOT ON LIST"))</f>
        <v/>
      </c>
      <c r="H2961" s="35">
        <f>IF(OR(G2961="",G2961="NOT ON LIST"),"",VLOOKUP(G2961,Students!$A:$C,2,FALSE))</f>
        <v/>
      </c>
      <c r="I2961" s="35">
        <f>IF(OR(G2961="",G2961="NOT ON LIST"),"",VLOOKUP(G2961,Students!$A:$C,3,FALSE)&amp;"")</f>
        <v/>
      </c>
    </row>
    <row r="2962">
      <c r="A2962" s="31" t="n"/>
      <c r="B2962" s="32" t="n"/>
      <c r="C2962" s="32" t="n"/>
      <c r="D2962" s="33" t="n"/>
      <c r="E2962" s="32" t="n"/>
      <c r="F2962" s="34">
        <f>IF(A2962="","",IFERROR(INT(A2962),"check date"))</f>
        <v/>
      </c>
      <c r="G2962" s="35">
        <f>IF(B2962="","",IFERROR(INDEX(Students!$A:$A,MATCH(TRIM(B2962),Students!$A:$A,0)),"NOT ON LIST"))</f>
        <v/>
      </c>
      <c r="H2962" s="35">
        <f>IF(OR(G2962="",G2962="NOT ON LIST"),"",VLOOKUP(G2962,Students!$A:$C,2,FALSE))</f>
        <v/>
      </c>
      <c r="I2962" s="35">
        <f>IF(OR(G2962="",G2962="NOT ON LIST"),"",VLOOKUP(G2962,Students!$A:$C,3,FALSE)&amp;"")</f>
        <v/>
      </c>
    </row>
    <row r="2963">
      <c r="A2963" s="31" t="n"/>
      <c r="B2963" s="32" t="n"/>
      <c r="C2963" s="32" t="n"/>
      <c r="D2963" s="33" t="n"/>
      <c r="E2963" s="32" t="n"/>
      <c r="F2963" s="34">
        <f>IF(A2963="","",IFERROR(INT(A2963),"check date"))</f>
        <v/>
      </c>
      <c r="G2963" s="35">
        <f>IF(B2963="","",IFERROR(INDEX(Students!$A:$A,MATCH(TRIM(B2963),Students!$A:$A,0)),"NOT ON LIST"))</f>
        <v/>
      </c>
      <c r="H2963" s="35">
        <f>IF(OR(G2963="",G2963="NOT ON LIST"),"",VLOOKUP(G2963,Students!$A:$C,2,FALSE))</f>
        <v/>
      </c>
      <c r="I2963" s="35">
        <f>IF(OR(G2963="",G2963="NOT ON LIST"),"",VLOOKUP(G2963,Students!$A:$C,3,FALSE)&amp;"")</f>
        <v/>
      </c>
    </row>
    <row r="2964">
      <c r="A2964" s="31" t="n"/>
      <c r="B2964" s="32" t="n"/>
      <c r="C2964" s="32" t="n"/>
      <c r="D2964" s="33" t="n"/>
      <c r="E2964" s="32" t="n"/>
      <c r="F2964" s="34">
        <f>IF(A2964="","",IFERROR(INT(A2964),"check date"))</f>
        <v/>
      </c>
      <c r="G2964" s="35">
        <f>IF(B2964="","",IFERROR(INDEX(Students!$A:$A,MATCH(TRIM(B2964),Students!$A:$A,0)),"NOT ON LIST"))</f>
        <v/>
      </c>
      <c r="H2964" s="35">
        <f>IF(OR(G2964="",G2964="NOT ON LIST"),"",VLOOKUP(G2964,Students!$A:$C,2,FALSE))</f>
        <v/>
      </c>
      <c r="I2964" s="35">
        <f>IF(OR(G2964="",G2964="NOT ON LIST"),"",VLOOKUP(G2964,Students!$A:$C,3,FALSE)&amp;"")</f>
        <v/>
      </c>
    </row>
    <row r="2965">
      <c r="A2965" s="31" t="n"/>
      <c r="B2965" s="32" t="n"/>
      <c r="C2965" s="32" t="n"/>
      <c r="D2965" s="33" t="n"/>
      <c r="E2965" s="32" t="n"/>
      <c r="F2965" s="34">
        <f>IF(A2965="","",IFERROR(INT(A2965),"check date"))</f>
        <v/>
      </c>
      <c r="G2965" s="35">
        <f>IF(B2965="","",IFERROR(INDEX(Students!$A:$A,MATCH(TRIM(B2965),Students!$A:$A,0)),"NOT ON LIST"))</f>
        <v/>
      </c>
      <c r="H2965" s="35">
        <f>IF(OR(G2965="",G2965="NOT ON LIST"),"",VLOOKUP(G2965,Students!$A:$C,2,FALSE))</f>
        <v/>
      </c>
      <c r="I2965" s="35">
        <f>IF(OR(G2965="",G2965="NOT ON LIST"),"",VLOOKUP(G2965,Students!$A:$C,3,FALSE)&amp;"")</f>
        <v/>
      </c>
    </row>
    <row r="2966">
      <c r="A2966" s="31" t="n"/>
      <c r="B2966" s="32" t="n"/>
      <c r="C2966" s="32" t="n"/>
      <c r="D2966" s="33" t="n"/>
      <c r="E2966" s="32" t="n"/>
      <c r="F2966" s="34">
        <f>IF(A2966="","",IFERROR(INT(A2966),"check date"))</f>
        <v/>
      </c>
      <c r="G2966" s="35">
        <f>IF(B2966="","",IFERROR(INDEX(Students!$A:$A,MATCH(TRIM(B2966),Students!$A:$A,0)),"NOT ON LIST"))</f>
        <v/>
      </c>
      <c r="H2966" s="35">
        <f>IF(OR(G2966="",G2966="NOT ON LIST"),"",VLOOKUP(G2966,Students!$A:$C,2,FALSE))</f>
        <v/>
      </c>
      <c r="I2966" s="35">
        <f>IF(OR(G2966="",G2966="NOT ON LIST"),"",VLOOKUP(G2966,Students!$A:$C,3,FALSE)&amp;"")</f>
        <v/>
      </c>
    </row>
    <row r="2967">
      <c r="A2967" s="31" t="n"/>
      <c r="B2967" s="32" t="n"/>
      <c r="C2967" s="32" t="n"/>
      <c r="D2967" s="33" t="n"/>
      <c r="E2967" s="32" t="n"/>
      <c r="F2967" s="34">
        <f>IF(A2967="","",IFERROR(INT(A2967),"check date"))</f>
        <v/>
      </c>
      <c r="G2967" s="35">
        <f>IF(B2967="","",IFERROR(INDEX(Students!$A:$A,MATCH(TRIM(B2967),Students!$A:$A,0)),"NOT ON LIST"))</f>
        <v/>
      </c>
      <c r="H2967" s="35">
        <f>IF(OR(G2967="",G2967="NOT ON LIST"),"",VLOOKUP(G2967,Students!$A:$C,2,FALSE))</f>
        <v/>
      </c>
      <c r="I2967" s="35">
        <f>IF(OR(G2967="",G2967="NOT ON LIST"),"",VLOOKUP(G2967,Students!$A:$C,3,FALSE)&amp;"")</f>
        <v/>
      </c>
    </row>
    <row r="2968">
      <c r="A2968" s="31" t="n"/>
      <c r="B2968" s="32" t="n"/>
      <c r="C2968" s="32" t="n"/>
      <c r="D2968" s="33" t="n"/>
      <c r="E2968" s="32" t="n"/>
      <c r="F2968" s="34">
        <f>IF(A2968="","",IFERROR(INT(A2968),"check date"))</f>
        <v/>
      </c>
      <c r="G2968" s="35">
        <f>IF(B2968="","",IFERROR(INDEX(Students!$A:$A,MATCH(TRIM(B2968),Students!$A:$A,0)),"NOT ON LIST"))</f>
        <v/>
      </c>
      <c r="H2968" s="35">
        <f>IF(OR(G2968="",G2968="NOT ON LIST"),"",VLOOKUP(G2968,Students!$A:$C,2,FALSE))</f>
        <v/>
      </c>
      <c r="I2968" s="35">
        <f>IF(OR(G2968="",G2968="NOT ON LIST"),"",VLOOKUP(G2968,Students!$A:$C,3,FALSE)&amp;"")</f>
        <v/>
      </c>
    </row>
    <row r="2969">
      <c r="A2969" s="31" t="n"/>
      <c r="B2969" s="32" t="n"/>
      <c r="C2969" s="32" t="n"/>
      <c r="D2969" s="33" t="n"/>
      <c r="E2969" s="32" t="n"/>
      <c r="F2969" s="34">
        <f>IF(A2969="","",IFERROR(INT(A2969),"check date"))</f>
        <v/>
      </c>
      <c r="G2969" s="35">
        <f>IF(B2969="","",IFERROR(INDEX(Students!$A:$A,MATCH(TRIM(B2969),Students!$A:$A,0)),"NOT ON LIST"))</f>
        <v/>
      </c>
      <c r="H2969" s="35">
        <f>IF(OR(G2969="",G2969="NOT ON LIST"),"",VLOOKUP(G2969,Students!$A:$C,2,FALSE))</f>
        <v/>
      </c>
      <c r="I2969" s="35">
        <f>IF(OR(G2969="",G2969="NOT ON LIST"),"",VLOOKUP(G2969,Students!$A:$C,3,FALSE)&amp;"")</f>
        <v/>
      </c>
    </row>
    <row r="2970">
      <c r="A2970" s="31" t="n"/>
      <c r="B2970" s="32" t="n"/>
      <c r="C2970" s="32" t="n"/>
      <c r="D2970" s="33" t="n"/>
      <c r="E2970" s="32" t="n"/>
      <c r="F2970" s="34">
        <f>IF(A2970="","",IFERROR(INT(A2970),"check date"))</f>
        <v/>
      </c>
      <c r="G2970" s="35">
        <f>IF(B2970="","",IFERROR(INDEX(Students!$A:$A,MATCH(TRIM(B2970),Students!$A:$A,0)),"NOT ON LIST"))</f>
        <v/>
      </c>
      <c r="H2970" s="35">
        <f>IF(OR(G2970="",G2970="NOT ON LIST"),"",VLOOKUP(G2970,Students!$A:$C,2,FALSE))</f>
        <v/>
      </c>
      <c r="I2970" s="35">
        <f>IF(OR(G2970="",G2970="NOT ON LIST"),"",VLOOKUP(G2970,Students!$A:$C,3,FALSE)&amp;"")</f>
        <v/>
      </c>
    </row>
    <row r="2971">
      <c r="A2971" s="31" t="n"/>
      <c r="B2971" s="32" t="n"/>
      <c r="C2971" s="32" t="n"/>
      <c r="D2971" s="33" t="n"/>
      <c r="E2971" s="32" t="n"/>
      <c r="F2971" s="34">
        <f>IF(A2971="","",IFERROR(INT(A2971),"check date"))</f>
        <v/>
      </c>
      <c r="G2971" s="35">
        <f>IF(B2971="","",IFERROR(INDEX(Students!$A:$A,MATCH(TRIM(B2971),Students!$A:$A,0)),"NOT ON LIST"))</f>
        <v/>
      </c>
      <c r="H2971" s="35">
        <f>IF(OR(G2971="",G2971="NOT ON LIST"),"",VLOOKUP(G2971,Students!$A:$C,2,FALSE))</f>
        <v/>
      </c>
      <c r="I2971" s="35">
        <f>IF(OR(G2971="",G2971="NOT ON LIST"),"",VLOOKUP(G2971,Students!$A:$C,3,FALSE)&amp;"")</f>
        <v/>
      </c>
    </row>
    <row r="2972">
      <c r="A2972" s="31" t="n"/>
      <c r="B2972" s="32" t="n"/>
      <c r="C2972" s="32" t="n"/>
      <c r="D2972" s="33" t="n"/>
      <c r="E2972" s="32" t="n"/>
      <c r="F2972" s="34">
        <f>IF(A2972="","",IFERROR(INT(A2972),"check date"))</f>
        <v/>
      </c>
      <c r="G2972" s="35">
        <f>IF(B2972="","",IFERROR(INDEX(Students!$A:$A,MATCH(TRIM(B2972),Students!$A:$A,0)),"NOT ON LIST"))</f>
        <v/>
      </c>
      <c r="H2972" s="35">
        <f>IF(OR(G2972="",G2972="NOT ON LIST"),"",VLOOKUP(G2972,Students!$A:$C,2,FALSE))</f>
        <v/>
      </c>
      <c r="I2972" s="35">
        <f>IF(OR(G2972="",G2972="NOT ON LIST"),"",VLOOKUP(G2972,Students!$A:$C,3,FALSE)&amp;"")</f>
        <v/>
      </c>
    </row>
    <row r="2973">
      <c r="A2973" s="31" t="n"/>
      <c r="B2973" s="32" t="n"/>
      <c r="C2973" s="32" t="n"/>
      <c r="D2973" s="33" t="n"/>
      <c r="E2973" s="32" t="n"/>
      <c r="F2973" s="34">
        <f>IF(A2973="","",IFERROR(INT(A2973),"check date"))</f>
        <v/>
      </c>
      <c r="G2973" s="35">
        <f>IF(B2973="","",IFERROR(INDEX(Students!$A:$A,MATCH(TRIM(B2973),Students!$A:$A,0)),"NOT ON LIST"))</f>
        <v/>
      </c>
      <c r="H2973" s="35">
        <f>IF(OR(G2973="",G2973="NOT ON LIST"),"",VLOOKUP(G2973,Students!$A:$C,2,FALSE))</f>
        <v/>
      </c>
      <c r="I2973" s="35">
        <f>IF(OR(G2973="",G2973="NOT ON LIST"),"",VLOOKUP(G2973,Students!$A:$C,3,FALSE)&amp;"")</f>
        <v/>
      </c>
    </row>
    <row r="2974">
      <c r="A2974" s="31" t="n"/>
      <c r="B2974" s="32" t="n"/>
      <c r="C2974" s="32" t="n"/>
      <c r="D2974" s="33" t="n"/>
      <c r="E2974" s="32" t="n"/>
      <c r="F2974" s="34">
        <f>IF(A2974="","",IFERROR(INT(A2974),"check date"))</f>
        <v/>
      </c>
      <c r="G2974" s="35">
        <f>IF(B2974="","",IFERROR(INDEX(Students!$A:$A,MATCH(TRIM(B2974),Students!$A:$A,0)),"NOT ON LIST"))</f>
        <v/>
      </c>
      <c r="H2974" s="35">
        <f>IF(OR(G2974="",G2974="NOT ON LIST"),"",VLOOKUP(G2974,Students!$A:$C,2,FALSE))</f>
        <v/>
      </c>
      <c r="I2974" s="35">
        <f>IF(OR(G2974="",G2974="NOT ON LIST"),"",VLOOKUP(G2974,Students!$A:$C,3,FALSE)&amp;"")</f>
        <v/>
      </c>
    </row>
    <row r="2975">
      <c r="A2975" s="31" t="n"/>
      <c r="B2975" s="32" t="n"/>
      <c r="C2975" s="32" t="n"/>
      <c r="D2975" s="33" t="n"/>
      <c r="E2975" s="32" t="n"/>
      <c r="F2975" s="34">
        <f>IF(A2975="","",IFERROR(INT(A2975),"check date"))</f>
        <v/>
      </c>
      <c r="G2975" s="35">
        <f>IF(B2975="","",IFERROR(INDEX(Students!$A:$A,MATCH(TRIM(B2975),Students!$A:$A,0)),"NOT ON LIST"))</f>
        <v/>
      </c>
      <c r="H2975" s="35">
        <f>IF(OR(G2975="",G2975="NOT ON LIST"),"",VLOOKUP(G2975,Students!$A:$C,2,FALSE))</f>
        <v/>
      </c>
      <c r="I2975" s="35">
        <f>IF(OR(G2975="",G2975="NOT ON LIST"),"",VLOOKUP(G2975,Students!$A:$C,3,FALSE)&amp;"")</f>
        <v/>
      </c>
    </row>
    <row r="2976">
      <c r="A2976" s="31" t="n"/>
      <c r="B2976" s="32" t="n"/>
      <c r="C2976" s="32" t="n"/>
      <c r="D2976" s="33" t="n"/>
      <c r="E2976" s="32" t="n"/>
      <c r="F2976" s="34">
        <f>IF(A2976="","",IFERROR(INT(A2976),"check date"))</f>
        <v/>
      </c>
      <c r="G2976" s="35">
        <f>IF(B2976="","",IFERROR(INDEX(Students!$A:$A,MATCH(TRIM(B2976),Students!$A:$A,0)),"NOT ON LIST"))</f>
        <v/>
      </c>
      <c r="H2976" s="35">
        <f>IF(OR(G2976="",G2976="NOT ON LIST"),"",VLOOKUP(G2976,Students!$A:$C,2,FALSE))</f>
        <v/>
      </c>
      <c r="I2976" s="35">
        <f>IF(OR(G2976="",G2976="NOT ON LIST"),"",VLOOKUP(G2976,Students!$A:$C,3,FALSE)&amp;"")</f>
        <v/>
      </c>
    </row>
    <row r="2977">
      <c r="A2977" s="31" t="n"/>
      <c r="B2977" s="32" t="n"/>
      <c r="C2977" s="32" t="n"/>
      <c r="D2977" s="33" t="n"/>
      <c r="E2977" s="32" t="n"/>
      <c r="F2977" s="34">
        <f>IF(A2977="","",IFERROR(INT(A2977),"check date"))</f>
        <v/>
      </c>
      <c r="G2977" s="35">
        <f>IF(B2977="","",IFERROR(INDEX(Students!$A:$A,MATCH(TRIM(B2977),Students!$A:$A,0)),"NOT ON LIST"))</f>
        <v/>
      </c>
      <c r="H2977" s="35">
        <f>IF(OR(G2977="",G2977="NOT ON LIST"),"",VLOOKUP(G2977,Students!$A:$C,2,FALSE))</f>
        <v/>
      </c>
      <c r="I2977" s="35">
        <f>IF(OR(G2977="",G2977="NOT ON LIST"),"",VLOOKUP(G2977,Students!$A:$C,3,FALSE)&amp;"")</f>
        <v/>
      </c>
    </row>
    <row r="2978">
      <c r="A2978" s="31" t="n"/>
      <c r="B2978" s="32" t="n"/>
      <c r="C2978" s="32" t="n"/>
      <c r="D2978" s="33" t="n"/>
      <c r="E2978" s="32" t="n"/>
      <c r="F2978" s="34">
        <f>IF(A2978="","",IFERROR(INT(A2978),"check date"))</f>
        <v/>
      </c>
      <c r="G2978" s="35">
        <f>IF(B2978="","",IFERROR(INDEX(Students!$A:$A,MATCH(TRIM(B2978),Students!$A:$A,0)),"NOT ON LIST"))</f>
        <v/>
      </c>
      <c r="H2978" s="35">
        <f>IF(OR(G2978="",G2978="NOT ON LIST"),"",VLOOKUP(G2978,Students!$A:$C,2,FALSE))</f>
        <v/>
      </c>
      <c r="I2978" s="35">
        <f>IF(OR(G2978="",G2978="NOT ON LIST"),"",VLOOKUP(G2978,Students!$A:$C,3,FALSE)&amp;"")</f>
        <v/>
      </c>
    </row>
    <row r="2979">
      <c r="A2979" s="31" t="n"/>
      <c r="B2979" s="32" t="n"/>
      <c r="C2979" s="32" t="n"/>
      <c r="D2979" s="33" t="n"/>
      <c r="E2979" s="32" t="n"/>
      <c r="F2979" s="34">
        <f>IF(A2979="","",IFERROR(INT(A2979),"check date"))</f>
        <v/>
      </c>
      <c r="G2979" s="35">
        <f>IF(B2979="","",IFERROR(INDEX(Students!$A:$A,MATCH(TRIM(B2979),Students!$A:$A,0)),"NOT ON LIST"))</f>
        <v/>
      </c>
      <c r="H2979" s="35">
        <f>IF(OR(G2979="",G2979="NOT ON LIST"),"",VLOOKUP(G2979,Students!$A:$C,2,FALSE))</f>
        <v/>
      </c>
      <c r="I2979" s="35">
        <f>IF(OR(G2979="",G2979="NOT ON LIST"),"",VLOOKUP(G2979,Students!$A:$C,3,FALSE)&amp;"")</f>
        <v/>
      </c>
    </row>
    <row r="2980">
      <c r="A2980" s="31" t="n"/>
      <c r="B2980" s="32" t="n"/>
      <c r="C2980" s="32" t="n"/>
      <c r="D2980" s="33" t="n"/>
      <c r="E2980" s="32" t="n"/>
      <c r="F2980" s="34">
        <f>IF(A2980="","",IFERROR(INT(A2980),"check date"))</f>
        <v/>
      </c>
      <c r="G2980" s="35">
        <f>IF(B2980="","",IFERROR(INDEX(Students!$A:$A,MATCH(TRIM(B2980),Students!$A:$A,0)),"NOT ON LIST"))</f>
        <v/>
      </c>
      <c r="H2980" s="35">
        <f>IF(OR(G2980="",G2980="NOT ON LIST"),"",VLOOKUP(G2980,Students!$A:$C,2,FALSE))</f>
        <v/>
      </c>
      <c r="I2980" s="35">
        <f>IF(OR(G2980="",G2980="NOT ON LIST"),"",VLOOKUP(G2980,Students!$A:$C,3,FALSE)&amp;"")</f>
        <v/>
      </c>
    </row>
    <row r="2981">
      <c r="A2981" s="31" t="n"/>
      <c r="B2981" s="32" t="n"/>
      <c r="C2981" s="32" t="n"/>
      <c r="D2981" s="33" t="n"/>
      <c r="E2981" s="32" t="n"/>
      <c r="F2981" s="34">
        <f>IF(A2981="","",IFERROR(INT(A2981),"check date"))</f>
        <v/>
      </c>
      <c r="G2981" s="35">
        <f>IF(B2981="","",IFERROR(INDEX(Students!$A:$A,MATCH(TRIM(B2981),Students!$A:$A,0)),"NOT ON LIST"))</f>
        <v/>
      </c>
      <c r="H2981" s="35">
        <f>IF(OR(G2981="",G2981="NOT ON LIST"),"",VLOOKUP(G2981,Students!$A:$C,2,FALSE))</f>
        <v/>
      </c>
      <c r="I2981" s="35">
        <f>IF(OR(G2981="",G2981="NOT ON LIST"),"",VLOOKUP(G2981,Students!$A:$C,3,FALSE)&amp;"")</f>
        <v/>
      </c>
    </row>
    <row r="2982">
      <c r="A2982" s="31" t="n"/>
      <c r="B2982" s="32" t="n"/>
      <c r="C2982" s="32" t="n"/>
      <c r="D2982" s="33" t="n"/>
      <c r="E2982" s="32" t="n"/>
      <c r="F2982" s="34">
        <f>IF(A2982="","",IFERROR(INT(A2982),"check date"))</f>
        <v/>
      </c>
      <c r="G2982" s="35">
        <f>IF(B2982="","",IFERROR(INDEX(Students!$A:$A,MATCH(TRIM(B2982),Students!$A:$A,0)),"NOT ON LIST"))</f>
        <v/>
      </c>
      <c r="H2982" s="35">
        <f>IF(OR(G2982="",G2982="NOT ON LIST"),"",VLOOKUP(G2982,Students!$A:$C,2,FALSE))</f>
        <v/>
      </c>
      <c r="I2982" s="35">
        <f>IF(OR(G2982="",G2982="NOT ON LIST"),"",VLOOKUP(G2982,Students!$A:$C,3,FALSE)&amp;"")</f>
        <v/>
      </c>
    </row>
    <row r="2983">
      <c r="A2983" s="31" t="n"/>
      <c r="B2983" s="32" t="n"/>
      <c r="C2983" s="32" t="n"/>
      <c r="D2983" s="33" t="n"/>
      <c r="E2983" s="32" t="n"/>
      <c r="F2983" s="34">
        <f>IF(A2983="","",IFERROR(INT(A2983),"check date"))</f>
        <v/>
      </c>
      <c r="G2983" s="35">
        <f>IF(B2983="","",IFERROR(INDEX(Students!$A:$A,MATCH(TRIM(B2983),Students!$A:$A,0)),"NOT ON LIST"))</f>
        <v/>
      </c>
      <c r="H2983" s="35">
        <f>IF(OR(G2983="",G2983="NOT ON LIST"),"",VLOOKUP(G2983,Students!$A:$C,2,FALSE))</f>
        <v/>
      </c>
      <c r="I2983" s="35">
        <f>IF(OR(G2983="",G2983="NOT ON LIST"),"",VLOOKUP(G2983,Students!$A:$C,3,FALSE)&amp;"")</f>
        <v/>
      </c>
    </row>
    <row r="2984">
      <c r="A2984" s="31" t="n"/>
      <c r="B2984" s="32" t="n"/>
      <c r="C2984" s="32" t="n"/>
      <c r="D2984" s="33" t="n"/>
      <c r="E2984" s="32" t="n"/>
      <c r="F2984" s="34">
        <f>IF(A2984="","",IFERROR(INT(A2984),"check date"))</f>
        <v/>
      </c>
      <c r="G2984" s="35">
        <f>IF(B2984="","",IFERROR(INDEX(Students!$A:$A,MATCH(TRIM(B2984),Students!$A:$A,0)),"NOT ON LIST"))</f>
        <v/>
      </c>
      <c r="H2984" s="35">
        <f>IF(OR(G2984="",G2984="NOT ON LIST"),"",VLOOKUP(G2984,Students!$A:$C,2,FALSE))</f>
        <v/>
      </c>
      <c r="I2984" s="35">
        <f>IF(OR(G2984="",G2984="NOT ON LIST"),"",VLOOKUP(G2984,Students!$A:$C,3,FALSE)&amp;"")</f>
        <v/>
      </c>
    </row>
    <row r="2985">
      <c r="A2985" s="31" t="n"/>
      <c r="B2985" s="32" t="n"/>
      <c r="C2985" s="32" t="n"/>
      <c r="D2985" s="33" t="n"/>
      <c r="E2985" s="32" t="n"/>
      <c r="F2985" s="34">
        <f>IF(A2985="","",IFERROR(INT(A2985),"check date"))</f>
        <v/>
      </c>
      <c r="G2985" s="35">
        <f>IF(B2985="","",IFERROR(INDEX(Students!$A:$A,MATCH(TRIM(B2985),Students!$A:$A,0)),"NOT ON LIST"))</f>
        <v/>
      </c>
      <c r="H2985" s="35">
        <f>IF(OR(G2985="",G2985="NOT ON LIST"),"",VLOOKUP(G2985,Students!$A:$C,2,FALSE))</f>
        <v/>
      </c>
      <c r="I2985" s="35">
        <f>IF(OR(G2985="",G2985="NOT ON LIST"),"",VLOOKUP(G2985,Students!$A:$C,3,FALSE)&amp;"")</f>
        <v/>
      </c>
    </row>
    <row r="2986">
      <c r="A2986" s="31" t="n"/>
      <c r="B2986" s="32" t="n"/>
      <c r="C2986" s="32" t="n"/>
      <c r="D2986" s="33" t="n"/>
      <c r="E2986" s="32" t="n"/>
      <c r="F2986" s="34">
        <f>IF(A2986="","",IFERROR(INT(A2986),"check date"))</f>
        <v/>
      </c>
      <c r="G2986" s="35">
        <f>IF(B2986="","",IFERROR(INDEX(Students!$A:$A,MATCH(TRIM(B2986),Students!$A:$A,0)),"NOT ON LIST"))</f>
        <v/>
      </c>
      <c r="H2986" s="35">
        <f>IF(OR(G2986="",G2986="NOT ON LIST"),"",VLOOKUP(G2986,Students!$A:$C,2,FALSE))</f>
        <v/>
      </c>
      <c r="I2986" s="35">
        <f>IF(OR(G2986="",G2986="NOT ON LIST"),"",VLOOKUP(G2986,Students!$A:$C,3,FALSE)&amp;"")</f>
        <v/>
      </c>
    </row>
    <row r="2987">
      <c r="A2987" s="31" t="n"/>
      <c r="B2987" s="32" t="n"/>
      <c r="C2987" s="32" t="n"/>
      <c r="D2987" s="33" t="n"/>
      <c r="E2987" s="32" t="n"/>
      <c r="F2987" s="34">
        <f>IF(A2987="","",IFERROR(INT(A2987),"check date"))</f>
        <v/>
      </c>
      <c r="G2987" s="35">
        <f>IF(B2987="","",IFERROR(INDEX(Students!$A:$A,MATCH(TRIM(B2987),Students!$A:$A,0)),"NOT ON LIST"))</f>
        <v/>
      </c>
      <c r="H2987" s="35">
        <f>IF(OR(G2987="",G2987="NOT ON LIST"),"",VLOOKUP(G2987,Students!$A:$C,2,FALSE))</f>
        <v/>
      </c>
      <c r="I2987" s="35">
        <f>IF(OR(G2987="",G2987="NOT ON LIST"),"",VLOOKUP(G2987,Students!$A:$C,3,FALSE)&amp;"")</f>
        <v/>
      </c>
    </row>
    <row r="2988">
      <c r="A2988" s="31" t="n"/>
      <c r="B2988" s="32" t="n"/>
      <c r="C2988" s="32" t="n"/>
      <c r="D2988" s="33" t="n"/>
      <c r="E2988" s="32" t="n"/>
      <c r="F2988" s="34">
        <f>IF(A2988="","",IFERROR(INT(A2988),"check date"))</f>
        <v/>
      </c>
      <c r="G2988" s="35">
        <f>IF(B2988="","",IFERROR(INDEX(Students!$A:$A,MATCH(TRIM(B2988),Students!$A:$A,0)),"NOT ON LIST"))</f>
        <v/>
      </c>
      <c r="H2988" s="35">
        <f>IF(OR(G2988="",G2988="NOT ON LIST"),"",VLOOKUP(G2988,Students!$A:$C,2,FALSE))</f>
        <v/>
      </c>
      <c r="I2988" s="35">
        <f>IF(OR(G2988="",G2988="NOT ON LIST"),"",VLOOKUP(G2988,Students!$A:$C,3,FALSE)&amp;"")</f>
        <v/>
      </c>
    </row>
    <row r="2989">
      <c r="A2989" s="31" t="n"/>
      <c r="B2989" s="32" t="n"/>
      <c r="C2989" s="32" t="n"/>
      <c r="D2989" s="33" t="n"/>
      <c r="E2989" s="32" t="n"/>
      <c r="F2989" s="34">
        <f>IF(A2989="","",IFERROR(INT(A2989),"check date"))</f>
        <v/>
      </c>
      <c r="G2989" s="35">
        <f>IF(B2989="","",IFERROR(INDEX(Students!$A:$A,MATCH(TRIM(B2989),Students!$A:$A,0)),"NOT ON LIST"))</f>
        <v/>
      </c>
      <c r="H2989" s="35">
        <f>IF(OR(G2989="",G2989="NOT ON LIST"),"",VLOOKUP(G2989,Students!$A:$C,2,FALSE))</f>
        <v/>
      </c>
      <c r="I2989" s="35">
        <f>IF(OR(G2989="",G2989="NOT ON LIST"),"",VLOOKUP(G2989,Students!$A:$C,3,FALSE)&amp;"")</f>
        <v/>
      </c>
    </row>
    <row r="2990">
      <c r="A2990" s="31" t="n"/>
      <c r="B2990" s="32" t="n"/>
      <c r="C2990" s="32" t="n"/>
      <c r="D2990" s="33" t="n"/>
      <c r="E2990" s="32" t="n"/>
      <c r="F2990" s="34">
        <f>IF(A2990="","",IFERROR(INT(A2990),"check date"))</f>
        <v/>
      </c>
      <c r="G2990" s="35">
        <f>IF(B2990="","",IFERROR(INDEX(Students!$A:$A,MATCH(TRIM(B2990),Students!$A:$A,0)),"NOT ON LIST"))</f>
        <v/>
      </c>
      <c r="H2990" s="35">
        <f>IF(OR(G2990="",G2990="NOT ON LIST"),"",VLOOKUP(G2990,Students!$A:$C,2,FALSE))</f>
        <v/>
      </c>
      <c r="I2990" s="35">
        <f>IF(OR(G2990="",G2990="NOT ON LIST"),"",VLOOKUP(G2990,Students!$A:$C,3,FALSE)&amp;"")</f>
        <v/>
      </c>
    </row>
    <row r="2991">
      <c r="A2991" s="31" t="n"/>
      <c r="B2991" s="32" t="n"/>
      <c r="C2991" s="32" t="n"/>
      <c r="D2991" s="33" t="n"/>
      <c r="E2991" s="32" t="n"/>
      <c r="F2991" s="34">
        <f>IF(A2991="","",IFERROR(INT(A2991),"check date"))</f>
        <v/>
      </c>
      <c r="G2991" s="35">
        <f>IF(B2991="","",IFERROR(INDEX(Students!$A:$A,MATCH(TRIM(B2991),Students!$A:$A,0)),"NOT ON LIST"))</f>
        <v/>
      </c>
      <c r="H2991" s="35">
        <f>IF(OR(G2991="",G2991="NOT ON LIST"),"",VLOOKUP(G2991,Students!$A:$C,2,FALSE))</f>
        <v/>
      </c>
      <c r="I2991" s="35">
        <f>IF(OR(G2991="",G2991="NOT ON LIST"),"",VLOOKUP(G2991,Students!$A:$C,3,FALSE)&amp;"")</f>
        <v/>
      </c>
    </row>
    <row r="2992">
      <c r="A2992" s="31" t="n"/>
      <c r="B2992" s="32" t="n"/>
      <c r="C2992" s="32" t="n"/>
      <c r="D2992" s="33" t="n"/>
      <c r="E2992" s="32" t="n"/>
      <c r="F2992" s="34">
        <f>IF(A2992="","",IFERROR(INT(A2992),"check date"))</f>
        <v/>
      </c>
      <c r="G2992" s="35">
        <f>IF(B2992="","",IFERROR(INDEX(Students!$A:$A,MATCH(TRIM(B2992),Students!$A:$A,0)),"NOT ON LIST"))</f>
        <v/>
      </c>
      <c r="H2992" s="35">
        <f>IF(OR(G2992="",G2992="NOT ON LIST"),"",VLOOKUP(G2992,Students!$A:$C,2,FALSE))</f>
        <v/>
      </c>
      <c r="I2992" s="35">
        <f>IF(OR(G2992="",G2992="NOT ON LIST"),"",VLOOKUP(G2992,Students!$A:$C,3,FALSE)&amp;"")</f>
        <v/>
      </c>
    </row>
    <row r="2993">
      <c r="A2993" s="31" t="n"/>
      <c r="B2993" s="32" t="n"/>
      <c r="C2993" s="32" t="n"/>
      <c r="D2993" s="33" t="n"/>
      <c r="E2993" s="32" t="n"/>
      <c r="F2993" s="34">
        <f>IF(A2993="","",IFERROR(INT(A2993),"check date"))</f>
        <v/>
      </c>
      <c r="G2993" s="35">
        <f>IF(B2993="","",IFERROR(INDEX(Students!$A:$A,MATCH(TRIM(B2993),Students!$A:$A,0)),"NOT ON LIST"))</f>
        <v/>
      </c>
      <c r="H2993" s="35">
        <f>IF(OR(G2993="",G2993="NOT ON LIST"),"",VLOOKUP(G2993,Students!$A:$C,2,FALSE))</f>
        <v/>
      </c>
      <c r="I2993" s="35">
        <f>IF(OR(G2993="",G2993="NOT ON LIST"),"",VLOOKUP(G2993,Students!$A:$C,3,FALSE)&amp;"")</f>
        <v/>
      </c>
    </row>
    <row r="2994">
      <c r="A2994" s="31" t="n"/>
      <c r="B2994" s="32" t="n"/>
      <c r="C2994" s="32" t="n"/>
      <c r="D2994" s="33" t="n"/>
      <c r="E2994" s="32" t="n"/>
      <c r="F2994" s="34">
        <f>IF(A2994="","",IFERROR(INT(A2994),"check date"))</f>
        <v/>
      </c>
      <c r="G2994" s="35">
        <f>IF(B2994="","",IFERROR(INDEX(Students!$A:$A,MATCH(TRIM(B2994),Students!$A:$A,0)),"NOT ON LIST"))</f>
        <v/>
      </c>
      <c r="H2994" s="35">
        <f>IF(OR(G2994="",G2994="NOT ON LIST"),"",VLOOKUP(G2994,Students!$A:$C,2,FALSE))</f>
        <v/>
      </c>
      <c r="I2994" s="35">
        <f>IF(OR(G2994="",G2994="NOT ON LIST"),"",VLOOKUP(G2994,Students!$A:$C,3,FALSE)&amp;"")</f>
        <v/>
      </c>
    </row>
    <row r="2995">
      <c r="A2995" s="31" t="n"/>
      <c r="B2995" s="32" t="n"/>
      <c r="C2995" s="32" t="n"/>
      <c r="D2995" s="33" t="n"/>
      <c r="E2995" s="32" t="n"/>
      <c r="F2995" s="34">
        <f>IF(A2995="","",IFERROR(INT(A2995),"check date"))</f>
        <v/>
      </c>
      <c r="G2995" s="35">
        <f>IF(B2995="","",IFERROR(INDEX(Students!$A:$A,MATCH(TRIM(B2995),Students!$A:$A,0)),"NOT ON LIST"))</f>
        <v/>
      </c>
      <c r="H2995" s="35">
        <f>IF(OR(G2995="",G2995="NOT ON LIST"),"",VLOOKUP(G2995,Students!$A:$C,2,FALSE))</f>
        <v/>
      </c>
      <c r="I2995" s="35">
        <f>IF(OR(G2995="",G2995="NOT ON LIST"),"",VLOOKUP(G2995,Students!$A:$C,3,FALSE)&amp;"")</f>
        <v/>
      </c>
    </row>
    <row r="2996">
      <c r="A2996" s="31" t="n"/>
      <c r="B2996" s="32" t="n"/>
      <c r="C2996" s="32" t="n"/>
      <c r="D2996" s="33" t="n"/>
      <c r="E2996" s="32" t="n"/>
      <c r="F2996" s="34">
        <f>IF(A2996="","",IFERROR(INT(A2996),"check date"))</f>
        <v/>
      </c>
      <c r="G2996" s="35">
        <f>IF(B2996="","",IFERROR(INDEX(Students!$A:$A,MATCH(TRIM(B2996),Students!$A:$A,0)),"NOT ON LIST"))</f>
        <v/>
      </c>
      <c r="H2996" s="35">
        <f>IF(OR(G2996="",G2996="NOT ON LIST"),"",VLOOKUP(G2996,Students!$A:$C,2,FALSE))</f>
        <v/>
      </c>
      <c r="I2996" s="35">
        <f>IF(OR(G2996="",G2996="NOT ON LIST"),"",VLOOKUP(G2996,Students!$A:$C,3,FALSE)&amp;"")</f>
        <v/>
      </c>
    </row>
    <row r="2997">
      <c r="A2997" s="31" t="n"/>
      <c r="B2997" s="32" t="n"/>
      <c r="C2997" s="32" t="n"/>
      <c r="D2997" s="33" t="n"/>
      <c r="E2997" s="32" t="n"/>
      <c r="F2997" s="34">
        <f>IF(A2997="","",IFERROR(INT(A2997),"check date"))</f>
        <v/>
      </c>
      <c r="G2997" s="35">
        <f>IF(B2997="","",IFERROR(INDEX(Students!$A:$A,MATCH(TRIM(B2997),Students!$A:$A,0)),"NOT ON LIST"))</f>
        <v/>
      </c>
      <c r="H2997" s="35">
        <f>IF(OR(G2997="",G2997="NOT ON LIST"),"",VLOOKUP(G2997,Students!$A:$C,2,FALSE))</f>
        <v/>
      </c>
      <c r="I2997" s="35">
        <f>IF(OR(G2997="",G2997="NOT ON LIST"),"",VLOOKUP(G2997,Students!$A:$C,3,FALSE)&amp;"")</f>
        <v/>
      </c>
    </row>
    <row r="2998">
      <c r="A2998" s="31" t="n"/>
      <c r="B2998" s="32" t="n"/>
      <c r="C2998" s="32" t="n"/>
      <c r="D2998" s="33" t="n"/>
      <c r="E2998" s="32" t="n"/>
      <c r="F2998" s="34">
        <f>IF(A2998="","",IFERROR(INT(A2998),"check date"))</f>
        <v/>
      </c>
      <c r="G2998" s="35">
        <f>IF(B2998="","",IFERROR(INDEX(Students!$A:$A,MATCH(TRIM(B2998),Students!$A:$A,0)),"NOT ON LIST"))</f>
        <v/>
      </c>
      <c r="H2998" s="35">
        <f>IF(OR(G2998="",G2998="NOT ON LIST"),"",VLOOKUP(G2998,Students!$A:$C,2,FALSE))</f>
        <v/>
      </c>
      <c r="I2998" s="35">
        <f>IF(OR(G2998="",G2998="NOT ON LIST"),"",VLOOKUP(G2998,Students!$A:$C,3,FALSE)&amp;"")</f>
        <v/>
      </c>
    </row>
    <row r="2999">
      <c r="A2999" s="31" t="n"/>
      <c r="B2999" s="32" t="n"/>
      <c r="C2999" s="32" t="n"/>
      <c r="D2999" s="33" t="n"/>
      <c r="E2999" s="32" t="n"/>
      <c r="F2999" s="34">
        <f>IF(A2999="","",IFERROR(INT(A2999),"check date"))</f>
        <v/>
      </c>
      <c r="G2999" s="35">
        <f>IF(B2999="","",IFERROR(INDEX(Students!$A:$A,MATCH(TRIM(B2999),Students!$A:$A,0)),"NOT ON LIST"))</f>
        <v/>
      </c>
      <c r="H2999" s="35">
        <f>IF(OR(G2999="",G2999="NOT ON LIST"),"",VLOOKUP(G2999,Students!$A:$C,2,FALSE))</f>
        <v/>
      </c>
      <c r="I2999" s="35">
        <f>IF(OR(G2999="",G2999="NOT ON LIST"),"",VLOOKUP(G2999,Students!$A:$C,3,FALSE)&amp;"")</f>
        <v/>
      </c>
    </row>
    <row r="3000">
      <c r="A3000" s="31" t="n"/>
      <c r="B3000" s="32" t="n"/>
      <c r="C3000" s="32" t="n"/>
      <c r="D3000" s="33" t="n"/>
      <c r="E3000" s="32" t="n"/>
      <c r="F3000" s="34">
        <f>IF(A3000="","",IFERROR(INT(A3000),"check date"))</f>
        <v/>
      </c>
      <c r="G3000" s="35">
        <f>IF(B3000="","",IFERROR(INDEX(Students!$A:$A,MATCH(TRIM(B3000),Students!$A:$A,0)),"NOT ON LIST"))</f>
        <v/>
      </c>
      <c r="H3000" s="35">
        <f>IF(OR(G3000="",G3000="NOT ON LIST"),"",VLOOKUP(G3000,Students!$A:$C,2,FALSE))</f>
        <v/>
      </c>
      <c r="I3000" s="35">
        <f>IF(OR(G3000="",G3000="NOT ON LIST"),"",VLOOKUP(G3000,Students!$A:$C,3,FALSE)&amp;"")</f>
        <v/>
      </c>
    </row>
    <row r="3001">
      <c r="A3001" s="31" t="n"/>
      <c r="B3001" s="32" t="n"/>
      <c r="C3001" s="32" t="n"/>
      <c r="D3001" s="33" t="n"/>
      <c r="E3001" s="32" t="n"/>
      <c r="F3001" s="34">
        <f>IF(A3001="","",IFERROR(INT(A3001),"check date"))</f>
        <v/>
      </c>
      <c r="G3001" s="35">
        <f>IF(B3001="","",IFERROR(INDEX(Students!$A:$A,MATCH(TRIM(B3001),Students!$A:$A,0)),"NOT ON LIST"))</f>
        <v/>
      </c>
      <c r="H3001" s="35">
        <f>IF(OR(G3001="",G3001="NOT ON LIST"),"",VLOOKUP(G3001,Students!$A:$C,2,FALSE))</f>
        <v/>
      </c>
      <c r="I3001" s="35">
        <f>IF(OR(G3001="",G3001="NOT ON LIST"),"",VLOOKUP(G3001,Students!$A:$C,3,FALSE)&amp;"")</f>
        <v/>
      </c>
    </row>
  </sheetData>
  <autoFilter ref="A1:I3001"/>
  <conditionalFormatting sqref="A2:I3001">
    <cfRule type="expression" priority="1" dxfId="3">
      <formula>$G2="NOT ON LIST"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F6FD0"/>
    <outlinePr summaryBelow="1" summaryRight="1"/>
    <pageSetUpPr/>
  </sheetPr>
  <dimension ref="A1:J6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width="8" customWidth="1" min="3" max="3"/>
    <col width="13" customWidth="1" min="4" max="4"/>
    <col width="11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32" customHeight="1">
      <c r="A1" s="7" t="inlineStr">
        <is>
          <t>Student</t>
        </is>
      </c>
      <c r="B1" s="7" t="inlineStr">
        <is>
          <t>Teacher</t>
        </is>
      </c>
      <c r="C1" s="7" t="inlineStr">
        <is>
          <t>Grade</t>
        </is>
      </c>
      <c r="D1" s="30" t="inlineStr">
        <is>
          <t>Total $ (auto)</t>
        </is>
      </c>
      <c r="E1" s="30" t="inlineStr">
        <is>
          <t>Donated? (auto)</t>
        </is>
      </c>
      <c r="F1" s="30">
        <f>"$ "&amp;TEXT('Daily Challenges'!$C$7,"m/d")&amp;IF('Daily Challenges'!$D$7&gt;'Daily Challenges'!$C$7,"–"&amp;TEXT('Daily Challenges'!$D$7,"m/d"),"")</f>
        <v/>
      </c>
      <c r="G1" s="30">
        <f>"$ "&amp;TEXT('Daily Challenges'!$C$8,"m/d")&amp;IF('Daily Challenges'!$D$8&gt;'Daily Challenges'!$C$8,"–"&amp;TEXT('Daily Challenges'!$D$8,"m/d"),"")</f>
        <v/>
      </c>
      <c r="H1" s="30">
        <f>"$ thru "&amp;TEXT('Daily Challenges'!$D$9,"m/d")</f>
        <v/>
      </c>
      <c r="I1" s="30">
        <f>"$ "&amp;TEXT('Daily Challenges'!$C$10,"m/d")&amp;IF('Daily Challenges'!$D$10&gt;'Daily Challenges'!$C$10,"–"&amp;TEXT('Daily Challenges'!$D$10,"m/d"),"")</f>
        <v/>
      </c>
      <c r="J1" s="30">
        <f>"$ thru "&amp;TEXT('Daily Challenges'!$D$12,"m/d")</f>
        <v/>
      </c>
    </row>
    <row r="2">
      <c r="A2" s="32" t="inlineStr">
        <is>
          <t>Diego Morales</t>
        </is>
      </c>
      <c r="B2" s="32" t="inlineStr">
        <is>
          <t>Ms. Alvarez</t>
        </is>
      </c>
      <c r="C2" s="36" t="inlineStr">
        <is>
          <t>P3</t>
        </is>
      </c>
      <c r="D2" s="37">
        <f>IF(A2="","",SUMIFS(Donations!$D:$D,Donations!$G:$G,A2))</f>
        <v/>
      </c>
      <c r="E2" s="35">
        <f>IF(A2="","",IF(D2&gt;0,"Yes",""))</f>
        <v/>
      </c>
      <c r="F2" s="38">
        <f>IF($A2="","",SUMIFS(Donations!$D:$D,Donations!$G:$G,$A2,Donations!$F:$F,"&gt;="&amp;'Daily Challenges'!$C$7,Donations!$F:$F,"&lt;="&amp;'Daily Challenges'!$D$7))</f>
        <v/>
      </c>
      <c r="G2" s="38">
        <f>IF($A2="","",SUMIFS(Donations!$D:$D,Donations!$G:$G,$A2,Donations!$F:$F,"&gt;="&amp;'Daily Challenges'!$C$8,Donations!$F:$F,"&lt;="&amp;'Daily Challenges'!$D$8))</f>
        <v/>
      </c>
      <c r="H2" s="38">
        <f>IF($A2="","",SUMIFS(Donations!$D:$D,Donations!$G:$G,$A2,Donations!$F:$F,"&lt;="&amp;'Daily Challenges'!$D$9))</f>
        <v/>
      </c>
      <c r="I2" s="38">
        <f>IF($A2="","",SUMIFS(Donations!$D:$D,Donations!$G:$G,$A2,Donations!$F:$F,"&gt;="&amp;'Daily Challenges'!$C$10,Donations!$F:$F,"&lt;="&amp;'Daily Challenges'!$D$10))</f>
        <v/>
      </c>
      <c r="J2" s="38">
        <f>IF($A2="","",SUMIFS(Donations!$D:$D,Donations!$G:$G,$A2,Donations!$F:$F,"&lt;="&amp;'Daily Challenges'!$D$12))</f>
        <v/>
      </c>
    </row>
    <row r="3">
      <c r="A3" s="32" t="inlineStr">
        <is>
          <t>Nora Patel</t>
        </is>
      </c>
      <c r="B3" s="32" t="inlineStr">
        <is>
          <t>Ms. Alvarez</t>
        </is>
      </c>
      <c r="C3" s="36" t="inlineStr">
        <is>
          <t>P3</t>
        </is>
      </c>
      <c r="D3" s="37">
        <f>IF(A3="","",SUMIFS(Donations!$D:$D,Donations!$G:$G,A3))</f>
        <v/>
      </c>
      <c r="E3" s="35">
        <f>IF(A3="","",IF(D3&gt;0,"Yes",""))</f>
        <v/>
      </c>
      <c r="F3" s="38">
        <f>IF($A3="","",SUMIFS(Donations!$D:$D,Donations!$G:$G,$A3,Donations!$F:$F,"&gt;="&amp;'Daily Challenges'!$C$7,Donations!$F:$F,"&lt;="&amp;'Daily Challenges'!$D$7))</f>
        <v/>
      </c>
      <c r="G3" s="38">
        <f>IF($A3="","",SUMIFS(Donations!$D:$D,Donations!$G:$G,$A3,Donations!$F:$F,"&gt;="&amp;'Daily Challenges'!$C$8,Donations!$F:$F,"&lt;="&amp;'Daily Challenges'!$D$8))</f>
        <v/>
      </c>
      <c r="H3" s="38">
        <f>IF($A3="","",SUMIFS(Donations!$D:$D,Donations!$G:$G,$A3,Donations!$F:$F,"&lt;="&amp;'Daily Challenges'!$D$9))</f>
        <v/>
      </c>
      <c r="I3" s="38">
        <f>IF($A3="","",SUMIFS(Donations!$D:$D,Donations!$G:$G,$A3,Donations!$F:$F,"&gt;="&amp;'Daily Challenges'!$C$10,Donations!$F:$F,"&lt;="&amp;'Daily Challenges'!$D$10))</f>
        <v/>
      </c>
      <c r="J3" s="38">
        <f>IF($A3="","",SUMIFS(Donations!$D:$D,Donations!$G:$G,$A3,Donations!$F:$F,"&lt;="&amp;'Daily Challenges'!$D$12))</f>
        <v/>
      </c>
    </row>
    <row r="4">
      <c r="A4" s="32" t="inlineStr">
        <is>
          <t>Thomas Williams</t>
        </is>
      </c>
      <c r="B4" s="32" t="inlineStr">
        <is>
          <t>Ms. Alvarez</t>
        </is>
      </c>
      <c r="C4" s="36" t="inlineStr">
        <is>
          <t>P3</t>
        </is>
      </c>
      <c r="D4" s="37">
        <f>IF(A4="","",SUMIFS(Donations!$D:$D,Donations!$G:$G,A4))</f>
        <v/>
      </c>
      <c r="E4" s="35">
        <f>IF(A4="","",IF(D4&gt;0,"Yes",""))</f>
        <v/>
      </c>
      <c r="F4" s="38">
        <f>IF($A4="","",SUMIFS(Donations!$D:$D,Donations!$G:$G,$A4,Donations!$F:$F,"&gt;="&amp;'Daily Challenges'!$C$7,Donations!$F:$F,"&lt;="&amp;'Daily Challenges'!$D$7))</f>
        <v/>
      </c>
      <c r="G4" s="38">
        <f>IF($A4="","",SUMIFS(Donations!$D:$D,Donations!$G:$G,$A4,Donations!$F:$F,"&gt;="&amp;'Daily Challenges'!$C$8,Donations!$F:$F,"&lt;="&amp;'Daily Challenges'!$D$8))</f>
        <v/>
      </c>
      <c r="H4" s="38">
        <f>IF($A4="","",SUMIFS(Donations!$D:$D,Donations!$G:$G,$A4,Donations!$F:$F,"&lt;="&amp;'Daily Challenges'!$D$9))</f>
        <v/>
      </c>
      <c r="I4" s="38">
        <f>IF($A4="","",SUMIFS(Donations!$D:$D,Donations!$G:$G,$A4,Donations!$F:$F,"&gt;="&amp;'Daily Challenges'!$C$10,Donations!$F:$F,"&lt;="&amp;'Daily Challenges'!$D$10))</f>
        <v/>
      </c>
      <c r="J4" s="38">
        <f>IF($A4="","",SUMIFS(Donations!$D:$D,Donations!$G:$G,$A4,Donations!$F:$F,"&lt;="&amp;'Daily Challenges'!$D$12))</f>
        <v/>
      </c>
    </row>
    <row r="5">
      <c r="A5" s="32" t="inlineStr">
        <is>
          <t>Mia Byrne</t>
        </is>
      </c>
      <c r="B5" s="32" t="inlineStr">
        <is>
          <t>Ms. Alvarez</t>
        </is>
      </c>
      <c r="C5" s="36" t="inlineStr">
        <is>
          <t>P3</t>
        </is>
      </c>
      <c r="D5" s="37">
        <f>IF(A5="","",SUMIFS(Donations!$D:$D,Donations!$G:$G,A5))</f>
        <v/>
      </c>
      <c r="E5" s="35">
        <f>IF(A5="","",IF(D5&gt;0,"Yes",""))</f>
        <v/>
      </c>
      <c r="F5" s="38">
        <f>IF($A5="","",SUMIFS(Donations!$D:$D,Donations!$G:$G,$A5,Donations!$F:$F,"&gt;="&amp;'Daily Challenges'!$C$7,Donations!$F:$F,"&lt;="&amp;'Daily Challenges'!$D$7))</f>
        <v/>
      </c>
      <c r="G5" s="38">
        <f>IF($A5="","",SUMIFS(Donations!$D:$D,Donations!$G:$G,$A5,Donations!$F:$F,"&gt;="&amp;'Daily Challenges'!$C$8,Donations!$F:$F,"&lt;="&amp;'Daily Challenges'!$D$8))</f>
        <v/>
      </c>
      <c r="H5" s="38">
        <f>IF($A5="","",SUMIFS(Donations!$D:$D,Donations!$G:$G,$A5,Donations!$F:$F,"&lt;="&amp;'Daily Challenges'!$D$9))</f>
        <v/>
      </c>
      <c r="I5" s="38">
        <f>IF($A5="","",SUMIFS(Donations!$D:$D,Donations!$G:$G,$A5,Donations!$F:$F,"&gt;="&amp;'Daily Challenges'!$C$10,Donations!$F:$F,"&lt;="&amp;'Daily Challenges'!$D$10))</f>
        <v/>
      </c>
      <c r="J5" s="38">
        <f>IF($A5="","",SUMIFS(Donations!$D:$D,Donations!$G:$G,$A5,Donations!$F:$F,"&lt;="&amp;'Daily Challenges'!$D$12))</f>
        <v/>
      </c>
    </row>
    <row r="6">
      <c r="A6" s="32" t="inlineStr">
        <is>
          <t>Nicolas Sullivan</t>
        </is>
      </c>
      <c r="B6" s="32" t="inlineStr">
        <is>
          <t>Ms. Alvarez</t>
        </is>
      </c>
      <c r="C6" s="36" t="inlineStr">
        <is>
          <t>P3</t>
        </is>
      </c>
      <c r="D6" s="37">
        <f>IF(A6="","",SUMIFS(Donations!$D:$D,Donations!$G:$G,A6))</f>
        <v/>
      </c>
      <c r="E6" s="35">
        <f>IF(A6="","",IF(D6&gt;0,"Yes",""))</f>
        <v/>
      </c>
      <c r="F6" s="38">
        <f>IF($A6="","",SUMIFS(Donations!$D:$D,Donations!$G:$G,$A6,Donations!$F:$F,"&gt;="&amp;'Daily Challenges'!$C$7,Donations!$F:$F,"&lt;="&amp;'Daily Challenges'!$D$7))</f>
        <v/>
      </c>
      <c r="G6" s="38">
        <f>IF($A6="","",SUMIFS(Donations!$D:$D,Donations!$G:$G,$A6,Donations!$F:$F,"&gt;="&amp;'Daily Challenges'!$C$8,Donations!$F:$F,"&lt;="&amp;'Daily Challenges'!$D$8))</f>
        <v/>
      </c>
      <c r="H6" s="38">
        <f>IF($A6="","",SUMIFS(Donations!$D:$D,Donations!$G:$G,$A6,Donations!$F:$F,"&lt;="&amp;'Daily Challenges'!$D$9))</f>
        <v/>
      </c>
      <c r="I6" s="38">
        <f>IF($A6="","",SUMIFS(Donations!$D:$D,Donations!$G:$G,$A6,Donations!$F:$F,"&gt;="&amp;'Daily Challenges'!$C$10,Donations!$F:$F,"&lt;="&amp;'Daily Challenges'!$D$10))</f>
        <v/>
      </c>
      <c r="J6" s="38">
        <f>IF($A6="","",SUMIFS(Donations!$D:$D,Donations!$G:$G,$A6,Donations!$F:$F,"&lt;="&amp;'Daily Challenges'!$D$12))</f>
        <v/>
      </c>
    </row>
    <row r="7">
      <c r="A7" s="32" t="inlineStr">
        <is>
          <t>Grace Kelly</t>
        </is>
      </c>
      <c r="B7" s="32" t="inlineStr">
        <is>
          <t>Ms. Alvarez</t>
        </is>
      </c>
      <c r="C7" s="36" t="inlineStr">
        <is>
          <t>P3</t>
        </is>
      </c>
      <c r="D7" s="37">
        <f>IF(A7="","",SUMIFS(Donations!$D:$D,Donations!$G:$G,A7))</f>
        <v/>
      </c>
      <c r="E7" s="35">
        <f>IF(A7="","",IF(D7&gt;0,"Yes",""))</f>
        <v/>
      </c>
      <c r="F7" s="38">
        <f>IF($A7="","",SUMIFS(Donations!$D:$D,Donations!$G:$G,$A7,Donations!$F:$F,"&gt;="&amp;'Daily Challenges'!$C$7,Donations!$F:$F,"&lt;="&amp;'Daily Challenges'!$D$7))</f>
        <v/>
      </c>
      <c r="G7" s="38">
        <f>IF($A7="","",SUMIFS(Donations!$D:$D,Donations!$G:$G,$A7,Donations!$F:$F,"&gt;="&amp;'Daily Challenges'!$C$8,Donations!$F:$F,"&lt;="&amp;'Daily Challenges'!$D$8))</f>
        <v/>
      </c>
      <c r="H7" s="38">
        <f>IF($A7="","",SUMIFS(Donations!$D:$D,Donations!$G:$G,$A7,Donations!$F:$F,"&lt;="&amp;'Daily Challenges'!$D$9))</f>
        <v/>
      </c>
      <c r="I7" s="38">
        <f>IF($A7="","",SUMIFS(Donations!$D:$D,Donations!$G:$G,$A7,Donations!$F:$F,"&gt;="&amp;'Daily Challenges'!$C$10,Donations!$F:$F,"&lt;="&amp;'Daily Challenges'!$D$10))</f>
        <v/>
      </c>
      <c r="J7" s="38">
        <f>IF($A7="","",SUMIFS(Donations!$D:$D,Donations!$G:$G,$A7,Donations!$F:$F,"&lt;="&amp;'Daily Challenges'!$D$12))</f>
        <v/>
      </c>
    </row>
    <row r="8">
      <c r="A8" s="32" t="inlineStr">
        <is>
          <t>Adrian Nguyen</t>
        </is>
      </c>
      <c r="B8" s="32" t="inlineStr">
        <is>
          <t>Ms. Alvarez</t>
        </is>
      </c>
      <c r="C8" s="36" t="inlineStr">
        <is>
          <t>P3</t>
        </is>
      </c>
      <c r="D8" s="37">
        <f>IF(A8="","",SUMIFS(Donations!$D:$D,Donations!$G:$G,A8))</f>
        <v/>
      </c>
      <c r="E8" s="35">
        <f>IF(A8="","",IF(D8&gt;0,"Yes",""))</f>
        <v/>
      </c>
      <c r="F8" s="38">
        <f>IF($A8="","",SUMIFS(Donations!$D:$D,Donations!$G:$G,$A8,Donations!$F:$F,"&gt;="&amp;'Daily Challenges'!$C$7,Donations!$F:$F,"&lt;="&amp;'Daily Challenges'!$D$7))</f>
        <v/>
      </c>
      <c r="G8" s="38">
        <f>IF($A8="","",SUMIFS(Donations!$D:$D,Donations!$G:$G,$A8,Donations!$F:$F,"&gt;="&amp;'Daily Challenges'!$C$8,Donations!$F:$F,"&lt;="&amp;'Daily Challenges'!$D$8))</f>
        <v/>
      </c>
      <c r="H8" s="38">
        <f>IF($A8="","",SUMIFS(Donations!$D:$D,Donations!$G:$G,$A8,Donations!$F:$F,"&lt;="&amp;'Daily Challenges'!$D$9))</f>
        <v/>
      </c>
      <c r="I8" s="38">
        <f>IF($A8="","",SUMIFS(Donations!$D:$D,Donations!$G:$G,$A8,Donations!$F:$F,"&gt;="&amp;'Daily Challenges'!$C$10,Donations!$F:$F,"&lt;="&amp;'Daily Challenges'!$D$10))</f>
        <v/>
      </c>
      <c r="J8" s="38">
        <f>IF($A8="","",SUMIFS(Donations!$D:$D,Donations!$G:$G,$A8,Donations!$F:$F,"&lt;="&amp;'Daily Challenges'!$D$12))</f>
        <v/>
      </c>
    </row>
    <row r="9">
      <c r="A9" s="32" t="inlineStr">
        <is>
          <t>Julian Castillo</t>
        </is>
      </c>
      <c r="B9" s="32" t="inlineStr">
        <is>
          <t>Ms. Alvarez</t>
        </is>
      </c>
      <c r="C9" s="36" t="inlineStr">
        <is>
          <t>P3</t>
        </is>
      </c>
      <c r="D9" s="37">
        <f>IF(A9="","",SUMIFS(Donations!$D:$D,Donations!$G:$G,A9))</f>
        <v/>
      </c>
      <c r="E9" s="35">
        <f>IF(A9="","",IF(D9&gt;0,"Yes",""))</f>
        <v/>
      </c>
      <c r="F9" s="38">
        <f>IF($A9="","",SUMIFS(Donations!$D:$D,Donations!$G:$G,$A9,Donations!$F:$F,"&gt;="&amp;'Daily Challenges'!$C$7,Donations!$F:$F,"&lt;="&amp;'Daily Challenges'!$D$7))</f>
        <v/>
      </c>
      <c r="G9" s="38">
        <f>IF($A9="","",SUMIFS(Donations!$D:$D,Donations!$G:$G,$A9,Donations!$F:$F,"&gt;="&amp;'Daily Challenges'!$C$8,Donations!$F:$F,"&lt;="&amp;'Daily Challenges'!$D$8))</f>
        <v/>
      </c>
      <c r="H9" s="38">
        <f>IF($A9="","",SUMIFS(Donations!$D:$D,Donations!$G:$G,$A9,Donations!$F:$F,"&lt;="&amp;'Daily Challenges'!$D$9))</f>
        <v/>
      </c>
      <c r="I9" s="38">
        <f>IF($A9="","",SUMIFS(Donations!$D:$D,Donations!$G:$G,$A9,Donations!$F:$F,"&gt;="&amp;'Daily Challenges'!$C$10,Donations!$F:$F,"&lt;="&amp;'Daily Challenges'!$D$10))</f>
        <v/>
      </c>
      <c r="J9" s="38">
        <f>IF($A9="","",SUMIFS(Donations!$D:$D,Donations!$G:$G,$A9,Donations!$F:$F,"&lt;="&amp;'Daily Challenges'!$D$12))</f>
        <v/>
      </c>
    </row>
    <row r="10">
      <c r="A10" s="32" t="inlineStr">
        <is>
          <t>James Garcia</t>
        </is>
      </c>
      <c r="B10" s="32" t="inlineStr">
        <is>
          <t>Ms. Alvarez</t>
        </is>
      </c>
      <c r="C10" s="36" t="inlineStr">
        <is>
          <t>P3</t>
        </is>
      </c>
      <c r="D10" s="37">
        <f>IF(A10="","",SUMIFS(Donations!$D:$D,Donations!$G:$G,A10))</f>
        <v/>
      </c>
      <c r="E10" s="35">
        <f>IF(A10="","",IF(D10&gt;0,"Yes",""))</f>
        <v/>
      </c>
      <c r="F10" s="38">
        <f>IF($A10="","",SUMIFS(Donations!$D:$D,Donations!$G:$G,$A10,Donations!$F:$F,"&gt;="&amp;'Daily Challenges'!$C$7,Donations!$F:$F,"&lt;="&amp;'Daily Challenges'!$D$7))</f>
        <v/>
      </c>
      <c r="G10" s="38">
        <f>IF($A10="","",SUMIFS(Donations!$D:$D,Donations!$G:$G,$A10,Donations!$F:$F,"&gt;="&amp;'Daily Challenges'!$C$8,Donations!$F:$F,"&lt;="&amp;'Daily Challenges'!$D$8))</f>
        <v/>
      </c>
      <c r="H10" s="38">
        <f>IF($A10="","",SUMIFS(Donations!$D:$D,Donations!$G:$G,$A10,Donations!$F:$F,"&lt;="&amp;'Daily Challenges'!$D$9))</f>
        <v/>
      </c>
      <c r="I10" s="38">
        <f>IF($A10="","",SUMIFS(Donations!$D:$D,Donations!$G:$G,$A10,Donations!$F:$F,"&gt;="&amp;'Daily Challenges'!$C$10,Donations!$F:$F,"&lt;="&amp;'Daily Challenges'!$D$10))</f>
        <v/>
      </c>
      <c r="J10" s="38">
        <f>IF($A10="","",SUMIFS(Donations!$D:$D,Donations!$G:$G,$A10,Donations!$F:$F,"&lt;="&amp;'Daily Challenges'!$D$12))</f>
        <v/>
      </c>
    </row>
    <row r="11">
      <c r="A11" s="32" t="inlineStr">
        <is>
          <t>Nicolas Johnson</t>
        </is>
      </c>
      <c r="B11" s="32" t="inlineStr">
        <is>
          <t>Ms. Alvarez</t>
        </is>
      </c>
      <c r="C11" s="36" t="inlineStr">
        <is>
          <t>P3</t>
        </is>
      </c>
      <c r="D11" s="37">
        <f>IF(A11="","",SUMIFS(Donations!$D:$D,Donations!$G:$G,A11))</f>
        <v/>
      </c>
      <c r="E11" s="35">
        <f>IF(A11="","",IF(D11&gt;0,"Yes",""))</f>
        <v/>
      </c>
      <c r="F11" s="38">
        <f>IF($A11="","",SUMIFS(Donations!$D:$D,Donations!$G:$G,$A11,Donations!$F:$F,"&gt;="&amp;'Daily Challenges'!$C$7,Donations!$F:$F,"&lt;="&amp;'Daily Challenges'!$D$7))</f>
        <v/>
      </c>
      <c r="G11" s="38">
        <f>IF($A11="","",SUMIFS(Donations!$D:$D,Donations!$G:$G,$A11,Donations!$F:$F,"&gt;="&amp;'Daily Challenges'!$C$8,Donations!$F:$F,"&lt;="&amp;'Daily Challenges'!$D$8))</f>
        <v/>
      </c>
      <c r="H11" s="38">
        <f>IF($A11="","",SUMIFS(Donations!$D:$D,Donations!$G:$G,$A11,Donations!$F:$F,"&lt;="&amp;'Daily Challenges'!$D$9))</f>
        <v/>
      </c>
      <c r="I11" s="38">
        <f>IF($A11="","",SUMIFS(Donations!$D:$D,Donations!$G:$G,$A11,Donations!$F:$F,"&gt;="&amp;'Daily Challenges'!$C$10,Donations!$F:$F,"&lt;="&amp;'Daily Challenges'!$D$10))</f>
        <v/>
      </c>
      <c r="J11" s="38">
        <f>IF($A11="","",SUMIFS(Donations!$D:$D,Donations!$G:$G,$A11,Donations!$F:$F,"&lt;="&amp;'Daily Challenges'!$D$12))</f>
        <v/>
      </c>
    </row>
    <row r="12">
      <c r="A12" s="32" t="inlineStr">
        <is>
          <t>Diego Reyes</t>
        </is>
      </c>
      <c r="B12" s="32" t="inlineStr">
        <is>
          <t>Ms. Alvarez</t>
        </is>
      </c>
      <c r="C12" s="36" t="inlineStr">
        <is>
          <t>P3</t>
        </is>
      </c>
      <c r="D12" s="37">
        <f>IF(A12="","",SUMIFS(Donations!$D:$D,Donations!$G:$G,A12))</f>
        <v/>
      </c>
      <c r="E12" s="35">
        <f>IF(A12="","",IF(D12&gt;0,"Yes",""))</f>
        <v/>
      </c>
      <c r="F12" s="38">
        <f>IF($A12="","",SUMIFS(Donations!$D:$D,Donations!$G:$G,$A12,Donations!$F:$F,"&gt;="&amp;'Daily Challenges'!$C$7,Donations!$F:$F,"&lt;="&amp;'Daily Challenges'!$D$7))</f>
        <v/>
      </c>
      <c r="G12" s="38">
        <f>IF($A12="","",SUMIFS(Donations!$D:$D,Donations!$G:$G,$A12,Donations!$F:$F,"&gt;="&amp;'Daily Challenges'!$C$8,Donations!$F:$F,"&lt;="&amp;'Daily Challenges'!$D$8))</f>
        <v/>
      </c>
      <c r="H12" s="38">
        <f>IF($A12="","",SUMIFS(Donations!$D:$D,Donations!$G:$G,$A12,Donations!$F:$F,"&lt;="&amp;'Daily Challenges'!$D$9))</f>
        <v/>
      </c>
      <c r="I12" s="38">
        <f>IF($A12="","",SUMIFS(Donations!$D:$D,Donations!$G:$G,$A12,Donations!$F:$F,"&gt;="&amp;'Daily Challenges'!$C$10,Donations!$F:$F,"&lt;="&amp;'Daily Challenges'!$D$10))</f>
        <v/>
      </c>
      <c r="J12" s="38">
        <f>IF($A12="","",SUMIFS(Donations!$D:$D,Donations!$G:$G,$A12,Donations!$F:$F,"&lt;="&amp;'Daily Challenges'!$D$12))</f>
        <v/>
      </c>
    </row>
    <row r="13">
      <c r="A13" s="32" t="inlineStr">
        <is>
          <t>Valentina Castillo</t>
        </is>
      </c>
      <c r="B13" s="32" t="inlineStr">
        <is>
          <t>Ms. Alvarez</t>
        </is>
      </c>
      <c r="C13" s="36" t="inlineStr">
        <is>
          <t>P3</t>
        </is>
      </c>
      <c r="D13" s="37">
        <f>IF(A13="","",SUMIFS(Donations!$D:$D,Donations!$G:$G,A13))</f>
        <v/>
      </c>
      <c r="E13" s="35">
        <f>IF(A13="","",IF(D13&gt;0,"Yes",""))</f>
        <v/>
      </c>
      <c r="F13" s="38">
        <f>IF($A13="","",SUMIFS(Donations!$D:$D,Donations!$G:$G,$A13,Donations!$F:$F,"&gt;="&amp;'Daily Challenges'!$C$7,Donations!$F:$F,"&lt;="&amp;'Daily Challenges'!$D$7))</f>
        <v/>
      </c>
      <c r="G13" s="38">
        <f>IF($A13="","",SUMIFS(Donations!$D:$D,Donations!$G:$G,$A13,Donations!$F:$F,"&gt;="&amp;'Daily Challenges'!$C$8,Donations!$F:$F,"&lt;="&amp;'Daily Challenges'!$D$8))</f>
        <v/>
      </c>
      <c r="H13" s="38">
        <f>IF($A13="","",SUMIFS(Donations!$D:$D,Donations!$G:$G,$A13,Donations!$F:$F,"&lt;="&amp;'Daily Challenges'!$D$9))</f>
        <v/>
      </c>
      <c r="I13" s="38">
        <f>IF($A13="","",SUMIFS(Donations!$D:$D,Donations!$G:$G,$A13,Donations!$F:$F,"&gt;="&amp;'Daily Challenges'!$C$10,Donations!$F:$F,"&lt;="&amp;'Daily Challenges'!$D$10))</f>
        <v/>
      </c>
      <c r="J13" s="38">
        <f>IF($A13="","",SUMIFS(Donations!$D:$D,Donations!$G:$G,$A13,Donations!$F:$F,"&lt;="&amp;'Daily Challenges'!$D$12))</f>
        <v/>
      </c>
    </row>
    <row r="14">
      <c r="A14" s="32" t="inlineStr">
        <is>
          <t>Sofia Nguyen</t>
        </is>
      </c>
      <c r="B14" s="32" t="inlineStr">
        <is>
          <t>Ms. Alvarez</t>
        </is>
      </c>
      <c r="C14" s="36" t="inlineStr">
        <is>
          <t>P3</t>
        </is>
      </c>
      <c r="D14" s="37">
        <f>IF(A14="","",SUMIFS(Donations!$D:$D,Donations!$G:$G,A14))</f>
        <v/>
      </c>
      <c r="E14" s="35">
        <f>IF(A14="","",IF(D14&gt;0,"Yes",""))</f>
        <v/>
      </c>
      <c r="F14" s="38">
        <f>IF($A14="","",SUMIFS(Donations!$D:$D,Donations!$G:$G,$A14,Donations!$F:$F,"&gt;="&amp;'Daily Challenges'!$C$7,Donations!$F:$F,"&lt;="&amp;'Daily Challenges'!$D$7))</f>
        <v/>
      </c>
      <c r="G14" s="38">
        <f>IF($A14="","",SUMIFS(Donations!$D:$D,Donations!$G:$G,$A14,Donations!$F:$F,"&gt;="&amp;'Daily Challenges'!$C$8,Donations!$F:$F,"&lt;="&amp;'Daily Challenges'!$D$8))</f>
        <v/>
      </c>
      <c r="H14" s="38">
        <f>IF($A14="","",SUMIFS(Donations!$D:$D,Donations!$G:$G,$A14,Donations!$F:$F,"&lt;="&amp;'Daily Challenges'!$D$9))</f>
        <v/>
      </c>
      <c r="I14" s="38">
        <f>IF($A14="","",SUMIFS(Donations!$D:$D,Donations!$G:$G,$A14,Donations!$F:$F,"&gt;="&amp;'Daily Challenges'!$C$10,Donations!$F:$F,"&lt;="&amp;'Daily Challenges'!$D$10))</f>
        <v/>
      </c>
      <c r="J14" s="38">
        <f>IF($A14="","",SUMIFS(Donations!$D:$D,Donations!$G:$G,$A14,Donations!$F:$F,"&lt;="&amp;'Daily Challenges'!$D$12))</f>
        <v/>
      </c>
    </row>
    <row r="15">
      <c r="A15" s="32" t="inlineStr">
        <is>
          <t>Evelyn Torres</t>
        </is>
      </c>
      <c r="B15" s="32" t="inlineStr">
        <is>
          <t>Ms. Alvarez</t>
        </is>
      </c>
      <c r="C15" s="36" t="inlineStr">
        <is>
          <t>P3</t>
        </is>
      </c>
      <c r="D15" s="37">
        <f>IF(A15="","",SUMIFS(Donations!$D:$D,Donations!$G:$G,A15))</f>
        <v/>
      </c>
      <c r="E15" s="35">
        <f>IF(A15="","",IF(D15&gt;0,"Yes",""))</f>
        <v/>
      </c>
      <c r="F15" s="38">
        <f>IF($A15="","",SUMIFS(Donations!$D:$D,Donations!$G:$G,$A15,Donations!$F:$F,"&gt;="&amp;'Daily Challenges'!$C$7,Donations!$F:$F,"&lt;="&amp;'Daily Challenges'!$D$7))</f>
        <v/>
      </c>
      <c r="G15" s="38">
        <f>IF($A15="","",SUMIFS(Donations!$D:$D,Donations!$G:$G,$A15,Donations!$F:$F,"&gt;="&amp;'Daily Challenges'!$C$8,Donations!$F:$F,"&lt;="&amp;'Daily Challenges'!$D$8))</f>
        <v/>
      </c>
      <c r="H15" s="38">
        <f>IF($A15="","",SUMIFS(Donations!$D:$D,Donations!$G:$G,$A15,Donations!$F:$F,"&lt;="&amp;'Daily Challenges'!$D$9))</f>
        <v/>
      </c>
      <c r="I15" s="38">
        <f>IF($A15="","",SUMIFS(Donations!$D:$D,Donations!$G:$G,$A15,Donations!$F:$F,"&gt;="&amp;'Daily Challenges'!$C$10,Donations!$F:$F,"&lt;="&amp;'Daily Challenges'!$D$10))</f>
        <v/>
      </c>
      <c r="J15" s="38">
        <f>IF($A15="","",SUMIFS(Donations!$D:$D,Donations!$G:$G,$A15,Donations!$F:$F,"&lt;="&amp;'Daily Challenges'!$D$12))</f>
        <v/>
      </c>
    </row>
    <row r="16">
      <c r="A16" s="32" t="inlineStr">
        <is>
          <t>Daniel Gomez</t>
        </is>
      </c>
      <c r="B16" s="32" t="inlineStr">
        <is>
          <t>Ms. Alvarez</t>
        </is>
      </c>
      <c r="C16" s="36" t="inlineStr">
        <is>
          <t>P3</t>
        </is>
      </c>
      <c r="D16" s="37">
        <f>IF(A16="","",SUMIFS(Donations!$D:$D,Donations!$G:$G,A16))</f>
        <v/>
      </c>
      <c r="E16" s="35">
        <f>IF(A16="","",IF(D16&gt;0,"Yes",""))</f>
        <v/>
      </c>
      <c r="F16" s="38">
        <f>IF($A16="","",SUMIFS(Donations!$D:$D,Donations!$G:$G,$A16,Donations!$F:$F,"&gt;="&amp;'Daily Challenges'!$C$7,Donations!$F:$F,"&lt;="&amp;'Daily Challenges'!$D$7))</f>
        <v/>
      </c>
      <c r="G16" s="38">
        <f>IF($A16="","",SUMIFS(Donations!$D:$D,Donations!$G:$G,$A16,Donations!$F:$F,"&gt;="&amp;'Daily Challenges'!$C$8,Donations!$F:$F,"&lt;="&amp;'Daily Challenges'!$D$8))</f>
        <v/>
      </c>
      <c r="H16" s="38">
        <f>IF($A16="","",SUMIFS(Donations!$D:$D,Donations!$G:$G,$A16,Donations!$F:$F,"&lt;="&amp;'Daily Challenges'!$D$9))</f>
        <v/>
      </c>
      <c r="I16" s="38">
        <f>IF($A16="","",SUMIFS(Donations!$D:$D,Donations!$G:$G,$A16,Donations!$F:$F,"&gt;="&amp;'Daily Challenges'!$C$10,Donations!$F:$F,"&lt;="&amp;'Daily Challenges'!$D$10))</f>
        <v/>
      </c>
      <c r="J16" s="38">
        <f>IF($A16="","",SUMIFS(Donations!$D:$D,Donations!$G:$G,$A16,Donations!$F:$F,"&lt;="&amp;'Daily Challenges'!$D$12))</f>
        <v/>
      </c>
    </row>
    <row r="17">
      <c r="A17" s="32" t="inlineStr">
        <is>
          <t>Luna Gutierrez</t>
        </is>
      </c>
      <c r="B17" s="32" t="inlineStr">
        <is>
          <t>Ms. Alvarez</t>
        </is>
      </c>
      <c r="C17" s="36" t="inlineStr">
        <is>
          <t>P3</t>
        </is>
      </c>
      <c r="D17" s="37">
        <f>IF(A17="","",SUMIFS(Donations!$D:$D,Donations!$G:$G,A17))</f>
        <v/>
      </c>
      <c r="E17" s="35">
        <f>IF(A17="","",IF(D17&gt;0,"Yes",""))</f>
        <v/>
      </c>
      <c r="F17" s="38">
        <f>IF($A17="","",SUMIFS(Donations!$D:$D,Donations!$G:$G,$A17,Donations!$F:$F,"&gt;="&amp;'Daily Challenges'!$C$7,Donations!$F:$F,"&lt;="&amp;'Daily Challenges'!$D$7))</f>
        <v/>
      </c>
      <c r="G17" s="38">
        <f>IF($A17="","",SUMIFS(Donations!$D:$D,Donations!$G:$G,$A17,Donations!$F:$F,"&gt;="&amp;'Daily Challenges'!$C$8,Donations!$F:$F,"&lt;="&amp;'Daily Challenges'!$D$8))</f>
        <v/>
      </c>
      <c r="H17" s="38">
        <f>IF($A17="","",SUMIFS(Donations!$D:$D,Donations!$G:$G,$A17,Donations!$F:$F,"&lt;="&amp;'Daily Challenges'!$D$9))</f>
        <v/>
      </c>
      <c r="I17" s="38">
        <f>IF($A17="","",SUMIFS(Donations!$D:$D,Donations!$G:$G,$A17,Donations!$F:$F,"&gt;="&amp;'Daily Challenges'!$C$10,Donations!$F:$F,"&lt;="&amp;'Daily Challenges'!$D$10))</f>
        <v/>
      </c>
      <c r="J17" s="38">
        <f>IF($A17="","",SUMIFS(Donations!$D:$D,Donations!$G:$G,$A17,Donations!$F:$F,"&lt;="&amp;'Daily Challenges'!$D$12))</f>
        <v/>
      </c>
    </row>
    <row r="18">
      <c r="A18" s="32" t="inlineStr">
        <is>
          <t>Chloe Patel</t>
        </is>
      </c>
      <c r="B18" s="32" t="inlineStr">
        <is>
          <t>Mrs. Bennett</t>
        </is>
      </c>
      <c r="C18" s="36" t="inlineStr">
        <is>
          <t>P3</t>
        </is>
      </c>
      <c r="D18" s="37">
        <f>IF(A18="","",SUMIFS(Donations!$D:$D,Donations!$G:$G,A18))</f>
        <v/>
      </c>
      <c r="E18" s="35">
        <f>IF(A18="","",IF(D18&gt;0,"Yes",""))</f>
        <v/>
      </c>
      <c r="F18" s="38">
        <f>IF($A18="","",SUMIFS(Donations!$D:$D,Donations!$G:$G,$A18,Donations!$F:$F,"&gt;="&amp;'Daily Challenges'!$C$7,Donations!$F:$F,"&lt;="&amp;'Daily Challenges'!$D$7))</f>
        <v/>
      </c>
      <c r="G18" s="38">
        <f>IF($A18="","",SUMIFS(Donations!$D:$D,Donations!$G:$G,$A18,Donations!$F:$F,"&gt;="&amp;'Daily Challenges'!$C$8,Donations!$F:$F,"&lt;="&amp;'Daily Challenges'!$D$8))</f>
        <v/>
      </c>
      <c r="H18" s="38">
        <f>IF($A18="","",SUMIFS(Donations!$D:$D,Donations!$G:$G,$A18,Donations!$F:$F,"&lt;="&amp;'Daily Challenges'!$D$9))</f>
        <v/>
      </c>
      <c r="I18" s="38">
        <f>IF($A18="","",SUMIFS(Donations!$D:$D,Donations!$G:$G,$A18,Donations!$F:$F,"&gt;="&amp;'Daily Challenges'!$C$10,Donations!$F:$F,"&lt;="&amp;'Daily Challenges'!$D$10))</f>
        <v/>
      </c>
      <c r="J18" s="38">
        <f>IF($A18="","",SUMIFS(Donations!$D:$D,Donations!$G:$G,$A18,Donations!$F:$F,"&lt;="&amp;'Daily Challenges'!$D$12))</f>
        <v/>
      </c>
    </row>
    <row r="19">
      <c r="A19" s="32" t="inlineStr">
        <is>
          <t>Elena Smith</t>
        </is>
      </c>
      <c r="B19" s="32" t="inlineStr">
        <is>
          <t>Mrs. Bennett</t>
        </is>
      </c>
      <c r="C19" s="36" t="inlineStr">
        <is>
          <t>P3</t>
        </is>
      </c>
      <c r="D19" s="37">
        <f>IF(A19="","",SUMIFS(Donations!$D:$D,Donations!$G:$G,A19))</f>
        <v/>
      </c>
      <c r="E19" s="35">
        <f>IF(A19="","",IF(D19&gt;0,"Yes",""))</f>
        <v/>
      </c>
      <c r="F19" s="38">
        <f>IF($A19="","",SUMIFS(Donations!$D:$D,Donations!$G:$G,$A19,Donations!$F:$F,"&gt;="&amp;'Daily Challenges'!$C$7,Donations!$F:$F,"&lt;="&amp;'Daily Challenges'!$D$7))</f>
        <v/>
      </c>
      <c r="G19" s="38">
        <f>IF($A19="","",SUMIFS(Donations!$D:$D,Donations!$G:$G,$A19,Donations!$F:$F,"&gt;="&amp;'Daily Challenges'!$C$8,Donations!$F:$F,"&lt;="&amp;'Daily Challenges'!$D$8))</f>
        <v/>
      </c>
      <c r="H19" s="38">
        <f>IF($A19="","",SUMIFS(Donations!$D:$D,Donations!$G:$G,$A19,Donations!$F:$F,"&lt;="&amp;'Daily Challenges'!$D$9))</f>
        <v/>
      </c>
      <c r="I19" s="38">
        <f>IF($A19="","",SUMIFS(Donations!$D:$D,Donations!$G:$G,$A19,Donations!$F:$F,"&gt;="&amp;'Daily Challenges'!$C$10,Donations!$F:$F,"&lt;="&amp;'Daily Challenges'!$D$10))</f>
        <v/>
      </c>
      <c r="J19" s="38">
        <f>IF($A19="","",SUMIFS(Donations!$D:$D,Donations!$G:$G,$A19,Donations!$F:$F,"&lt;="&amp;'Daily Challenges'!$D$12))</f>
        <v/>
      </c>
    </row>
    <row r="20">
      <c r="A20" s="32" t="inlineStr">
        <is>
          <t>Leo Johnson</t>
        </is>
      </c>
      <c r="B20" s="32" t="inlineStr">
        <is>
          <t>Mrs. Bennett</t>
        </is>
      </c>
      <c r="C20" s="36" t="inlineStr">
        <is>
          <t>P3</t>
        </is>
      </c>
      <c r="D20" s="37">
        <f>IF(A20="","",SUMIFS(Donations!$D:$D,Donations!$G:$G,A20))</f>
        <v/>
      </c>
      <c r="E20" s="35">
        <f>IF(A20="","",IF(D20&gt;0,"Yes",""))</f>
        <v/>
      </c>
      <c r="F20" s="38">
        <f>IF($A20="","",SUMIFS(Donations!$D:$D,Donations!$G:$G,$A20,Donations!$F:$F,"&gt;="&amp;'Daily Challenges'!$C$7,Donations!$F:$F,"&lt;="&amp;'Daily Challenges'!$D$7))</f>
        <v/>
      </c>
      <c r="G20" s="38">
        <f>IF($A20="","",SUMIFS(Donations!$D:$D,Donations!$G:$G,$A20,Donations!$F:$F,"&gt;="&amp;'Daily Challenges'!$C$8,Donations!$F:$F,"&lt;="&amp;'Daily Challenges'!$D$8))</f>
        <v/>
      </c>
      <c r="H20" s="38">
        <f>IF($A20="","",SUMIFS(Donations!$D:$D,Donations!$G:$G,$A20,Donations!$F:$F,"&lt;="&amp;'Daily Challenges'!$D$9))</f>
        <v/>
      </c>
      <c r="I20" s="38">
        <f>IF($A20="","",SUMIFS(Donations!$D:$D,Donations!$G:$G,$A20,Donations!$F:$F,"&gt;="&amp;'Daily Challenges'!$C$10,Donations!$F:$F,"&lt;="&amp;'Daily Challenges'!$D$10))</f>
        <v/>
      </c>
      <c r="J20" s="38">
        <f>IF($A20="","",SUMIFS(Donations!$D:$D,Donations!$G:$G,$A20,Donations!$F:$F,"&lt;="&amp;'Daily Challenges'!$D$12))</f>
        <v/>
      </c>
    </row>
    <row r="21">
      <c r="A21" s="32" t="inlineStr">
        <is>
          <t>Adrian Murphy</t>
        </is>
      </c>
      <c r="B21" s="32" t="inlineStr">
        <is>
          <t>Mrs. Bennett</t>
        </is>
      </c>
      <c r="C21" s="36" t="inlineStr">
        <is>
          <t>P3</t>
        </is>
      </c>
      <c r="D21" s="37">
        <f>IF(A21="","",SUMIFS(Donations!$D:$D,Donations!$G:$G,A21))</f>
        <v/>
      </c>
      <c r="E21" s="35">
        <f>IF(A21="","",IF(D21&gt;0,"Yes",""))</f>
        <v/>
      </c>
      <c r="F21" s="38">
        <f>IF($A21="","",SUMIFS(Donations!$D:$D,Donations!$G:$G,$A21,Donations!$F:$F,"&gt;="&amp;'Daily Challenges'!$C$7,Donations!$F:$F,"&lt;="&amp;'Daily Challenges'!$D$7))</f>
        <v/>
      </c>
      <c r="G21" s="38">
        <f>IF($A21="","",SUMIFS(Donations!$D:$D,Donations!$G:$G,$A21,Donations!$F:$F,"&gt;="&amp;'Daily Challenges'!$C$8,Donations!$F:$F,"&lt;="&amp;'Daily Challenges'!$D$8))</f>
        <v/>
      </c>
      <c r="H21" s="38">
        <f>IF($A21="","",SUMIFS(Donations!$D:$D,Donations!$G:$G,$A21,Donations!$F:$F,"&lt;="&amp;'Daily Challenges'!$D$9))</f>
        <v/>
      </c>
      <c r="I21" s="38">
        <f>IF($A21="","",SUMIFS(Donations!$D:$D,Donations!$G:$G,$A21,Donations!$F:$F,"&gt;="&amp;'Daily Challenges'!$C$10,Donations!$F:$F,"&lt;="&amp;'Daily Challenges'!$D$10))</f>
        <v/>
      </c>
      <c r="J21" s="38">
        <f>IF($A21="","",SUMIFS(Donations!$D:$D,Donations!$G:$G,$A21,Donations!$F:$F,"&lt;="&amp;'Daily Challenges'!$D$12))</f>
        <v/>
      </c>
    </row>
    <row r="22">
      <c r="A22" s="32" t="inlineStr">
        <is>
          <t>Harper Reyes</t>
        </is>
      </c>
      <c r="B22" s="32" t="inlineStr">
        <is>
          <t>Mrs. Bennett</t>
        </is>
      </c>
      <c r="C22" s="36" t="inlineStr">
        <is>
          <t>P3</t>
        </is>
      </c>
      <c r="D22" s="37">
        <f>IF(A22="","",SUMIFS(Donations!$D:$D,Donations!$G:$G,A22))</f>
        <v/>
      </c>
      <c r="E22" s="35">
        <f>IF(A22="","",IF(D22&gt;0,"Yes",""))</f>
        <v/>
      </c>
      <c r="F22" s="38">
        <f>IF($A22="","",SUMIFS(Donations!$D:$D,Donations!$G:$G,$A22,Donations!$F:$F,"&gt;="&amp;'Daily Challenges'!$C$7,Donations!$F:$F,"&lt;="&amp;'Daily Challenges'!$D$7))</f>
        <v/>
      </c>
      <c r="G22" s="38">
        <f>IF($A22="","",SUMIFS(Donations!$D:$D,Donations!$G:$G,$A22,Donations!$F:$F,"&gt;="&amp;'Daily Challenges'!$C$8,Donations!$F:$F,"&lt;="&amp;'Daily Challenges'!$D$8))</f>
        <v/>
      </c>
      <c r="H22" s="38">
        <f>IF($A22="","",SUMIFS(Donations!$D:$D,Donations!$G:$G,$A22,Donations!$F:$F,"&lt;="&amp;'Daily Challenges'!$D$9))</f>
        <v/>
      </c>
      <c r="I22" s="38">
        <f>IF($A22="","",SUMIFS(Donations!$D:$D,Donations!$G:$G,$A22,Donations!$F:$F,"&gt;="&amp;'Daily Challenges'!$C$10,Donations!$F:$F,"&lt;="&amp;'Daily Challenges'!$D$10))</f>
        <v/>
      </c>
      <c r="J22" s="38">
        <f>IF($A22="","",SUMIFS(Donations!$D:$D,Donations!$G:$G,$A22,Donations!$F:$F,"&lt;="&amp;'Daily Challenges'!$D$12))</f>
        <v/>
      </c>
    </row>
    <row r="23">
      <c r="A23" s="32" t="inlineStr">
        <is>
          <t>Joseph Gonzalez</t>
        </is>
      </c>
      <c r="B23" s="32" t="inlineStr">
        <is>
          <t>Mrs. Bennett</t>
        </is>
      </c>
      <c r="C23" s="36" t="inlineStr">
        <is>
          <t>P3</t>
        </is>
      </c>
      <c r="D23" s="37">
        <f>IF(A23="","",SUMIFS(Donations!$D:$D,Donations!$G:$G,A23))</f>
        <v/>
      </c>
      <c r="E23" s="35">
        <f>IF(A23="","",IF(D23&gt;0,"Yes",""))</f>
        <v/>
      </c>
      <c r="F23" s="38">
        <f>IF($A23="","",SUMIFS(Donations!$D:$D,Donations!$G:$G,$A23,Donations!$F:$F,"&gt;="&amp;'Daily Challenges'!$C$7,Donations!$F:$F,"&lt;="&amp;'Daily Challenges'!$D$7))</f>
        <v/>
      </c>
      <c r="G23" s="38">
        <f>IF($A23="","",SUMIFS(Donations!$D:$D,Donations!$G:$G,$A23,Donations!$F:$F,"&gt;="&amp;'Daily Challenges'!$C$8,Donations!$F:$F,"&lt;="&amp;'Daily Challenges'!$D$8))</f>
        <v/>
      </c>
      <c r="H23" s="38">
        <f>IF($A23="","",SUMIFS(Donations!$D:$D,Donations!$G:$G,$A23,Donations!$F:$F,"&lt;="&amp;'Daily Challenges'!$D$9))</f>
        <v/>
      </c>
      <c r="I23" s="38">
        <f>IF($A23="","",SUMIFS(Donations!$D:$D,Donations!$G:$G,$A23,Donations!$F:$F,"&gt;="&amp;'Daily Challenges'!$C$10,Donations!$F:$F,"&lt;="&amp;'Daily Challenges'!$D$10))</f>
        <v/>
      </c>
      <c r="J23" s="38">
        <f>IF($A23="","",SUMIFS(Donations!$D:$D,Donations!$G:$G,$A23,Donations!$F:$F,"&lt;="&amp;'Daily Challenges'!$D$12))</f>
        <v/>
      </c>
    </row>
    <row r="24">
      <c r="A24" s="32" t="inlineStr">
        <is>
          <t>Thomas Kelly</t>
        </is>
      </c>
      <c r="B24" s="32" t="inlineStr">
        <is>
          <t>Mrs. Bennett</t>
        </is>
      </c>
      <c r="C24" s="36" t="inlineStr">
        <is>
          <t>P3</t>
        </is>
      </c>
      <c r="D24" s="37">
        <f>IF(A24="","",SUMIFS(Donations!$D:$D,Donations!$G:$G,A24))</f>
        <v/>
      </c>
      <c r="E24" s="35">
        <f>IF(A24="","",IF(D24&gt;0,"Yes",""))</f>
        <v/>
      </c>
      <c r="F24" s="38">
        <f>IF($A24="","",SUMIFS(Donations!$D:$D,Donations!$G:$G,$A24,Donations!$F:$F,"&gt;="&amp;'Daily Challenges'!$C$7,Donations!$F:$F,"&lt;="&amp;'Daily Challenges'!$D$7))</f>
        <v/>
      </c>
      <c r="G24" s="38">
        <f>IF($A24="","",SUMIFS(Donations!$D:$D,Donations!$G:$G,$A24,Donations!$F:$F,"&gt;="&amp;'Daily Challenges'!$C$8,Donations!$F:$F,"&lt;="&amp;'Daily Challenges'!$D$8))</f>
        <v/>
      </c>
      <c r="H24" s="38">
        <f>IF($A24="","",SUMIFS(Donations!$D:$D,Donations!$G:$G,$A24,Donations!$F:$F,"&lt;="&amp;'Daily Challenges'!$D$9))</f>
        <v/>
      </c>
      <c r="I24" s="38">
        <f>IF($A24="","",SUMIFS(Donations!$D:$D,Donations!$G:$G,$A24,Donations!$F:$F,"&gt;="&amp;'Daily Challenges'!$C$10,Donations!$F:$F,"&lt;="&amp;'Daily Challenges'!$D$10))</f>
        <v/>
      </c>
      <c r="J24" s="38">
        <f>IF($A24="","",SUMIFS(Donations!$D:$D,Donations!$G:$G,$A24,Donations!$F:$F,"&lt;="&amp;'Daily Challenges'!$D$12))</f>
        <v/>
      </c>
    </row>
    <row r="25">
      <c r="A25" s="32" t="inlineStr">
        <is>
          <t>Henry Martinez</t>
        </is>
      </c>
      <c r="B25" s="32" t="inlineStr">
        <is>
          <t>Mrs. Bennett</t>
        </is>
      </c>
      <c r="C25" s="36" t="inlineStr">
        <is>
          <t>P3</t>
        </is>
      </c>
      <c r="D25" s="37">
        <f>IF(A25="","",SUMIFS(Donations!$D:$D,Donations!$G:$G,A25))</f>
        <v/>
      </c>
      <c r="E25" s="35">
        <f>IF(A25="","",IF(D25&gt;0,"Yes",""))</f>
        <v/>
      </c>
      <c r="F25" s="38">
        <f>IF($A25="","",SUMIFS(Donations!$D:$D,Donations!$G:$G,$A25,Donations!$F:$F,"&gt;="&amp;'Daily Challenges'!$C$7,Donations!$F:$F,"&lt;="&amp;'Daily Challenges'!$D$7))</f>
        <v/>
      </c>
      <c r="G25" s="38">
        <f>IF($A25="","",SUMIFS(Donations!$D:$D,Donations!$G:$G,$A25,Donations!$F:$F,"&gt;="&amp;'Daily Challenges'!$C$8,Donations!$F:$F,"&lt;="&amp;'Daily Challenges'!$D$8))</f>
        <v/>
      </c>
      <c r="H25" s="38">
        <f>IF($A25="","",SUMIFS(Donations!$D:$D,Donations!$G:$G,$A25,Donations!$F:$F,"&lt;="&amp;'Daily Challenges'!$D$9))</f>
        <v/>
      </c>
      <c r="I25" s="38">
        <f>IF($A25="","",SUMIFS(Donations!$D:$D,Donations!$G:$G,$A25,Donations!$F:$F,"&gt;="&amp;'Daily Challenges'!$C$10,Donations!$F:$F,"&lt;="&amp;'Daily Challenges'!$D$10))</f>
        <v/>
      </c>
      <c r="J25" s="38">
        <f>IF($A25="","",SUMIFS(Donations!$D:$D,Donations!$G:$G,$A25,Donations!$F:$F,"&lt;="&amp;'Daily Challenges'!$D$12))</f>
        <v/>
      </c>
    </row>
    <row r="26">
      <c r="A26" s="32" t="inlineStr">
        <is>
          <t>Gabriel Chavez</t>
        </is>
      </c>
      <c r="B26" s="32" t="inlineStr">
        <is>
          <t>Mrs. Bennett</t>
        </is>
      </c>
      <c r="C26" s="36" t="inlineStr">
        <is>
          <t>P3</t>
        </is>
      </c>
      <c r="D26" s="37">
        <f>IF(A26="","",SUMIFS(Donations!$D:$D,Donations!$G:$G,A26))</f>
        <v/>
      </c>
      <c r="E26" s="35">
        <f>IF(A26="","",IF(D26&gt;0,"Yes",""))</f>
        <v/>
      </c>
      <c r="F26" s="38">
        <f>IF($A26="","",SUMIFS(Donations!$D:$D,Donations!$G:$G,$A26,Donations!$F:$F,"&gt;="&amp;'Daily Challenges'!$C$7,Donations!$F:$F,"&lt;="&amp;'Daily Challenges'!$D$7))</f>
        <v/>
      </c>
      <c r="G26" s="38">
        <f>IF($A26="","",SUMIFS(Donations!$D:$D,Donations!$G:$G,$A26,Donations!$F:$F,"&gt;="&amp;'Daily Challenges'!$C$8,Donations!$F:$F,"&lt;="&amp;'Daily Challenges'!$D$8))</f>
        <v/>
      </c>
      <c r="H26" s="38">
        <f>IF($A26="","",SUMIFS(Donations!$D:$D,Donations!$G:$G,$A26,Donations!$F:$F,"&lt;="&amp;'Daily Challenges'!$D$9))</f>
        <v/>
      </c>
      <c r="I26" s="38">
        <f>IF($A26="","",SUMIFS(Donations!$D:$D,Donations!$G:$G,$A26,Donations!$F:$F,"&gt;="&amp;'Daily Challenges'!$C$10,Donations!$F:$F,"&lt;="&amp;'Daily Challenges'!$D$10))</f>
        <v/>
      </c>
      <c r="J26" s="38">
        <f>IF($A26="","",SUMIFS(Donations!$D:$D,Donations!$G:$G,$A26,Donations!$F:$F,"&lt;="&amp;'Daily Challenges'!$D$12))</f>
        <v/>
      </c>
    </row>
    <row r="27">
      <c r="A27" s="32" t="inlineStr">
        <is>
          <t>Joseph Mendoza</t>
        </is>
      </c>
      <c r="B27" s="32" t="inlineStr">
        <is>
          <t>Mrs. Bennett</t>
        </is>
      </c>
      <c r="C27" s="36" t="inlineStr">
        <is>
          <t>P3</t>
        </is>
      </c>
      <c r="D27" s="37">
        <f>IF(A27="","",SUMIFS(Donations!$D:$D,Donations!$G:$G,A27))</f>
        <v/>
      </c>
      <c r="E27" s="35">
        <f>IF(A27="","",IF(D27&gt;0,"Yes",""))</f>
        <v/>
      </c>
      <c r="F27" s="38">
        <f>IF($A27="","",SUMIFS(Donations!$D:$D,Donations!$G:$G,$A27,Donations!$F:$F,"&gt;="&amp;'Daily Challenges'!$C$7,Donations!$F:$F,"&lt;="&amp;'Daily Challenges'!$D$7))</f>
        <v/>
      </c>
      <c r="G27" s="38">
        <f>IF($A27="","",SUMIFS(Donations!$D:$D,Donations!$G:$G,$A27,Donations!$F:$F,"&gt;="&amp;'Daily Challenges'!$C$8,Donations!$F:$F,"&lt;="&amp;'Daily Challenges'!$D$8))</f>
        <v/>
      </c>
      <c r="H27" s="38">
        <f>IF($A27="","",SUMIFS(Donations!$D:$D,Donations!$G:$G,$A27,Donations!$F:$F,"&lt;="&amp;'Daily Challenges'!$D$9))</f>
        <v/>
      </c>
      <c r="I27" s="38">
        <f>IF($A27="","",SUMIFS(Donations!$D:$D,Donations!$G:$G,$A27,Donations!$F:$F,"&gt;="&amp;'Daily Challenges'!$C$10,Donations!$F:$F,"&lt;="&amp;'Daily Challenges'!$D$10))</f>
        <v/>
      </c>
      <c r="J27" s="38">
        <f>IF($A27="","",SUMIFS(Donations!$D:$D,Donations!$G:$G,$A27,Donations!$F:$F,"&lt;="&amp;'Daily Challenges'!$D$12))</f>
        <v/>
      </c>
    </row>
    <row r="28">
      <c r="A28" s="32" t="inlineStr">
        <is>
          <t>Lucas Ruiz</t>
        </is>
      </c>
      <c r="B28" s="32" t="inlineStr">
        <is>
          <t>Mrs. Bennett</t>
        </is>
      </c>
      <c r="C28" s="36" t="inlineStr">
        <is>
          <t>P3</t>
        </is>
      </c>
      <c r="D28" s="37">
        <f>IF(A28="","",SUMIFS(Donations!$D:$D,Donations!$G:$G,A28))</f>
        <v/>
      </c>
      <c r="E28" s="35">
        <f>IF(A28="","",IF(D28&gt;0,"Yes",""))</f>
        <v/>
      </c>
      <c r="F28" s="38">
        <f>IF($A28="","",SUMIFS(Donations!$D:$D,Donations!$G:$G,$A28,Donations!$F:$F,"&gt;="&amp;'Daily Challenges'!$C$7,Donations!$F:$F,"&lt;="&amp;'Daily Challenges'!$D$7))</f>
        <v/>
      </c>
      <c r="G28" s="38">
        <f>IF($A28="","",SUMIFS(Donations!$D:$D,Donations!$G:$G,$A28,Donations!$F:$F,"&gt;="&amp;'Daily Challenges'!$C$8,Donations!$F:$F,"&lt;="&amp;'Daily Challenges'!$D$8))</f>
        <v/>
      </c>
      <c r="H28" s="38">
        <f>IF($A28="","",SUMIFS(Donations!$D:$D,Donations!$G:$G,$A28,Donations!$F:$F,"&lt;="&amp;'Daily Challenges'!$D$9))</f>
        <v/>
      </c>
      <c r="I28" s="38">
        <f>IF($A28="","",SUMIFS(Donations!$D:$D,Donations!$G:$G,$A28,Donations!$F:$F,"&gt;="&amp;'Daily Challenges'!$C$10,Donations!$F:$F,"&lt;="&amp;'Daily Challenges'!$D$10))</f>
        <v/>
      </c>
      <c r="J28" s="38">
        <f>IF($A28="","",SUMIFS(Donations!$D:$D,Donations!$G:$G,$A28,Donations!$F:$F,"&lt;="&amp;'Daily Challenges'!$D$12))</f>
        <v/>
      </c>
    </row>
    <row r="29">
      <c r="A29" s="32" t="inlineStr">
        <is>
          <t>Julian Sullivan</t>
        </is>
      </c>
      <c r="B29" s="32" t="inlineStr">
        <is>
          <t>Mrs. Bennett</t>
        </is>
      </c>
      <c r="C29" s="36" t="inlineStr">
        <is>
          <t>P3</t>
        </is>
      </c>
      <c r="D29" s="37">
        <f>IF(A29="","",SUMIFS(Donations!$D:$D,Donations!$G:$G,A29))</f>
        <v/>
      </c>
      <c r="E29" s="35">
        <f>IF(A29="","",IF(D29&gt;0,"Yes",""))</f>
        <v/>
      </c>
      <c r="F29" s="38">
        <f>IF($A29="","",SUMIFS(Donations!$D:$D,Donations!$G:$G,$A29,Donations!$F:$F,"&gt;="&amp;'Daily Challenges'!$C$7,Donations!$F:$F,"&lt;="&amp;'Daily Challenges'!$D$7))</f>
        <v/>
      </c>
      <c r="G29" s="38">
        <f>IF($A29="","",SUMIFS(Donations!$D:$D,Donations!$G:$G,$A29,Donations!$F:$F,"&gt;="&amp;'Daily Challenges'!$C$8,Donations!$F:$F,"&lt;="&amp;'Daily Challenges'!$D$8))</f>
        <v/>
      </c>
      <c r="H29" s="38">
        <f>IF($A29="","",SUMIFS(Donations!$D:$D,Donations!$G:$G,$A29,Donations!$F:$F,"&lt;="&amp;'Daily Challenges'!$D$9))</f>
        <v/>
      </c>
      <c r="I29" s="38">
        <f>IF($A29="","",SUMIFS(Donations!$D:$D,Donations!$G:$G,$A29,Donations!$F:$F,"&gt;="&amp;'Daily Challenges'!$C$10,Donations!$F:$F,"&lt;="&amp;'Daily Challenges'!$D$10))</f>
        <v/>
      </c>
      <c r="J29" s="38">
        <f>IF($A29="","",SUMIFS(Donations!$D:$D,Donations!$G:$G,$A29,Donations!$F:$F,"&lt;="&amp;'Daily Challenges'!$D$12))</f>
        <v/>
      </c>
    </row>
    <row r="30">
      <c r="A30" s="32" t="inlineStr">
        <is>
          <t>David Brown</t>
        </is>
      </c>
      <c r="B30" s="32" t="inlineStr">
        <is>
          <t>Mrs. Bennett</t>
        </is>
      </c>
      <c r="C30" s="36" t="inlineStr">
        <is>
          <t>P3</t>
        </is>
      </c>
      <c r="D30" s="37">
        <f>IF(A30="","",SUMIFS(Donations!$D:$D,Donations!$G:$G,A30))</f>
        <v/>
      </c>
      <c r="E30" s="35">
        <f>IF(A30="","",IF(D30&gt;0,"Yes",""))</f>
        <v/>
      </c>
      <c r="F30" s="38">
        <f>IF($A30="","",SUMIFS(Donations!$D:$D,Donations!$G:$G,$A30,Donations!$F:$F,"&gt;="&amp;'Daily Challenges'!$C$7,Donations!$F:$F,"&lt;="&amp;'Daily Challenges'!$D$7))</f>
        <v/>
      </c>
      <c r="G30" s="38">
        <f>IF($A30="","",SUMIFS(Donations!$D:$D,Donations!$G:$G,$A30,Donations!$F:$F,"&gt;="&amp;'Daily Challenges'!$C$8,Donations!$F:$F,"&lt;="&amp;'Daily Challenges'!$D$8))</f>
        <v/>
      </c>
      <c r="H30" s="38">
        <f>IF($A30="","",SUMIFS(Donations!$D:$D,Donations!$G:$G,$A30,Donations!$F:$F,"&lt;="&amp;'Daily Challenges'!$D$9))</f>
        <v/>
      </c>
      <c r="I30" s="38">
        <f>IF($A30="","",SUMIFS(Donations!$D:$D,Donations!$G:$G,$A30,Donations!$F:$F,"&gt;="&amp;'Daily Challenges'!$C$10,Donations!$F:$F,"&lt;="&amp;'Daily Challenges'!$D$10))</f>
        <v/>
      </c>
      <c r="J30" s="38">
        <f>IF($A30="","",SUMIFS(Donations!$D:$D,Donations!$G:$G,$A30,Donations!$F:$F,"&lt;="&amp;'Daily Challenges'!$D$12))</f>
        <v/>
      </c>
    </row>
    <row r="31">
      <c r="A31" s="32" t="inlineStr">
        <is>
          <t>Samuel Patel</t>
        </is>
      </c>
      <c r="B31" s="32" t="inlineStr">
        <is>
          <t>Mrs. Bennett</t>
        </is>
      </c>
      <c r="C31" s="36" t="inlineStr">
        <is>
          <t>P3</t>
        </is>
      </c>
      <c r="D31" s="37">
        <f>IF(A31="","",SUMIFS(Donations!$D:$D,Donations!$G:$G,A31))</f>
        <v/>
      </c>
      <c r="E31" s="35">
        <f>IF(A31="","",IF(D31&gt;0,"Yes",""))</f>
        <v/>
      </c>
      <c r="F31" s="38">
        <f>IF($A31="","",SUMIFS(Donations!$D:$D,Donations!$G:$G,$A31,Donations!$F:$F,"&gt;="&amp;'Daily Challenges'!$C$7,Donations!$F:$F,"&lt;="&amp;'Daily Challenges'!$D$7))</f>
        <v/>
      </c>
      <c r="G31" s="38">
        <f>IF($A31="","",SUMIFS(Donations!$D:$D,Donations!$G:$G,$A31,Donations!$F:$F,"&gt;="&amp;'Daily Challenges'!$C$8,Donations!$F:$F,"&lt;="&amp;'Daily Challenges'!$D$8))</f>
        <v/>
      </c>
      <c r="H31" s="38">
        <f>IF($A31="","",SUMIFS(Donations!$D:$D,Donations!$G:$G,$A31,Donations!$F:$F,"&lt;="&amp;'Daily Challenges'!$D$9))</f>
        <v/>
      </c>
      <c r="I31" s="38">
        <f>IF($A31="","",SUMIFS(Donations!$D:$D,Donations!$G:$G,$A31,Donations!$F:$F,"&gt;="&amp;'Daily Challenges'!$C$10,Donations!$F:$F,"&lt;="&amp;'Daily Challenges'!$D$10))</f>
        <v/>
      </c>
      <c r="J31" s="38">
        <f>IF($A31="","",SUMIFS(Donations!$D:$D,Donations!$G:$G,$A31,Donations!$F:$F,"&lt;="&amp;'Daily Challenges'!$D$12))</f>
        <v/>
      </c>
    </row>
    <row r="32">
      <c r="A32" s="32" t="inlineStr">
        <is>
          <t>Maya Nguyen</t>
        </is>
      </c>
      <c r="B32" s="32" t="inlineStr">
        <is>
          <t>Mrs. Bennett</t>
        </is>
      </c>
      <c r="C32" s="36" t="inlineStr">
        <is>
          <t>P3</t>
        </is>
      </c>
      <c r="D32" s="37">
        <f>IF(A32="","",SUMIFS(Donations!$D:$D,Donations!$G:$G,A32))</f>
        <v/>
      </c>
      <c r="E32" s="35">
        <f>IF(A32="","",IF(D32&gt;0,"Yes",""))</f>
        <v/>
      </c>
      <c r="F32" s="38">
        <f>IF($A32="","",SUMIFS(Donations!$D:$D,Donations!$G:$G,$A32,Donations!$F:$F,"&gt;="&amp;'Daily Challenges'!$C$7,Donations!$F:$F,"&lt;="&amp;'Daily Challenges'!$D$7))</f>
        <v/>
      </c>
      <c r="G32" s="38">
        <f>IF($A32="","",SUMIFS(Donations!$D:$D,Donations!$G:$G,$A32,Donations!$F:$F,"&gt;="&amp;'Daily Challenges'!$C$8,Donations!$F:$F,"&lt;="&amp;'Daily Challenges'!$D$8))</f>
        <v/>
      </c>
      <c r="H32" s="38">
        <f>IF($A32="","",SUMIFS(Donations!$D:$D,Donations!$G:$G,$A32,Donations!$F:$F,"&lt;="&amp;'Daily Challenges'!$D$9))</f>
        <v/>
      </c>
      <c r="I32" s="38">
        <f>IF($A32="","",SUMIFS(Donations!$D:$D,Donations!$G:$G,$A32,Donations!$F:$F,"&gt;="&amp;'Daily Challenges'!$C$10,Donations!$F:$F,"&lt;="&amp;'Daily Challenges'!$D$10))</f>
        <v/>
      </c>
      <c r="J32" s="38">
        <f>IF($A32="","",SUMIFS(Donations!$D:$D,Donations!$G:$G,$A32,Donations!$F:$F,"&lt;="&amp;'Daily Challenges'!$D$12))</f>
        <v/>
      </c>
    </row>
    <row r="33">
      <c r="A33" s="32" t="inlineStr">
        <is>
          <t>Daniel O'Brien</t>
        </is>
      </c>
      <c r="B33" s="32" t="inlineStr">
        <is>
          <t>Mrs. Bennett</t>
        </is>
      </c>
      <c r="C33" s="36" t="inlineStr">
        <is>
          <t>P3</t>
        </is>
      </c>
      <c r="D33" s="37">
        <f>IF(A33="","",SUMIFS(Donations!$D:$D,Donations!$G:$G,A33))</f>
        <v/>
      </c>
      <c r="E33" s="35">
        <f>IF(A33="","",IF(D33&gt;0,"Yes",""))</f>
        <v/>
      </c>
      <c r="F33" s="38">
        <f>IF($A33="","",SUMIFS(Donations!$D:$D,Donations!$G:$G,$A33,Donations!$F:$F,"&gt;="&amp;'Daily Challenges'!$C$7,Donations!$F:$F,"&lt;="&amp;'Daily Challenges'!$D$7))</f>
        <v/>
      </c>
      <c r="G33" s="38">
        <f>IF($A33="","",SUMIFS(Donations!$D:$D,Donations!$G:$G,$A33,Donations!$F:$F,"&gt;="&amp;'Daily Challenges'!$C$8,Donations!$F:$F,"&lt;="&amp;'Daily Challenges'!$D$8))</f>
        <v/>
      </c>
      <c r="H33" s="38">
        <f>IF($A33="","",SUMIFS(Donations!$D:$D,Donations!$G:$G,$A33,Donations!$F:$F,"&lt;="&amp;'Daily Challenges'!$D$9))</f>
        <v/>
      </c>
      <c r="I33" s="38">
        <f>IF($A33="","",SUMIFS(Donations!$D:$D,Donations!$G:$G,$A33,Donations!$F:$F,"&gt;="&amp;'Daily Challenges'!$C$10,Donations!$F:$F,"&lt;="&amp;'Daily Challenges'!$D$10))</f>
        <v/>
      </c>
      <c r="J33" s="38">
        <f>IF($A33="","",SUMIFS(Donations!$D:$D,Donations!$G:$G,$A33,Donations!$F:$F,"&lt;="&amp;'Daily Challenges'!$D$12))</f>
        <v/>
      </c>
    </row>
    <row r="34">
      <c r="A34" s="32" t="inlineStr">
        <is>
          <t>Amelia Alvarez</t>
        </is>
      </c>
      <c r="B34" s="32" t="inlineStr">
        <is>
          <t>Mr. Carter</t>
        </is>
      </c>
      <c r="C34" s="36" t="inlineStr">
        <is>
          <t>P4</t>
        </is>
      </c>
      <c r="D34" s="37">
        <f>IF(A34="","",SUMIFS(Donations!$D:$D,Donations!$G:$G,A34))</f>
        <v/>
      </c>
      <c r="E34" s="35">
        <f>IF(A34="","",IF(D34&gt;0,"Yes",""))</f>
        <v/>
      </c>
      <c r="F34" s="38">
        <f>IF($A34="","",SUMIFS(Donations!$D:$D,Donations!$G:$G,$A34,Donations!$F:$F,"&gt;="&amp;'Daily Challenges'!$C$7,Donations!$F:$F,"&lt;="&amp;'Daily Challenges'!$D$7))</f>
        <v/>
      </c>
      <c r="G34" s="38">
        <f>IF($A34="","",SUMIFS(Donations!$D:$D,Donations!$G:$G,$A34,Donations!$F:$F,"&gt;="&amp;'Daily Challenges'!$C$8,Donations!$F:$F,"&lt;="&amp;'Daily Challenges'!$D$8))</f>
        <v/>
      </c>
      <c r="H34" s="38">
        <f>IF($A34="","",SUMIFS(Donations!$D:$D,Donations!$G:$G,$A34,Donations!$F:$F,"&lt;="&amp;'Daily Challenges'!$D$9))</f>
        <v/>
      </c>
      <c r="I34" s="38">
        <f>IF($A34="","",SUMIFS(Donations!$D:$D,Donations!$G:$G,$A34,Donations!$F:$F,"&gt;="&amp;'Daily Challenges'!$C$10,Donations!$F:$F,"&lt;="&amp;'Daily Challenges'!$D$10))</f>
        <v/>
      </c>
      <c r="J34" s="38">
        <f>IF($A34="","",SUMIFS(Donations!$D:$D,Donations!$G:$G,$A34,Donations!$F:$F,"&lt;="&amp;'Daily Challenges'!$D$12))</f>
        <v/>
      </c>
    </row>
    <row r="35">
      <c r="A35" s="32" t="inlineStr">
        <is>
          <t>Ella Kim</t>
        </is>
      </c>
      <c r="B35" s="32" t="inlineStr">
        <is>
          <t>Mr. Carter</t>
        </is>
      </c>
      <c r="C35" s="36" t="inlineStr">
        <is>
          <t>P4</t>
        </is>
      </c>
      <c r="D35" s="37">
        <f>IF(A35="","",SUMIFS(Donations!$D:$D,Donations!$G:$G,A35))</f>
        <v/>
      </c>
      <c r="E35" s="35">
        <f>IF(A35="","",IF(D35&gt;0,"Yes",""))</f>
        <v/>
      </c>
      <c r="F35" s="38">
        <f>IF($A35="","",SUMIFS(Donations!$D:$D,Donations!$G:$G,$A35,Donations!$F:$F,"&gt;="&amp;'Daily Challenges'!$C$7,Donations!$F:$F,"&lt;="&amp;'Daily Challenges'!$D$7))</f>
        <v/>
      </c>
      <c r="G35" s="38">
        <f>IF($A35="","",SUMIFS(Donations!$D:$D,Donations!$G:$G,$A35,Donations!$F:$F,"&gt;="&amp;'Daily Challenges'!$C$8,Donations!$F:$F,"&lt;="&amp;'Daily Challenges'!$D$8))</f>
        <v/>
      </c>
      <c r="H35" s="38">
        <f>IF($A35="","",SUMIFS(Donations!$D:$D,Donations!$G:$G,$A35,Donations!$F:$F,"&lt;="&amp;'Daily Challenges'!$D$9))</f>
        <v/>
      </c>
      <c r="I35" s="38">
        <f>IF($A35="","",SUMIFS(Donations!$D:$D,Donations!$G:$G,$A35,Donations!$F:$F,"&gt;="&amp;'Daily Challenges'!$C$10,Donations!$F:$F,"&lt;="&amp;'Daily Challenges'!$D$10))</f>
        <v/>
      </c>
      <c r="J35" s="38">
        <f>IF($A35="","",SUMIFS(Donations!$D:$D,Donations!$G:$G,$A35,Donations!$F:$F,"&lt;="&amp;'Daily Challenges'!$D$12))</f>
        <v/>
      </c>
    </row>
    <row r="36">
      <c r="A36" s="32" t="inlineStr">
        <is>
          <t>Nora O'Brien</t>
        </is>
      </c>
      <c r="B36" s="32" t="inlineStr">
        <is>
          <t>Mr. Carter</t>
        </is>
      </c>
      <c r="C36" s="36" t="inlineStr">
        <is>
          <t>P4</t>
        </is>
      </c>
      <c r="D36" s="37">
        <f>IF(A36="","",SUMIFS(Donations!$D:$D,Donations!$G:$G,A36))</f>
        <v/>
      </c>
      <c r="E36" s="35">
        <f>IF(A36="","",IF(D36&gt;0,"Yes",""))</f>
        <v/>
      </c>
      <c r="F36" s="38">
        <f>IF($A36="","",SUMIFS(Donations!$D:$D,Donations!$G:$G,$A36,Donations!$F:$F,"&gt;="&amp;'Daily Challenges'!$C$7,Donations!$F:$F,"&lt;="&amp;'Daily Challenges'!$D$7))</f>
        <v/>
      </c>
      <c r="G36" s="38">
        <f>IF($A36="","",SUMIFS(Donations!$D:$D,Donations!$G:$G,$A36,Donations!$F:$F,"&gt;="&amp;'Daily Challenges'!$C$8,Donations!$F:$F,"&lt;="&amp;'Daily Challenges'!$D$8))</f>
        <v/>
      </c>
      <c r="H36" s="38">
        <f>IF($A36="","",SUMIFS(Donations!$D:$D,Donations!$G:$G,$A36,Donations!$F:$F,"&lt;="&amp;'Daily Challenges'!$D$9))</f>
        <v/>
      </c>
      <c r="I36" s="38">
        <f>IF($A36="","",SUMIFS(Donations!$D:$D,Donations!$G:$G,$A36,Donations!$F:$F,"&gt;="&amp;'Daily Challenges'!$C$10,Donations!$F:$F,"&lt;="&amp;'Daily Challenges'!$D$10))</f>
        <v/>
      </c>
      <c r="J36" s="38">
        <f>IF($A36="","",SUMIFS(Donations!$D:$D,Donations!$G:$G,$A36,Donations!$F:$F,"&lt;="&amp;'Daily Challenges'!$D$12))</f>
        <v/>
      </c>
    </row>
    <row r="37">
      <c r="A37" s="32" t="inlineStr">
        <is>
          <t>Mateo Kelly</t>
        </is>
      </c>
      <c r="B37" s="32" t="inlineStr">
        <is>
          <t>Mr. Carter</t>
        </is>
      </c>
      <c r="C37" s="36" t="inlineStr">
        <is>
          <t>P4</t>
        </is>
      </c>
      <c r="D37" s="37">
        <f>IF(A37="","",SUMIFS(Donations!$D:$D,Donations!$G:$G,A37))</f>
        <v/>
      </c>
      <c r="E37" s="35">
        <f>IF(A37="","",IF(D37&gt;0,"Yes",""))</f>
        <v/>
      </c>
      <c r="F37" s="38">
        <f>IF($A37="","",SUMIFS(Donations!$D:$D,Donations!$G:$G,$A37,Donations!$F:$F,"&gt;="&amp;'Daily Challenges'!$C$7,Donations!$F:$F,"&lt;="&amp;'Daily Challenges'!$D$7))</f>
        <v/>
      </c>
      <c r="G37" s="38">
        <f>IF($A37="","",SUMIFS(Donations!$D:$D,Donations!$G:$G,$A37,Donations!$F:$F,"&gt;="&amp;'Daily Challenges'!$C$8,Donations!$F:$F,"&lt;="&amp;'Daily Challenges'!$D$8))</f>
        <v/>
      </c>
      <c r="H37" s="38">
        <f>IF($A37="","",SUMIFS(Donations!$D:$D,Donations!$G:$G,$A37,Donations!$F:$F,"&lt;="&amp;'Daily Challenges'!$D$9))</f>
        <v/>
      </c>
      <c r="I37" s="38">
        <f>IF($A37="","",SUMIFS(Donations!$D:$D,Donations!$G:$G,$A37,Donations!$F:$F,"&gt;="&amp;'Daily Challenges'!$C$10,Donations!$F:$F,"&lt;="&amp;'Daily Challenges'!$D$10))</f>
        <v/>
      </c>
      <c r="J37" s="38">
        <f>IF($A37="","",SUMIFS(Donations!$D:$D,Donations!$G:$G,$A37,Donations!$F:$F,"&lt;="&amp;'Daily Challenges'!$D$12))</f>
        <v/>
      </c>
    </row>
    <row r="38">
      <c r="A38" s="32" t="inlineStr">
        <is>
          <t>Mia Rodriguez</t>
        </is>
      </c>
      <c r="B38" s="32" t="inlineStr">
        <is>
          <t>Mr. Carter</t>
        </is>
      </c>
      <c r="C38" s="36" t="inlineStr">
        <is>
          <t>P4</t>
        </is>
      </c>
      <c r="D38" s="37">
        <f>IF(A38="","",SUMIFS(Donations!$D:$D,Donations!$G:$G,A38))</f>
        <v/>
      </c>
      <c r="E38" s="35">
        <f>IF(A38="","",IF(D38&gt;0,"Yes",""))</f>
        <v/>
      </c>
      <c r="F38" s="38">
        <f>IF($A38="","",SUMIFS(Donations!$D:$D,Donations!$G:$G,$A38,Donations!$F:$F,"&gt;="&amp;'Daily Challenges'!$C$7,Donations!$F:$F,"&lt;="&amp;'Daily Challenges'!$D$7))</f>
        <v/>
      </c>
      <c r="G38" s="38">
        <f>IF($A38="","",SUMIFS(Donations!$D:$D,Donations!$G:$G,$A38,Donations!$F:$F,"&gt;="&amp;'Daily Challenges'!$C$8,Donations!$F:$F,"&lt;="&amp;'Daily Challenges'!$D$8))</f>
        <v/>
      </c>
      <c r="H38" s="38">
        <f>IF($A38="","",SUMIFS(Donations!$D:$D,Donations!$G:$G,$A38,Donations!$F:$F,"&lt;="&amp;'Daily Challenges'!$D$9))</f>
        <v/>
      </c>
      <c r="I38" s="38">
        <f>IF($A38="","",SUMIFS(Donations!$D:$D,Donations!$G:$G,$A38,Donations!$F:$F,"&gt;="&amp;'Daily Challenges'!$C$10,Donations!$F:$F,"&lt;="&amp;'Daily Challenges'!$D$10))</f>
        <v/>
      </c>
      <c r="J38" s="38">
        <f>IF($A38="","",SUMIFS(Donations!$D:$D,Donations!$G:$G,$A38,Donations!$F:$F,"&lt;="&amp;'Daily Challenges'!$D$12))</f>
        <v/>
      </c>
    </row>
    <row r="39">
      <c r="A39" s="32" t="inlineStr">
        <is>
          <t>Santiago O'Brien</t>
        </is>
      </c>
      <c r="B39" s="32" t="inlineStr">
        <is>
          <t>Mr. Carter</t>
        </is>
      </c>
      <c r="C39" s="36" t="inlineStr">
        <is>
          <t>P4</t>
        </is>
      </c>
      <c r="D39" s="37">
        <f>IF(A39="","",SUMIFS(Donations!$D:$D,Donations!$G:$G,A39))</f>
        <v/>
      </c>
      <c r="E39" s="35">
        <f>IF(A39="","",IF(D39&gt;0,"Yes",""))</f>
        <v/>
      </c>
      <c r="F39" s="38">
        <f>IF($A39="","",SUMIFS(Donations!$D:$D,Donations!$G:$G,$A39,Donations!$F:$F,"&gt;="&amp;'Daily Challenges'!$C$7,Donations!$F:$F,"&lt;="&amp;'Daily Challenges'!$D$7))</f>
        <v/>
      </c>
      <c r="G39" s="38">
        <f>IF($A39="","",SUMIFS(Donations!$D:$D,Donations!$G:$G,$A39,Donations!$F:$F,"&gt;="&amp;'Daily Challenges'!$C$8,Donations!$F:$F,"&lt;="&amp;'Daily Challenges'!$D$8))</f>
        <v/>
      </c>
      <c r="H39" s="38">
        <f>IF($A39="","",SUMIFS(Donations!$D:$D,Donations!$G:$G,$A39,Donations!$F:$F,"&lt;="&amp;'Daily Challenges'!$D$9))</f>
        <v/>
      </c>
      <c r="I39" s="38">
        <f>IF($A39="","",SUMIFS(Donations!$D:$D,Donations!$G:$G,$A39,Donations!$F:$F,"&gt;="&amp;'Daily Challenges'!$C$10,Donations!$F:$F,"&lt;="&amp;'Daily Challenges'!$D$10))</f>
        <v/>
      </c>
      <c r="J39" s="38">
        <f>IF($A39="","",SUMIFS(Donations!$D:$D,Donations!$G:$G,$A39,Donations!$F:$F,"&lt;="&amp;'Daily Challenges'!$D$12))</f>
        <v/>
      </c>
    </row>
    <row r="40">
      <c r="A40" s="32" t="inlineStr">
        <is>
          <t>Clara Williams</t>
        </is>
      </c>
      <c r="B40" s="32" t="inlineStr">
        <is>
          <t>Mr. Carter</t>
        </is>
      </c>
      <c r="C40" s="36" t="inlineStr">
        <is>
          <t>P4</t>
        </is>
      </c>
      <c r="D40" s="37">
        <f>IF(A40="","",SUMIFS(Donations!$D:$D,Donations!$G:$G,A40))</f>
        <v/>
      </c>
      <c r="E40" s="35">
        <f>IF(A40="","",IF(D40&gt;0,"Yes",""))</f>
        <v/>
      </c>
      <c r="F40" s="38">
        <f>IF($A40="","",SUMIFS(Donations!$D:$D,Donations!$G:$G,$A40,Donations!$F:$F,"&gt;="&amp;'Daily Challenges'!$C$7,Donations!$F:$F,"&lt;="&amp;'Daily Challenges'!$D$7))</f>
        <v/>
      </c>
      <c r="G40" s="38">
        <f>IF($A40="","",SUMIFS(Donations!$D:$D,Donations!$G:$G,$A40,Donations!$F:$F,"&gt;="&amp;'Daily Challenges'!$C$8,Donations!$F:$F,"&lt;="&amp;'Daily Challenges'!$D$8))</f>
        <v/>
      </c>
      <c r="H40" s="38">
        <f>IF($A40="","",SUMIFS(Donations!$D:$D,Donations!$G:$G,$A40,Donations!$F:$F,"&lt;="&amp;'Daily Challenges'!$D$9))</f>
        <v/>
      </c>
      <c r="I40" s="38">
        <f>IF($A40="","",SUMIFS(Donations!$D:$D,Donations!$G:$G,$A40,Donations!$F:$F,"&gt;="&amp;'Daily Challenges'!$C$10,Donations!$F:$F,"&lt;="&amp;'Daily Challenges'!$D$10))</f>
        <v/>
      </c>
      <c r="J40" s="38">
        <f>IF($A40="","",SUMIFS(Donations!$D:$D,Donations!$G:$G,$A40,Donations!$F:$F,"&lt;="&amp;'Daily Challenges'!$D$12))</f>
        <v/>
      </c>
    </row>
    <row r="41">
      <c r="A41" s="32" t="inlineStr">
        <is>
          <t>Nicolas Mendoza</t>
        </is>
      </c>
      <c r="B41" s="32" t="inlineStr">
        <is>
          <t>Mr. Carter</t>
        </is>
      </c>
      <c r="C41" s="36" t="inlineStr">
        <is>
          <t>P4</t>
        </is>
      </c>
      <c r="D41" s="37">
        <f>IF(A41="","",SUMIFS(Donations!$D:$D,Donations!$G:$G,A41))</f>
        <v/>
      </c>
      <c r="E41" s="35">
        <f>IF(A41="","",IF(D41&gt;0,"Yes",""))</f>
        <v/>
      </c>
      <c r="F41" s="38">
        <f>IF($A41="","",SUMIFS(Donations!$D:$D,Donations!$G:$G,$A41,Donations!$F:$F,"&gt;="&amp;'Daily Challenges'!$C$7,Donations!$F:$F,"&lt;="&amp;'Daily Challenges'!$D$7))</f>
        <v/>
      </c>
      <c r="G41" s="38">
        <f>IF($A41="","",SUMIFS(Donations!$D:$D,Donations!$G:$G,$A41,Donations!$F:$F,"&gt;="&amp;'Daily Challenges'!$C$8,Donations!$F:$F,"&lt;="&amp;'Daily Challenges'!$D$8))</f>
        <v/>
      </c>
      <c r="H41" s="38">
        <f>IF($A41="","",SUMIFS(Donations!$D:$D,Donations!$G:$G,$A41,Donations!$F:$F,"&lt;="&amp;'Daily Challenges'!$D$9))</f>
        <v/>
      </c>
      <c r="I41" s="38">
        <f>IF($A41="","",SUMIFS(Donations!$D:$D,Donations!$G:$G,$A41,Donations!$F:$F,"&gt;="&amp;'Daily Challenges'!$C$10,Donations!$F:$F,"&lt;="&amp;'Daily Challenges'!$D$10))</f>
        <v/>
      </c>
      <c r="J41" s="38">
        <f>IF($A41="","",SUMIFS(Donations!$D:$D,Donations!$G:$G,$A41,Donations!$F:$F,"&lt;="&amp;'Daily Challenges'!$D$12))</f>
        <v/>
      </c>
    </row>
    <row r="42">
      <c r="A42" s="32" t="inlineStr">
        <is>
          <t>Zoe Gonzalez</t>
        </is>
      </c>
      <c r="B42" s="32" t="inlineStr">
        <is>
          <t>Mr. Carter</t>
        </is>
      </c>
      <c r="C42" s="36" t="inlineStr">
        <is>
          <t>P4</t>
        </is>
      </c>
      <c r="D42" s="37">
        <f>IF(A42="","",SUMIFS(Donations!$D:$D,Donations!$G:$G,A42))</f>
        <v/>
      </c>
      <c r="E42" s="35">
        <f>IF(A42="","",IF(D42&gt;0,"Yes",""))</f>
        <v/>
      </c>
      <c r="F42" s="38">
        <f>IF($A42="","",SUMIFS(Donations!$D:$D,Donations!$G:$G,$A42,Donations!$F:$F,"&gt;="&amp;'Daily Challenges'!$C$7,Donations!$F:$F,"&lt;="&amp;'Daily Challenges'!$D$7))</f>
        <v/>
      </c>
      <c r="G42" s="38">
        <f>IF($A42="","",SUMIFS(Donations!$D:$D,Donations!$G:$G,$A42,Donations!$F:$F,"&gt;="&amp;'Daily Challenges'!$C$8,Donations!$F:$F,"&lt;="&amp;'Daily Challenges'!$D$8))</f>
        <v/>
      </c>
      <c r="H42" s="38">
        <f>IF($A42="","",SUMIFS(Donations!$D:$D,Donations!$G:$G,$A42,Donations!$F:$F,"&lt;="&amp;'Daily Challenges'!$D$9))</f>
        <v/>
      </c>
      <c r="I42" s="38">
        <f>IF($A42="","",SUMIFS(Donations!$D:$D,Donations!$G:$G,$A42,Donations!$F:$F,"&gt;="&amp;'Daily Challenges'!$C$10,Donations!$F:$F,"&lt;="&amp;'Daily Challenges'!$D$10))</f>
        <v/>
      </c>
      <c r="J42" s="38">
        <f>IF($A42="","",SUMIFS(Donations!$D:$D,Donations!$G:$G,$A42,Donations!$F:$F,"&lt;="&amp;'Daily Challenges'!$D$12))</f>
        <v/>
      </c>
    </row>
    <row r="43">
      <c r="A43" s="32" t="inlineStr">
        <is>
          <t>Zoe Flores</t>
        </is>
      </c>
      <c r="B43" s="32" t="inlineStr">
        <is>
          <t>Mr. Carter</t>
        </is>
      </c>
      <c r="C43" s="36" t="inlineStr">
        <is>
          <t>P4</t>
        </is>
      </c>
      <c r="D43" s="37">
        <f>IF(A43="","",SUMIFS(Donations!$D:$D,Donations!$G:$G,A43))</f>
        <v/>
      </c>
      <c r="E43" s="35">
        <f>IF(A43="","",IF(D43&gt;0,"Yes",""))</f>
        <v/>
      </c>
      <c r="F43" s="38">
        <f>IF($A43="","",SUMIFS(Donations!$D:$D,Donations!$G:$G,$A43,Donations!$F:$F,"&gt;="&amp;'Daily Challenges'!$C$7,Donations!$F:$F,"&lt;="&amp;'Daily Challenges'!$D$7))</f>
        <v/>
      </c>
      <c r="G43" s="38">
        <f>IF($A43="","",SUMIFS(Donations!$D:$D,Donations!$G:$G,$A43,Donations!$F:$F,"&gt;="&amp;'Daily Challenges'!$C$8,Donations!$F:$F,"&lt;="&amp;'Daily Challenges'!$D$8))</f>
        <v/>
      </c>
      <c r="H43" s="38">
        <f>IF($A43="","",SUMIFS(Donations!$D:$D,Donations!$G:$G,$A43,Donations!$F:$F,"&lt;="&amp;'Daily Challenges'!$D$9))</f>
        <v/>
      </c>
      <c r="I43" s="38">
        <f>IF($A43="","",SUMIFS(Donations!$D:$D,Donations!$G:$G,$A43,Donations!$F:$F,"&gt;="&amp;'Daily Challenges'!$C$10,Donations!$F:$F,"&lt;="&amp;'Daily Challenges'!$D$10))</f>
        <v/>
      </c>
      <c r="J43" s="38">
        <f>IF($A43="","",SUMIFS(Donations!$D:$D,Donations!$G:$G,$A43,Donations!$F:$F,"&lt;="&amp;'Daily Challenges'!$D$12))</f>
        <v/>
      </c>
    </row>
    <row r="44">
      <c r="A44" s="32" t="inlineStr">
        <is>
          <t>Diego Vasquez</t>
        </is>
      </c>
      <c r="B44" s="32" t="inlineStr">
        <is>
          <t>Mr. Carter</t>
        </is>
      </c>
      <c r="C44" s="36" t="inlineStr">
        <is>
          <t>P4</t>
        </is>
      </c>
      <c r="D44" s="37">
        <f>IF(A44="","",SUMIFS(Donations!$D:$D,Donations!$G:$G,A44))</f>
        <v/>
      </c>
      <c r="E44" s="35">
        <f>IF(A44="","",IF(D44&gt;0,"Yes",""))</f>
        <v/>
      </c>
      <c r="F44" s="38">
        <f>IF($A44="","",SUMIFS(Donations!$D:$D,Donations!$G:$G,$A44,Donations!$F:$F,"&gt;="&amp;'Daily Challenges'!$C$7,Donations!$F:$F,"&lt;="&amp;'Daily Challenges'!$D$7))</f>
        <v/>
      </c>
      <c r="G44" s="38">
        <f>IF($A44="","",SUMIFS(Donations!$D:$D,Donations!$G:$G,$A44,Donations!$F:$F,"&gt;="&amp;'Daily Challenges'!$C$8,Donations!$F:$F,"&lt;="&amp;'Daily Challenges'!$D$8))</f>
        <v/>
      </c>
      <c r="H44" s="38">
        <f>IF($A44="","",SUMIFS(Donations!$D:$D,Donations!$G:$G,$A44,Donations!$F:$F,"&lt;="&amp;'Daily Challenges'!$D$9))</f>
        <v/>
      </c>
      <c r="I44" s="38">
        <f>IF($A44="","",SUMIFS(Donations!$D:$D,Donations!$G:$G,$A44,Donations!$F:$F,"&gt;="&amp;'Daily Challenges'!$C$10,Donations!$F:$F,"&lt;="&amp;'Daily Challenges'!$D$10))</f>
        <v/>
      </c>
      <c r="J44" s="38">
        <f>IF($A44="","",SUMIFS(Donations!$D:$D,Donations!$G:$G,$A44,Donations!$F:$F,"&lt;="&amp;'Daily Challenges'!$D$12))</f>
        <v/>
      </c>
    </row>
    <row r="45">
      <c r="A45" s="32" t="inlineStr">
        <is>
          <t>Zoe Murphy</t>
        </is>
      </c>
      <c r="B45" s="32" t="inlineStr">
        <is>
          <t>Mr. Carter</t>
        </is>
      </c>
      <c r="C45" s="36" t="inlineStr">
        <is>
          <t>P4</t>
        </is>
      </c>
      <c r="D45" s="37">
        <f>IF(A45="","",SUMIFS(Donations!$D:$D,Donations!$G:$G,A45))</f>
        <v/>
      </c>
      <c r="E45" s="35">
        <f>IF(A45="","",IF(D45&gt;0,"Yes",""))</f>
        <v/>
      </c>
      <c r="F45" s="38">
        <f>IF($A45="","",SUMIFS(Donations!$D:$D,Donations!$G:$G,$A45,Donations!$F:$F,"&gt;="&amp;'Daily Challenges'!$C$7,Donations!$F:$F,"&lt;="&amp;'Daily Challenges'!$D$7))</f>
        <v/>
      </c>
      <c r="G45" s="38">
        <f>IF($A45="","",SUMIFS(Donations!$D:$D,Donations!$G:$G,$A45,Donations!$F:$F,"&gt;="&amp;'Daily Challenges'!$C$8,Donations!$F:$F,"&lt;="&amp;'Daily Challenges'!$D$8))</f>
        <v/>
      </c>
      <c r="H45" s="38">
        <f>IF($A45="","",SUMIFS(Donations!$D:$D,Donations!$G:$G,$A45,Donations!$F:$F,"&lt;="&amp;'Daily Challenges'!$D$9))</f>
        <v/>
      </c>
      <c r="I45" s="38">
        <f>IF($A45="","",SUMIFS(Donations!$D:$D,Donations!$G:$G,$A45,Donations!$F:$F,"&gt;="&amp;'Daily Challenges'!$C$10,Donations!$F:$F,"&lt;="&amp;'Daily Challenges'!$D$10))</f>
        <v/>
      </c>
      <c r="J45" s="38">
        <f>IF($A45="","",SUMIFS(Donations!$D:$D,Donations!$G:$G,$A45,Donations!$F:$F,"&lt;="&amp;'Daily Challenges'!$D$12))</f>
        <v/>
      </c>
    </row>
    <row r="46">
      <c r="A46" s="32" t="inlineStr">
        <is>
          <t>Amelia Sullivan</t>
        </is>
      </c>
      <c r="B46" s="32" t="inlineStr">
        <is>
          <t>Mr. Carter</t>
        </is>
      </c>
      <c r="C46" s="36" t="inlineStr">
        <is>
          <t>P4</t>
        </is>
      </c>
      <c r="D46" s="37">
        <f>IF(A46="","",SUMIFS(Donations!$D:$D,Donations!$G:$G,A46))</f>
        <v/>
      </c>
      <c r="E46" s="35">
        <f>IF(A46="","",IF(D46&gt;0,"Yes",""))</f>
        <v/>
      </c>
      <c r="F46" s="38">
        <f>IF($A46="","",SUMIFS(Donations!$D:$D,Donations!$G:$G,$A46,Donations!$F:$F,"&gt;="&amp;'Daily Challenges'!$C$7,Donations!$F:$F,"&lt;="&amp;'Daily Challenges'!$D$7))</f>
        <v/>
      </c>
      <c r="G46" s="38">
        <f>IF($A46="","",SUMIFS(Donations!$D:$D,Donations!$G:$G,$A46,Donations!$F:$F,"&gt;="&amp;'Daily Challenges'!$C$8,Donations!$F:$F,"&lt;="&amp;'Daily Challenges'!$D$8))</f>
        <v/>
      </c>
      <c r="H46" s="38">
        <f>IF($A46="","",SUMIFS(Donations!$D:$D,Donations!$G:$G,$A46,Donations!$F:$F,"&lt;="&amp;'Daily Challenges'!$D$9))</f>
        <v/>
      </c>
      <c r="I46" s="38">
        <f>IF($A46="","",SUMIFS(Donations!$D:$D,Donations!$G:$G,$A46,Donations!$F:$F,"&gt;="&amp;'Daily Challenges'!$C$10,Donations!$F:$F,"&lt;="&amp;'Daily Challenges'!$D$10))</f>
        <v/>
      </c>
      <c r="J46" s="38">
        <f>IF($A46="","",SUMIFS(Donations!$D:$D,Donations!$G:$G,$A46,Donations!$F:$F,"&lt;="&amp;'Daily Challenges'!$D$12))</f>
        <v/>
      </c>
    </row>
    <row r="47">
      <c r="A47" s="32" t="inlineStr">
        <is>
          <t>Daniel Cruz</t>
        </is>
      </c>
      <c r="B47" s="32" t="inlineStr">
        <is>
          <t>Mr. Carter</t>
        </is>
      </c>
      <c r="C47" s="36" t="inlineStr">
        <is>
          <t>P4</t>
        </is>
      </c>
      <c r="D47" s="37">
        <f>IF(A47="","",SUMIFS(Donations!$D:$D,Donations!$G:$G,A47))</f>
        <v/>
      </c>
      <c r="E47" s="35">
        <f>IF(A47="","",IF(D47&gt;0,"Yes",""))</f>
        <v/>
      </c>
      <c r="F47" s="38">
        <f>IF($A47="","",SUMIFS(Donations!$D:$D,Donations!$G:$G,$A47,Donations!$F:$F,"&gt;="&amp;'Daily Challenges'!$C$7,Donations!$F:$F,"&lt;="&amp;'Daily Challenges'!$D$7))</f>
        <v/>
      </c>
      <c r="G47" s="38">
        <f>IF($A47="","",SUMIFS(Donations!$D:$D,Donations!$G:$G,$A47,Donations!$F:$F,"&gt;="&amp;'Daily Challenges'!$C$8,Donations!$F:$F,"&lt;="&amp;'Daily Challenges'!$D$8))</f>
        <v/>
      </c>
      <c r="H47" s="38">
        <f>IF($A47="","",SUMIFS(Donations!$D:$D,Donations!$G:$G,$A47,Donations!$F:$F,"&lt;="&amp;'Daily Challenges'!$D$9))</f>
        <v/>
      </c>
      <c r="I47" s="38">
        <f>IF($A47="","",SUMIFS(Donations!$D:$D,Donations!$G:$G,$A47,Donations!$F:$F,"&gt;="&amp;'Daily Challenges'!$C$10,Donations!$F:$F,"&lt;="&amp;'Daily Challenges'!$D$10))</f>
        <v/>
      </c>
      <c r="J47" s="38">
        <f>IF($A47="","",SUMIFS(Donations!$D:$D,Donations!$G:$G,$A47,Donations!$F:$F,"&lt;="&amp;'Daily Challenges'!$D$12))</f>
        <v/>
      </c>
    </row>
    <row r="48">
      <c r="A48" s="32" t="inlineStr">
        <is>
          <t>Adrian Patel</t>
        </is>
      </c>
      <c r="B48" s="32" t="inlineStr">
        <is>
          <t>Mr. Carter</t>
        </is>
      </c>
      <c r="C48" s="36" t="inlineStr">
        <is>
          <t>P4</t>
        </is>
      </c>
      <c r="D48" s="37">
        <f>IF(A48="","",SUMIFS(Donations!$D:$D,Donations!$G:$G,A48))</f>
        <v/>
      </c>
      <c r="E48" s="35">
        <f>IF(A48="","",IF(D48&gt;0,"Yes",""))</f>
        <v/>
      </c>
      <c r="F48" s="38">
        <f>IF($A48="","",SUMIFS(Donations!$D:$D,Donations!$G:$G,$A48,Donations!$F:$F,"&gt;="&amp;'Daily Challenges'!$C$7,Donations!$F:$F,"&lt;="&amp;'Daily Challenges'!$D$7))</f>
        <v/>
      </c>
      <c r="G48" s="38">
        <f>IF($A48="","",SUMIFS(Donations!$D:$D,Donations!$G:$G,$A48,Donations!$F:$F,"&gt;="&amp;'Daily Challenges'!$C$8,Donations!$F:$F,"&lt;="&amp;'Daily Challenges'!$D$8))</f>
        <v/>
      </c>
      <c r="H48" s="38">
        <f>IF($A48="","",SUMIFS(Donations!$D:$D,Donations!$G:$G,$A48,Donations!$F:$F,"&lt;="&amp;'Daily Challenges'!$D$9))</f>
        <v/>
      </c>
      <c r="I48" s="38">
        <f>IF($A48="","",SUMIFS(Donations!$D:$D,Donations!$G:$G,$A48,Donations!$F:$F,"&gt;="&amp;'Daily Challenges'!$C$10,Donations!$F:$F,"&lt;="&amp;'Daily Challenges'!$D$10))</f>
        <v/>
      </c>
      <c r="J48" s="38">
        <f>IF($A48="","",SUMIFS(Donations!$D:$D,Donations!$G:$G,$A48,Donations!$F:$F,"&lt;="&amp;'Daily Challenges'!$D$12))</f>
        <v/>
      </c>
    </row>
    <row r="49">
      <c r="A49" s="32" t="inlineStr">
        <is>
          <t>Zoe Ruiz</t>
        </is>
      </c>
      <c r="B49" s="32" t="inlineStr">
        <is>
          <t>Mr. Carter</t>
        </is>
      </c>
      <c r="C49" s="36" t="inlineStr">
        <is>
          <t>P4</t>
        </is>
      </c>
      <c r="D49" s="37">
        <f>IF(A49="","",SUMIFS(Donations!$D:$D,Donations!$G:$G,A49))</f>
        <v/>
      </c>
      <c r="E49" s="35">
        <f>IF(A49="","",IF(D49&gt;0,"Yes",""))</f>
        <v/>
      </c>
      <c r="F49" s="38">
        <f>IF($A49="","",SUMIFS(Donations!$D:$D,Donations!$G:$G,$A49,Donations!$F:$F,"&gt;="&amp;'Daily Challenges'!$C$7,Donations!$F:$F,"&lt;="&amp;'Daily Challenges'!$D$7))</f>
        <v/>
      </c>
      <c r="G49" s="38">
        <f>IF($A49="","",SUMIFS(Donations!$D:$D,Donations!$G:$G,$A49,Donations!$F:$F,"&gt;="&amp;'Daily Challenges'!$C$8,Donations!$F:$F,"&lt;="&amp;'Daily Challenges'!$D$8))</f>
        <v/>
      </c>
      <c r="H49" s="38">
        <f>IF($A49="","",SUMIFS(Donations!$D:$D,Donations!$G:$G,$A49,Donations!$F:$F,"&lt;="&amp;'Daily Challenges'!$D$9))</f>
        <v/>
      </c>
      <c r="I49" s="38">
        <f>IF($A49="","",SUMIFS(Donations!$D:$D,Donations!$G:$G,$A49,Donations!$F:$F,"&gt;="&amp;'Daily Challenges'!$C$10,Donations!$F:$F,"&lt;="&amp;'Daily Challenges'!$D$10))</f>
        <v/>
      </c>
      <c r="J49" s="38">
        <f>IF($A49="","",SUMIFS(Donations!$D:$D,Donations!$G:$G,$A49,Donations!$F:$F,"&lt;="&amp;'Daily Challenges'!$D$12))</f>
        <v/>
      </c>
    </row>
    <row r="50">
      <c r="A50" s="32" t="inlineStr">
        <is>
          <t>Samuel Ramirez</t>
        </is>
      </c>
      <c r="B50" s="32" t="inlineStr">
        <is>
          <t>Mrs. Dominguez</t>
        </is>
      </c>
      <c r="C50" s="36" t="inlineStr">
        <is>
          <t>P4</t>
        </is>
      </c>
      <c r="D50" s="37">
        <f>IF(A50="","",SUMIFS(Donations!$D:$D,Donations!$G:$G,A50))</f>
        <v/>
      </c>
      <c r="E50" s="35">
        <f>IF(A50="","",IF(D50&gt;0,"Yes",""))</f>
        <v/>
      </c>
      <c r="F50" s="38">
        <f>IF($A50="","",SUMIFS(Donations!$D:$D,Donations!$G:$G,$A50,Donations!$F:$F,"&gt;="&amp;'Daily Challenges'!$C$7,Donations!$F:$F,"&lt;="&amp;'Daily Challenges'!$D$7))</f>
        <v/>
      </c>
      <c r="G50" s="38">
        <f>IF($A50="","",SUMIFS(Donations!$D:$D,Donations!$G:$G,$A50,Donations!$F:$F,"&gt;="&amp;'Daily Challenges'!$C$8,Donations!$F:$F,"&lt;="&amp;'Daily Challenges'!$D$8))</f>
        <v/>
      </c>
      <c r="H50" s="38">
        <f>IF($A50="","",SUMIFS(Donations!$D:$D,Donations!$G:$G,$A50,Donations!$F:$F,"&lt;="&amp;'Daily Challenges'!$D$9))</f>
        <v/>
      </c>
      <c r="I50" s="38">
        <f>IF($A50="","",SUMIFS(Donations!$D:$D,Donations!$G:$G,$A50,Donations!$F:$F,"&gt;="&amp;'Daily Challenges'!$C$10,Donations!$F:$F,"&lt;="&amp;'Daily Challenges'!$D$10))</f>
        <v/>
      </c>
      <c r="J50" s="38">
        <f>IF($A50="","",SUMIFS(Donations!$D:$D,Donations!$G:$G,$A50,Donations!$F:$F,"&lt;="&amp;'Daily Challenges'!$D$12))</f>
        <v/>
      </c>
    </row>
    <row r="51">
      <c r="A51" s="32" t="inlineStr">
        <is>
          <t>Harper Diaz</t>
        </is>
      </c>
      <c r="B51" s="32" t="inlineStr">
        <is>
          <t>Mrs. Dominguez</t>
        </is>
      </c>
      <c r="C51" s="36" t="inlineStr">
        <is>
          <t>P4</t>
        </is>
      </c>
      <c r="D51" s="37">
        <f>IF(A51="","",SUMIFS(Donations!$D:$D,Donations!$G:$G,A51))</f>
        <v/>
      </c>
      <c r="E51" s="35">
        <f>IF(A51="","",IF(D51&gt;0,"Yes",""))</f>
        <v/>
      </c>
      <c r="F51" s="38">
        <f>IF($A51="","",SUMIFS(Donations!$D:$D,Donations!$G:$G,$A51,Donations!$F:$F,"&gt;="&amp;'Daily Challenges'!$C$7,Donations!$F:$F,"&lt;="&amp;'Daily Challenges'!$D$7))</f>
        <v/>
      </c>
      <c r="G51" s="38">
        <f>IF($A51="","",SUMIFS(Donations!$D:$D,Donations!$G:$G,$A51,Donations!$F:$F,"&gt;="&amp;'Daily Challenges'!$C$8,Donations!$F:$F,"&lt;="&amp;'Daily Challenges'!$D$8))</f>
        <v/>
      </c>
      <c r="H51" s="38">
        <f>IF($A51="","",SUMIFS(Donations!$D:$D,Donations!$G:$G,$A51,Donations!$F:$F,"&lt;="&amp;'Daily Challenges'!$D$9))</f>
        <v/>
      </c>
      <c r="I51" s="38">
        <f>IF($A51="","",SUMIFS(Donations!$D:$D,Donations!$G:$G,$A51,Donations!$F:$F,"&gt;="&amp;'Daily Challenges'!$C$10,Donations!$F:$F,"&lt;="&amp;'Daily Challenges'!$D$10))</f>
        <v/>
      </c>
      <c r="J51" s="38">
        <f>IF($A51="","",SUMIFS(Donations!$D:$D,Donations!$G:$G,$A51,Donations!$F:$F,"&lt;="&amp;'Daily Challenges'!$D$12))</f>
        <v/>
      </c>
    </row>
    <row r="52">
      <c r="A52" s="32" t="inlineStr">
        <is>
          <t>Sofia Lopez</t>
        </is>
      </c>
      <c r="B52" s="32" t="inlineStr">
        <is>
          <t>Mrs. Dominguez</t>
        </is>
      </c>
      <c r="C52" s="36" t="inlineStr">
        <is>
          <t>P4</t>
        </is>
      </c>
      <c r="D52" s="37">
        <f>IF(A52="","",SUMIFS(Donations!$D:$D,Donations!$G:$G,A52))</f>
        <v/>
      </c>
      <c r="E52" s="35">
        <f>IF(A52="","",IF(D52&gt;0,"Yes",""))</f>
        <v/>
      </c>
      <c r="F52" s="38">
        <f>IF($A52="","",SUMIFS(Donations!$D:$D,Donations!$G:$G,$A52,Donations!$F:$F,"&gt;="&amp;'Daily Challenges'!$C$7,Donations!$F:$F,"&lt;="&amp;'Daily Challenges'!$D$7))</f>
        <v/>
      </c>
      <c r="G52" s="38">
        <f>IF($A52="","",SUMIFS(Donations!$D:$D,Donations!$G:$G,$A52,Donations!$F:$F,"&gt;="&amp;'Daily Challenges'!$C$8,Donations!$F:$F,"&lt;="&amp;'Daily Challenges'!$D$8))</f>
        <v/>
      </c>
      <c r="H52" s="38">
        <f>IF($A52="","",SUMIFS(Donations!$D:$D,Donations!$G:$G,$A52,Donations!$F:$F,"&lt;="&amp;'Daily Challenges'!$D$9))</f>
        <v/>
      </c>
      <c r="I52" s="38">
        <f>IF($A52="","",SUMIFS(Donations!$D:$D,Donations!$G:$G,$A52,Donations!$F:$F,"&gt;="&amp;'Daily Challenges'!$C$10,Donations!$F:$F,"&lt;="&amp;'Daily Challenges'!$D$10))</f>
        <v/>
      </c>
      <c r="J52" s="38">
        <f>IF($A52="","",SUMIFS(Donations!$D:$D,Donations!$G:$G,$A52,Donations!$F:$F,"&lt;="&amp;'Daily Challenges'!$D$12))</f>
        <v/>
      </c>
    </row>
    <row r="53">
      <c r="A53" s="32" t="inlineStr">
        <is>
          <t>Liam Byrne</t>
        </is>
      </c>
      <c r="B53" s="32" t="inlineStr">
        <is>
          <t>Mrs. Dominguez</t>
        </is>
      </c>
      <c r="C53" s="36" t="inlineStr">
        <is>
          <t>P4</t>
        </is>
      </c>
      <c r="D53" s="37">
        <f>IF(A53="","",SUMIFS(Donations!$D:$D,Donations!$G:$G,A53))</f>
        <v/>
      </c>
      <c r="E53" s="35">
        <f>IF(A53="","",IF(D53&gt;0,"Yes",""))</f>
        <v/>
      </c>
      <c r="F53" s="38">
        <f>IF($A53="","",SUMIFS(Donations!$D:$D,Donations!$G:$G,$A53,Donations!$F:$F,"&gt;="&amp;'Daily Challenges'!$C$7,Donations!$F:$F,"&lt;="&amp;'Daily Challenges'!$D$7))</f>
        <v/>
      </c>
      <c r="G53" s="38">
        <f>IF($A53="","",SUMIFS(Donations!$D:$D,Donations!$G:$G,$A53,Donations!$F:$F,"&gt;="&amp;'Daily Challenges'!$C$8,Donations!$F:$F,"&lt;="&amp;'Daily Challenges'!$D$8))</f>
        <v/>
      </c>
      <c r="H53" s="38">
        <f>IF($A53="","",SUMIFS(Donations!$D:$D,Donations!$G:$G,$A53,Donations!$F:$F,"&lt;="&amp;'Daily Challenges'!$D$9))</f>
        <v/>
      </c>
      <c r="I53" s="38">
        <f>IF($A53="","",SUMIFS(Donations!$D:$D,Donations!$G:$G,$A53,Donations!$F:$F,"&gt;="&amp;'Daily Challenges'!$C$10,Donations!$F:$F,"&lt;="&amp;'Daily Challenges'!$D$10))</f>
        <v/>
      </c>
      <c r="J53" s="38">
        <f>IF($A53="","",SUMIFS(Donations!$D:$D,Donations!$G:$G,$A53,Donations!$F:$F,"&lt;="&amp;'Daily Challenges'!$D$12))</f>
        <v/>
      </c>
    </row>
    <row r="54">
      <c r="A54" s="32" t="inlineStr">
        <is>
          <t>Joseph O'Brien</t>
        </is>
      </c>
      <c r="B54" s="32" t="inlineStr">
        <is>
          <t>Mrs. Dominguez</t>
        </is>
      </c>
      <c r="C54" s="36" t="inlineStr">
        <is>
          <t>P4</t>
        </is>
      </c>
      <c r="D54" s="37">
        <f>IF(A54="","",SUMIFS(Donations!$D:$D,Donations!$G:$G,A54))</f>
        <v/>
      </c>
      <c r="E54" s="35">
        <f>IF(A54="","",IF(D54&gt;0,"Yes",""))</f>
        <v/>
      </c>
      <c r="F54" s="38">
        <f>IF($A54="","",SUMIFS(Donations!$D:$D,Donations!$G:$G,$A54,Donations!$F:$F,"&gt;="&amp;'Daily Challenges'!$C$7,Donations!$F:$F,"&lt;="&amp;'Daily Challenges'!$D$7))</f>
        <v/>
      </c>
      <c r="G54" s="38">
        <f>IF($A54="","",SUMIFS(Donations!$D:$D,Donations!$G:$G,$A54,Donations!$F:$F,"&gt;="&amp;'Daily Challenges'!$C$8,Donations!$F:$F,"&lt;="&amp;'Daily Challenges'!$D$8))</f>
        <v/>
      </c>
      <c r="H54" s="38">
        <f>IF($A54="","",SUMIFS(Donations!$D:$D,Donations!$G:$G,$A54,Donations!$F:$F,"&lt;="&amp;'Daily Challenges'!$D$9))</f>
        <v/>
      </c>
      <c r="I54" s="38">
        <f>IF($A54="","",SUMIFS(Donations!$D:$D,Donations!$G:$G,$A54,Donations!$F:$F,"&gt;="&amp;'Daily Challenges'!$C$10,Donations!$F:$F,"&lt;="&amp;'Daily Challenges'!$D$10))</f>
        <v/>
      </c>
      <c r="J54" s="38">
        <f>IF($A54="","",SUMIFS(Donations!$D:$D,Donations!$G:$G,$A54,Donations!$F:$F,"&lt;="&amp;'Daily Challenges'!$D$12))</f>
        <v/>
      </c>
    </row>
    <row r="55">
      <c r="A55" s="32" t="inlineStr">
        <is>
          <t>David Chavez</t>
        </is>
      </c>
      <c r="B55" s="32" t="inlineStr">
        <is>
          <t>Mrs. Dominguez</t>
        </is>
      </c>
      <c r="C55" s="36" t="inlineStr">
        <is>
          <t>P4</t>
        </is>
      </c>
      <c r="D55" s="37">
        <f>IF(A55="","",SUMIFS(Donations!$D:$D,Donations!$G:$G,A55))</f>
        <v/>
      </c>
      <c r="E55" s="35">
        <f>IF(A55="","",IF(D55&gt;0,"Yes",""))</f>
        <v/>
      </c>
      <c r="F55" s="38">
        <f>IF($A55="","",SUMIFS(Donations!$D:$D,Donations!$G:$G,$A55,Donations!$F:$F,"&gt;="&amp;'Daily Challenges'!$C$7,Donations!$F:$F,"&lt;="&amp;'Daily Challenges'!$D$7))</f>
        <v/>
      </c>
      <c r="G55" s="38">
        <f>IF($A55="","",SUMIFS(Donations!$D:$D,Donations!$G:$G,$A55,Donations!$F:$F,"&gt;="&amp;'Daily Challenges'!$C$8,Donations!$F:$F,"&lt;="&amp;'Daily Challenges'!$D$8))</f>
        <v/>
      </c>
      <c r="H55" s="38">
        <f>IF($A55="","",SUMIFS(Donations!$D:$D,Donations!$G:$G,$A55,Donations!$F:$F,"&lt;="&amp;'Daily Challenges'!$D$9))</f>
        <v/>
      </c>
      <c r="I55" s="38">
        <f>IF($A55="","",SUMIFS(Donations!$D:$D,Donations!$G:$G,$A55,Donations!$F:$F,"&gt;="&amp;'Daily Challenges'!$C$10,Donations!$F:$F,"&lt;="&amp;'Daily Challenges'!$D$10))</f>
        <v/>
      </c>
      <c r="J55" s="38">
        <f>IF($A55="","",SUMIFS(Donations!$D:$D,Donations!$G:$G,$A55,Donations!$F:$F,"&lt;="&amp;'Daily Challenges'!$D$12))</f>
        <v/>
      </c>
    </row>
    <row r="56">
      <c r="A56" s="32" t="inlineStr">
        <is>
          <t>Ava Gomez</t>
        </is>
      </c>
      <c r="B56" s="32" t="inlineStr">
        <is>
          <t>Mrs. Dominguez</t>
        </is>
      </c>
      <c r="C56" s="36" t="inlineStr">
        <is>
          <t>P4</t>
        </is>
      </c>
      <c r="D56" s="37">
        <f>IF(A56="","",SUMIFS(Donations!$D:$D,Donations!$G:$G,A56))</f>
        <v/>
      </c>
      <c r="E56" s="35">
        <f>IF(A56="","",IF(D56&gt;0,"Yes",""))</f>
        <v/>
      </c>
      <c r="F56" s="38">
        <f>IF($A56="","",SUMIFS(Donations!$D:$D,Donations!$G:$G,$A56,Donations!$F:$F,"&gt;="&amp;'Daily Challenges'!$C$7,Donations!$F:$F,"&lt;="&amp;'Daily Challenges'!$D$7))</f>
        <v/>
      </c>
      <c r="G56" s="38">
        <f>IF($A56="","",SUMIFS(Donations!$D:$D,Donations!$G:$G,$A56,Donations!$F:$F,"&gt;="&amp;'Daily Challenges'!$C$8,Donations!$F:$F,"&lt;="&amp;'Daily Challenges'!$D$8))</f>
        <v/>
      </c>
      <c r="H56" s="38">
        <f>IF($A56="","",SUMIFS(Donations!$D:$D,Donations!$G:$G,$A56,Donations!$F:$F,"&lt;="&amp;'Daily Challenges'!$D$9))</f>
        <v/>
      </c>
      <c r="I56" s="38">
        <f>IF($A56="","",SUMIFS(Donations!$D:$D,Donations!$G:$G,$A56,Donations!$F:$F,"&gt;="&amp;'Daily Challenges'!$C$10,Donations!$F:$F,"&lt;="&amp;'Daily Challenges'!$D$10))</f>
        <v/>
      </c>
      <c r="J56" s="38">
        <f>IF($A56="","",SUMIFS(Donations!$D:$D,Donations!$G:$G,$A56,Donations!$F:$F,"&lt;="&amp;'Daily Challenges'!$D$12))</f>
        <v/>
      </c>
    </row>
    <row r="57">
      <c r="A57" s="32" t="inlineStr">
        <is>
          <t>David Vasquez</t>
        </is>
      </c>
      <c r="B57" s="32" t="inlineStr">
        <is>
          <t>Mrs. Dominguez</t>
        </is>
      </c>
      <c r="C57" s="36" t="inlineStr">
        <is>
          <t>P4</t>
        </is>
      </c>
      <c r="D57" s="37">
        <f>IF(A57="","",SUMIFS(Donations!$D:$D,Donations!$G:$G,A57))</f>
        <v/>
      </c>
      <c r="E57" s="35">
        <f>IF(A57="","",IF(D57&gt;0,"Yes",""))</f>
        <v/>
      </c>
      <c r="F57" s="38">
        <f>IF($A57="","",SUMIFS(Donations!$D:$D,Donations!$G:$G,$A57,Donations!$F:$F,"&gt;="&amp;'Daily Challenges'!$C$7,Donations!$F:$F,"&lt;="&amp;'Daily Challenges'!$D$7))</f>
        <v/>
      </c>
      <c r="G57" s="38">
        <f>IF($A57="","",SUMIFS(Donations!$D:$D,Donations!$G:$G,$A57,Donations!$F:$F,"&gt;="&amp;'Daily Challenges'!$C$8,Donations!$F:$F,"&lt;="&amp;'Daily Challenges'!$D$8))</f>
        <v/>
      </c>
      <c r="H57" s="38">
        <f>IF($A57="","",SUMIFS(Donations!$D:$D,Donations!$G:$G,$A57,Donations!$F:$F,"&lt;="&amp;'Daily Challenges'!$D$9))</f>
        <v/>
      </c>
      <c r="I57" s="38">
        <f>IF($A57="","",SUMIFS(Donations!$D:$D,Donations!$G:$G,$A57,Donations!$F:$F,"&gt;="&amp;'Daily Challenges'!$C$10,Donations!$F:$F,"&lt;="&amp;'Daily Challenges'!$D$10))</f>
        <v/>
      </c>
      <c r="J57" s="38">
        <f>IF($A57="","",SUMIFS(Donations!$D:$D,Donations!$G:$G,$A57,Donations!$F:$F,"&lt;="&amp;'Daily Challenges'!$D$12))</f>
        <v/>
      </c>
    </row>
    <row r="58">
      <c r="A58" s="32" t="inlineStr">
        <is>
          <t>Nora Nguyen</t>
        </is>
      </c>
      <c r="B58" s="32" t="inlineStr">
        <is>
          <t>Mrs. Dominguez</t>
        </is>
      </c>
      <c r="C58" s="36" t="inlineStr">
        <is>
          <t>P4</t>
        </is>
      </c>
      <c r="D58" s="37">
        <f>IF(A58="","",SUMIFS(Donations!$D:$D,Donations!$G:$G,A58))</f>
        <v/>
      </c>
      <c r="E58" s="35">
        <f>IF(A58="","",IF(D58&gt;0,"Yes",""))</f>
        <v/>
      </c>
      <c r="F58" s="38">
        <f>IF($A58="","",SUMIFS(Donations!$D:$D,Donations!$G:$G,$A58,Donations!$F:$F,"&gt;="&amp;'Daily Challenges'!$C$7,Donations!$F:$F,"&lt;="&amp;'Daily Challenges'!$D$7))</f>
        <v/>
      </c>
      <c r="G58" s="38">
        <f>IF($A58="","",SUMIFS(Donations!$D:$D,Donations!$G:$G,$A58,Donations!$F:$F,"&gt;="&amp;'Daily Challenges'!$C$8,Donations!$F:$F,"&lt;="&amp;'Daily Challenges'!$D$8))</f>
        <v/>
      </c>
      <c r="H58" s="38">
        <f>IF($A58="","",SUMIFS(Donations!$D:$D,Donations!$G:$G,$A58,Donations!$F:$F,"&lt;="&amp;'Daily Challenges'!$D$9))</f>
        <v/>
      </c>
      <c r="I58" s="38">
        <f>IF($A58="","",SUMIFS(Donations!$D:$D,Donations!$G:$G,$A58,Donations!$F:$F,"&gt;="&amp;'Daily Challenges'!$C$10,Donations!$F:$F,"&lt;="&amp;'Daily Challenges'!$D$10))</f>
        <v/>
      </c>
      <c r="J58" s="38">
        <f>IF($A58="","",SUMIFS(Donations!$D:$D,Donations!$G:$G,$A58,Donations!$F:$F,"&lt;="&amp;'Daily Challenges'!$D$12))</f>
        <v/>
      </c>
    </row>
    <row r="59">
      <c r="A59" s="32" t="inlineStr">
        <is>
          <t>Samuel Sullivan</t>
        </is>
      </c>
      <c r="B59" s="32" t="inlineStr">
        <is>
          <t>Mrs. Dominguez</t>
        </is>
      </c>
      <c r="C59" s="36" t="inlineStr">
        <is>
          <t>P4</t>
        </is>
      </c>
      <c r="D59" s="37">
        <f>IF(A59="","",SUMIFS(Donations!$D:$D,Donations!$G:$G,A59))</f>
        <v/>
      </c>
      <c r="E59" s="35">
        <f>IF(A59="","",IF(D59&gt;0,"Yes",""))</f>
        <v/>
      </c>
      <c r="F59" s="38">
        <f>IF($A59="","",SUMIFS(Donations!$D:$D,Donations!$G:$G,$A59,Donations!$F:$F,"&gt;="&amp;'Daily Challenges'!$C$7,Donations!$F:$F,"&lt;="&amp;'Daily Challenges'!$D$7))</f>
        <v/>
      </c>
      <c r="G59" s="38">
        <f>IF($A59="","",SUMIFS(Donations!$D:$D,Donations!$G:$G,$A59,Donations!$F:$F,"&gt;="&amp;'Daily Challenges'!$C$8,Donations!$F:$F,"&lt;="&amp;'Daily Challenges'!$D$8))</f>
        <v/>
      </c>
      <c r="H59" s="38">
        <f>IF($A59="","",SUMIFS(Donations!$D:$D,Donations!$G:$G,$A59,Donations!$F:$F,"&lt;="&amp;'Daily Challenges'!$D$9))</f>
        <v/>
      </c>
      <c r="I59" s="38">
        <f>IF($A59="","",SUMIFS(Donations!$D:$D,Donations!$G:$G,$A59,Donations!$F:$F,"&gt;="&amp;'Daily Challenges'!$C$10,Donations!$F:$F,"&lt;="&amp;'Daily Challenges'!$D$10))</f>
        <v/>
      </c>
      <c r="J59" s="38">
        <f>IF($A59="","",SUMIFS(Donations!$D:$D,Donations!$G:$G,$A59,Donations!$F:$F,"&lt;="&amp;'Daily Challenges'!$D$12))</f>
        <v/>
      </c>
    </row>
    <row r="60">
      <c r="A60" s="32" t="inlineStr">
        <is>
          <t>Clara Lopez</t>
        </is>
      </c>
      <c r="B60" s="32" t="inlineStr">
        <is>
          <t>Mrs. Dominguez</t>
        </is>
      </c>
      <c r="C60" s="36" t="inlineStr">
        <is>
          <t>P4</t>
        </is>
      </c>
      <c r="D60" s="37">
        <f>IF(A60="","",SUMIFS(Donations!$D:$D,Donations!$G:$G,A60))</f>
        <v/>
      </c>
      <c r="E60" s="35">
        <f>IF(A60="","",IF(D60&gt;0,"Yes",""))</f>
        <v/>
      </c>
      <c r="F60" s="38">
        <f>IF($A60="","",SUMIFS(Donations!$D:$D,Donations!$G:$G,$A60,Donations!$F:$F,"&gt;="&amp;'Daily Challenges'!$C$7,Donations!$F:$F,"&lt;="&amp;'Daily Challenges'!$D$7))</f>
        <v/>
      </c>
      <c r="G60" s="38">
        <f>IF($A60="","",SUMIFS(Donations!$D:$D,Donations!$G:$G,$A60,Donations!$F:$F,"&gt;="&amp;'Daily Challenges'!$C$8,Donations!$F:$F,"&lt;="&amp;'Daily Challenges'!$D$8))</f>
        <v/>
      </c>
      <c r="H60" s="38">
        <f>IF($A60="","",SUMIFS(Donations!$D:$D,Donations!$G:$G,$A60,Donations!$F:$F,"&lt;="&amp;'Daily Challenges'!$D$9))</f>
        <v/>
      </c>
      <c r="I60" s="38">
        <f>IF($A60="","",SUMIFS(Donations!$D:$D,Donations!$G:$G,$A60,Donations!$F:$F,"&gt;="&amp;'Daily Challenges'!$C$10,Donations!$F:$F,"&lt;="&amp;'Daily Challenges'!$D$10))</f>
        <v/>
      </c>
      <c r="J60" s="38">
        <f>IF($A60="","",SUMIFS(Donations!$D:$D,Donations!$G:$G,$A60,Donations!$F:$F,"&lt;="&amp;'Daily Challenges'!$D$12))</f>
        <v/>
      </c>
    </row>
    <row r="61">
      <c r="A61" s="32" t="inlineStr">
        <is>
          <t>Harper Morales</t>
        </is>
      </c>
      <c r="B61" s="32" t="inlineStr">
        <is>
          <t>Mrs. Dominguez</t>
        </is>
      </c>
      <c r="C61" s="36" t="inlineStr">
        <is>
          <t>P4</t>
        </is>
      </c>
      <c r="D61" s="37">
        <f>IF(A61="","",SUMIFS(Donations!$D:$D,Donations!$G:$G,A61))</f>
        <v/>
      </c>
      <c r="E61" s="35">
        <f>IF(A61="","",IF(D61&gt;0,"Yes",""))</f>
        <v/>
      </c>
      <c r="F61" s="38">
        <f>IF($A61="","",SUMIFS(Donations!$D:$D,Donations!$G:$G,$A61,Donations!$F:$F,"&gt;="&amp;'Daily Challenges'!$C$7,Donations!$F:$F,"&lt;="&amp;'Daily Challenges'!$D$7))</f>
        <v/>
      </c>
      <c r="G61" s="38">
        <f>IF($A61="","",SUMIFS(Donations!$D:$D,Donations!$G:$G,$A61,Donations!$F:$F,"&gt;="&amp;'Daily Challenges'!$C$8,Donations!$F:$F,"&lt;="&amp;'Daily Challenges'!$D$8))</f>
        <v/>
      </c>
      <c r="H61" s="38">
        <f>IF($A61="","",SUMIFS(Donations!$D:$D,Donations!$G:$G,$A61,Donations!$F:$F,"&lt;="&amp;'Daily Challenges'!$D$9))</f>
        <v/>
      </c>
      <c r="I61" s="38">
        <f>IF($A61="","",SUMIFS(Donations!$D:$D,Donations!$G:$G,$A61,Donations!$F:$F,"&gt;="&amp;'Daily Challenges'!$C$10,Donations!$F:$F,"&lt;="&amp;'Daily Challenges'!$D$10))</f>
        <v/>
      </c>
      <c r="J61" s="38">
        <f>IF($A61="","",SUMIFS(Donations!$D:$D,Donations!$G:$G,$A61,Donations!$F:$F,"&lt;="&amp;'Daily Challenges'!$D$12))</f>
        <v/>
      </c>
    </row>
    <row r="62">
      <c r="A62" s="32" t="inlineStr">
        <is>
          <t>Joseph Williams</t>
        </is>
      </c>
      <c r="B62" s="32" t="inlineStr">
        <is>
          <t>Mrs. Dominguez</t>
        </is>
      </c>
      <c r="C62" s="36" t="inlineStr">
        <is>
          <t>P4</t>
        </is>
      </c>
      <c r="D62" s="37">
        <f>IF(A62="","",SUMIFS(Donations!$D:$D,Donations!$G:$G,A62))</f>
        <v/>
      </c>
      <c r="E62" s="35">
        <f>IF(A62="","",IF(D62&gt;0,"Yes",""))</f>
        <v/>
      </c>
      <c r="F62" s="38">
        <f>IF($A62="","",SUMIFS(Donations!$D:$D,Donations!$G:$G,$A62,Donations!$F:$F,"&gt;="&amp;'Daily Challenges'!$C$7,Donations!$F:$F,"&lt;="&amp;'Daily Challenges'!$D$7))</f>
        <v/>
      </c>
      <c r="G62" s="38">
        <f>IF($A62="","",SUMIFS(Donations!$D:$D,Donations!$G:$G,$A62,Donations!$F:$F,"&gt;="&amp;'Daily Challenges'!$C$8,Donations!$F:$F,"&lt;="&amp;'Daily Challenges'!$D$8))</f>
        <v/>
      </c>
      <c r="H62" s="38">
        <f>IF($A62="","",SUMIFS(Donations!$D:$D,Donations!$G:$G,$A62,Donations!$F:$F,"&lt;="&amp;'Daily Challenges'!$D$9))</f>
        <v/>
      </c>
      <c r="I62" s="38">
        <f>IF($A62="","",SUMIFS(Donations!$D:$D,Donations!$G:$G,$A62,Donations!$F:$F,"&gt;="&amp;'Daily Challenges'!$C$10,Donations!$F:$F,"&lt;="&amp;'Daily Challenges'!$D$10))</f>
        <v/>
      </c>
      <c r="J62" s="38">
        <f>IF($A62="","",SUMIFS(Donations!$D:$D,Donations!$G:$G,$A62,Donations!$F:$F,"&lt;="&amp;'Daily Challenges'!$D$12))</f>
        <v/>
      </c>
    </row>
    <row r="63">
      <c r="A63" s="32" t="inlineStr">
        <is>
          <t>Lily Patel</t>
        </is>
      </c>
      <c r="B63" s="32" t="inlineStr">
        <is>
          <t>Mrs. Dominguez</t>
        </is>
      </c>
      <c r="C63" s="36" t="inlineStr">
        <is>
          <t>P4</t>
        </is>
      </c>
      <c r="D63" s="37">
        <f>IF(A63="","",SUMIFS(Donations!$D:$D,Donations!$G:$G,A63))</f>
        <v/>
      </c>
      <c r="E63" s="35">
        <f>IF(A63="","",IF(D63&gt;0,"Yes",""))</f>
        <v/>
      </c>
      <c r="F63" s="38">
        <f>IF($A63="","",SUMIFS(Donations!$D:$D,Donations!$G:$G,$A63,Donations!$F:$F,"&gt;="&amp;'Daily Challenges'!$C$7,Donations!$F:$F,"&lt;="&amp;'Daily Challenges'!$D$7))</f>
        <v/>
      </c>
      <c r="G63" s="38">
        <f>IF($A63="","",SUMIFS(Donations!$D:$D,Donations!$G:$G,$A63,Donations!$F:$F,"&gt;="&amp;'Daily Challenges'!$C$8,Donations!$F:$F,"&lt;="&amp;'Daily Challenges'!$D$8))</f>
        <v/>
      </c>
      <c r="H63" s="38">
        <f>IF($A63="","",SUMIFS(Donations!$D:$D,Donations!$G:$G,$A63,Donations!$F:$F,"&lt;="&amp;'Daily Challenges'!$D$9))</f>
        <v/>
      </c>
      <c r="I63" s="38">
        <f>IF($A63="","",SUMIFS(Donations!$D:$D,Donations!$G:$G,$A63,Donations!$F:$F,"&gt;="&amp;'Daily Challenges'!$C$10,Donations!$F:$F,"&lt;="&amp;'Daily Challenges'!$D$10))</f>
        <v/>
      </c>
      <c r="J63" s="38">
        <f>IF($A63="","",SUMIFS(Donations!$D:$D,Donations!$G:$G,$A63,Donations!$F:$F,"&lt;="&amp;'Daily Challenges'!$D$12))</f>
        <v/>
      </c>
    </row>
    <row r="64">
      <c r="A64" s="32" t="inlineStr">
        <is>
          <t>Amelia Castillo</t>
        </is>
      </c>
      <c r="B64" s="32" t="inlineStr">
        <is>
          <t>Mrs. Dominguez</t>
        </is>
      </c>
      <c r="C64" s="36" t="inlineStr">
        <is>
          <t>P4</t>
        </is>
      </c>
      <c r="D64" s="37">
        <f>IF(A64="","",SUMIFS(Donations!$D:$D,Donations!$G:$G,A64))</f>
        <v/>
      </c>
      <c r="E64" s="35">
        <f>IF(A64="","",IF(D64&gt;0,"Yes",""))</f>
        <v/>
      </c>
      <c r="F64" s="38">
        <f>IF($A64="","",SUMIFS(Donations!$D:$D,Donations!$G:$G,$A64,Donations!$F:$F,"&gt;="&amp;'Daily Challenges'!$C$7,Donations!$F:$F,"&lt;="&amp;'Daily Challenges'!$D$7))</f>
        <v/>
      </c>
      <c r="G64" s="38">
        <f>IF($A64="","",SUMIFS(Donations!$D:$D,Donations!$G:$G,$A64,Donations!$F:$F,"&gt;="&amp;'Daily Challenges'!$C$8,Donations!$F:$F,"&lt;="&amp;'Daily Challenges'!$D$8))</f>
        <v/>
      </c>
      <c r="H64" s="38">
        <f>IF($A64="","",SUMIFS(Donations!$D:$D,Donations!$G:$G,$A64,Donations!$F:$F,"&lt;="&amp;'Daily Challenges'!$D$9))</f>
        <v/>
      </c>
      <c r="I64" s="38">
        <f>IF($A64="","",SUMIFS(Donations!$D:$D,Donations!$G:$G,$A64,Donations!$F:$F,"&gt;="&amp;'Daily Challenges'!$C$10,Donations!$F:$F,"&lt;="&amp;'Daily Challenges'!$D$10))</f>
        <v/>
      </c>
      <c r="J64" s="38">
        <f>IF($A64="","",SUMIFS(Donations!$D:$D,Donations!$G:$G,$A64,Donations!$F:$F,"&lt;="&amp;'Daily Challenges'!$D$12))</f>
        <v/>
      </c>
    </row>
    <row r="65">
      <c r="A65" s="32" t="inlineStr">
        <is>
          <t>Noah Mendoza</t>
        </is>
      </c>
      <c r="B65" s="32" t="inlineStr">
        <is>
          <t>Mrs. Dominguez</t>
        </is>
      </c>
      <c r="C65" s="36" t="inlineStr">
        <is>
          <t>P4</t>
        </is>
      </c>
      <c r="D65" s="37">
        <f>IF(A65="","",SUMIFS(Donations!$D:$D,Donations!$G:$G,A65))</f>
        <v/>
      </c>
      <c r="E65" s="35">
        <f>IF(A65="","",IF(D65&gt;0,"Yes",""))</f>
        <v/>
      </c>
      <c r="F65" s="38">
        <f>IF($A65="","",SUMIFS(Donations!$D:$D,Donations!$G:$G,$A65,Donations!$F:$F,"&gt;="&amp;'Daily Challenges'!$C$7,Donations!$F:$F,"&lt;="&amp;'Daily Challenges'!$D$7))</f>
        <v/>
      </c>
      <c r="G65" s="38">
        <f>IF($A65="","",SUMIFS(Donations!$D:$D,Donations!$G:$G,$A65,Donations!$F:$F,"&gt;="&amp;'Daily Challenges'!$C$8,Donations!$F:$F,"&lt;="&amp;'Daily Challenges'!$D$8))</f>
        <v/>
      </c>
      <c r="H65" s="38">
        <f>IF($A65="","",SUMIFS(Donations!$D:$D,Donations!$G:$G,$A65,Donations!$F:$F,"&lt;="&amp;'Daily Challenges'!$D$9))</f>
        <v/>
      </c>
      <c r="I65" s="38">
        <f>IF($A65="","",SUMIFS(Donations!$D:$D,Donations!$G:$G,$A65,Donations!$F:$F,"&gt;="&amp;'Daily Challenges'!$C$10,Donations!$F:$F,"&lt;="&amp;'Daily Challenges'!$D$10))</f>
        <v/>
      </c>
      <c r="J65" s="38">
        <f>IF($A65="","",SUMIFS(Donations!$D:$D,Donations!$G:$G,$A65,Donations!$F:$F,"&lt;="&amp;'Daily Challenges'!$D$12))</f>
        <v/>
      </c>
    </row>
    <row r="66">
      <c r="A66" s="32" t="inlineStr">
        <is>
          <t>Zoe Smith</t>
        </is>
      </c>
      <c r="B66" s="32" t="inlineStr">
        <is>
          <t>Ms. Ellison</t>
        </is>
      </c>
      <c r="C66" s="36" t="inlineStr">
        <is>
          <t>K</t>
        </is>
      </c>
      <c r="D66" s="37">
        <f>IF(A66="","",SUMIFS(Donations!$D:$D,Donations!$G:$G,A66))</f>
        <v/>
      </c>
      <c r="E66" s="35">
        <f>IF(A66="","",IF(D66&gt;0,"Yes",""))</f>
        <v/>
      </c>
      <c r="F66" s="38">
        <f>IF($A66="","",SUMIFS(Donations!$D:$D,Donations!$G:$G,$A66,Donations!$F:$F,"&gt;="&amp;'Daily Challenges'!$C$7,Donations!$F:$F,"&lt;="&amp;'Daily Challenges'!$D$7))</f>
        <v/>
      </c>
      <c r="G66" s="38">
        <f>IF($A66="","",SUMIFS(Donations!$D:$D,Donations!$G:$G,$A66,Donations!$F:$F,"&gt;="&amp;'Daily Challenges'!$C$8,Donations!$F:$F,"&lt;="&amp;'Daily Challenges'!$D$8))</f>
        <v/>
      </c>
      <c r="H66" s="38">
        <f>IF($A66="","",SUMIFS(Donations!$D:$D,Donations!$G:$G,$A66,Donations!$F:$F,"&lt;="&amp;'Daily Challenges'!$D$9))</f>
        <v/>
      </c>
      <c r="I66" s="38">
        <f>IF($A66="","",SUMIFS(Donations!$D:$D,Donations!$G:$G,$A66,Donations!$F:$F,"&gt;="&amp;'Daily Challenges'!$C$10,Donations!$F:$F,"&lt;="&amp;'Daily Challenges'!$D$10))</f>
        <v/>
      </c>
      <c r="J66" s="38">
        <f>IF($A66="","",SUMIFS(Donations!$D:$D,Donations!$G:$G,$A66,Donations!$F:$F,"&lt;="&amp;'Daily Challenges'!$D$12))</f>
        <v/>
      </c>
    </row>
    <row r="67">
      <c r="A67" s="32" t="inlineStr">
        <is>
          <t>Thomas Diaz</t>
        </is>
      </c>
      <c r="B67" s="32" t="inlineStr">
        <is>
          <t>Ms. Ellison</t>
        </is>
      </c>
      <c r="C67" s="36" t="inlineStr">
        <is>
          <t>K</t>
        </is>
      </c>
      <c r="D67" s="37">
        <f>IF(A67="","",SUMIFS(Donations!$D:$D,Donations!$G:$G,A67))</f>
        <v/>
      </c>
      <c r="E67" s="35">
        <f>IF(A67="","",IF(D67&gt;0,"Yes",""))</f>
        <v/>
      </c>
      <c r="F67" s="38">
        <f>IF($A67="","",SUMIFS(Donations!$D:$D,Donations!$G:$G,$A67,Donations!$F:$F,"&gt;="&amp;'Daily Challenges'!$C$7,Donations!$F:$F,"&lt;="&amp;'Daily Challenges'!$D$7))</f>
        <v/>
      </c>
      <c r="G67" s="38">
        <f>IF($A67="","",SUMIFS(Donations!$D:$D,Donations!$G:$G,$A67,Donations!$F:$F,"&gt;="&amp;'Daily Challenges'!$C$8,Donations!$F:$F,"&lt;="&amp;'Daily Challenges'!$D$8))</f>
        <v/>
      </c>
      <c r="H67" s="38">
        <f>IF($A67="","",SUMIFS(Donations!$D:$D,Donations!$G:$G,$A67,Donations!$F:$F,"&lt;="&amp;'Daily Challenges'!$D$9))</f>
        <v/>
      </c>
      <c r="I67" s="38">
        <f>IF($A67="","",SUMIFS(Donations!$D:$D,Donations!$G:$G,$A67,Donations!$F:$F,"&gt;="&amp;'Daily Challenges'!$C$10,Donations!$F:$F,"&lt;="&amp;'Daily Challenges'!$D$10))</f>
        <v/>
      </c>
      <c r="J67" s="38">
        <f>IF($A67="","",SUMIFS(Donations!$D:$D,Donations!$G:$G,$A67,Donations!$F:$F,"&lt;="&amp;'Daily Challenges'!$D$12))</f>
        <v/>
      </c>
    </row>
    <row r="68">
      <c r="A68" s="32" t="inlineStr">
        <is>
          <t>Valentina Ramirez</t>
        </is>
      </c>
      <c r="B68" s="32" t="inlineStr">
        <is>
          <t>Ms. Ellison</t>
        </is>
      </c>
      <c r="C68" s="36" t="inlineStr">
        <is>
          <t>K</t>
        </is>
      </c>
      <c r="D68" s="37">
        <f>IF(A68="","",SUMIFS(Donations!$D:$D,Donations!$G:$G,A68))</f>
        <v/>
      </c>
      <c r="E68" s="35">
        <f>IF(A68="","",IF(D68&gt;0,"Yes",""))</f>
        <v/>
      </c>
      <c r="F68" s="38">
        <f>IF($A68="","",SUMIFS(Donations!$D:$D,Donations!$G:$G,$A68,Donations!$F:$F,"&gt;="&amp;'Daily Challenges'!$C$7,Donations!$F:$F,"&lt;="&amp;'Daily Challenges'!$D$7))</f>
        <v/>
      </c>
      <c r="G68" s="38">
        <f>IF($A68="","",SUMIFS(Donations!$D:$D,Donations!$G:$G,$A68,Donations!$F:$F,"&gt;="&amp;'Daily Challenges'!$C$8,Donations!$F:$F,"&lt;="&amp;'Daily Challenges'!$D$8))</f>
        <v/>
      </c>
      <c r="H68" s="38">
        <f>IF($A68="","",SUMIFS(Donations!$D:$D,Donations!$G:$G,$A68,Donations!$F:$F,"&lt;="&amp;'Daily Challenges'!$D$9))</f>
        <v/>
      </c>
      <c r="I68" s="38">
        <f>IF($A68="","",SUMIFS(Donations!$D:$D,Donations!$G:$G,$A68,Donations!$F:$F,"&gt;="&amp;'Daily Challenges'!$C$10,Donations!$F:$F,"&lt;="&amp;'Daily Challenges'!$D$10))</f>
        <v/>
      </c>
      <c r="J68" s="38">
        <f>IF($A68="","",SUMIFS(Donations!$D:$D,Donations!$G:$G,$A68,Donations!$F:$F,"&lt;="&amp;'Daily Challenges'!$D$12))</f>
        <v/>
      </c>
    </row>
    <row r="69">
      <c r="A69" s="32" t="inlineStr">
        <is>
          <t>Grace Gonzalez</t>
        </is>
      </c>
      <c r="B69" s="32" t="inlineStr">
        <is>
          <t>Ms. Ellison</t>
        </is>
      </c>
      <c r="C69" s="36" t="inlineStr">
        <is>
          <t>K</t>
        </is>
      </c>
      <c r="D69" s="37">
        <f>IF(A69="","",SUMIFS(Donations!$D:$D,Donations!$G:$G,A69))</f>
        <v/>
      </c>
      <c r="E69" s="35">
        <f>IF(A69="","",IF(D69&gt;0,"Yes",""))</f>
        <v/>
      </c>
      <c r="F69" s="38">
        <f>IF($A69="","",SUMIFS(Donations!$D:$D,Donations!$G:$G,$A69,Donations!$F:$F,"&gt;="&amp;'Daily Challenges'!$C$7,Donations!$F:$F,"&lt;="&amp;'Daily Challenges'!$D$7))</f>
        <v/>
      </c>
      <c r="G69" s="38">
        <f>IF($A69="","",SUMIFS(Donations!$D:$D,Donations!$G:$G,$A69,Donations!$F:$F,"&gt;="&amp;'Daily Challenges'!$C$8,Donations!$F:$F,"&lt;="&amp;'Daily Challenges'!$D$8))</f>
        <v/>
      </c>
      <c r="H69" s="38">
        <f>IF($A69="","",SUMIFS(Donations!$D:$D,Donations!$G:$G,$A69,Donations!$F:$F,"&lt;="&amp;'Daily Challenges'!$D$9))</f>
        <v/>
      </c>
      <c r="I69" s="38">
        <f>IF($A69="","",SUMIFS(Donations!$D:$D,Donations!$G:$G,$A69,Donations!$F:$F,"&gt;="&amp;'Daily Challenges'!$C$10,Donations!$F:$F,"&lt;="&amp;'Daily Challenges'!$D$10))</f>
        <v/>
      </c>
      <c r="J69" s="38">
        <f>IF($A69="","",SUMIFS(Donations!$D:$D,Donations!$G:$G,$A69,Donations!$F:$F,"&lt;="&amp;'Daily Challenges'!$D$12))</f>
        <v/>
      </c>
    </row>
    <row r="70">
      <c r="A70" s="32" t="inlineStr">
        <is>
          <t>Lily Garcia</t>
        </is>
      </c>
      <c r="B70" s="32" t="inlineStr">
        <is>
          <t>Ms. Ellison</t>
        </is>
      </c>
      <c r="C70" s="36" t="inlineStr">
        <is>
          <t>K</t>
        </is>
      </c>
      <c r="D70" s="37">
        <f>IF(A70="","",SUMIFS(Donations!$D:$D,Donations!$G:$G,A70))</f>
        <v/>
      </c>
      <c r="E70" s="35">
        <f>IF(A70="","",IF(D70&gt;0,"Yes",""))</f>
        <v/>
      </c>
      <c r="F70" s="38">
        <f>IF($A70="","",SUMIFS(Donations!$D:$D,Donations!$G:$G,$A70,Donations!$F:$F,"&gt;="&amp;'Daily Challenges'!$C$7,Donations!$F:$F,"&lt;="&amp;'Daily Challenges'!$D$7))</f>
        <v/>
      </c>
      <c r="G70" s="38">
        <f>IF($A70="","",SUMIFS(Donations!$D:$D,Donations!$G:$G,$A70,Donations!$F:$F,"&gt;="&amp;'Daily Challenges'!$C$8,Donations!$F:$F,"&lt;="&amp;'Daily Challenges'!$D$8))</f>
        <v/>
      </c>
      <c r="H70" s="38">
        <f>IF($A70="","",SUMIFS(Donations!$D:$D,Donations!$G:$G,$A70,Donations!$F:$F,"&lt;="&amp;'Daily Challenges'!$D$9))</f>
        <v/>
      </c>
      <c r="I70" s="38">
        <f>IF($A70="","",SUMIFS(Donations!$D:$D,Donations!$G:$G,$A70,Donations!$F:$F,"&gt;="&amp;'Daily Challenges'!$C$10,Donations!$F:$F,"&lt;="&amp;'Daily Challenges'!$D$10))</f>
        <v/>
      </c>
      <c r="J70" s="38">
        <f>IF($A70="","",SUMIFS(Donations!$D:$D,Donations!$G:$G,$A70,Donations!$F:$F,"&lt;="&amp;'Daily Challenges'!$D$12))</f>
        <v/>
      </c>
    </row>
    <row r="71">
      <c r="A71" s="32" t="inlineStr">
        <is>
          <t>Lucas Garcia</t>
        </is>
      </c>
      <c r="B71" s="32" t="inlineStr">
        <is>
          <t>Ms. Ellison</t>
        </is>
      </c>
      <c r="C71" s="36" t="inlineStr">
        <is>
          <t>K</t>
        </is>
      </c>
      <c r="D71" s="37">
        <f>IF(A71="","",SUMIFS(Donations!$D:$D,Donations!$G:$G,A71))</f>
        <v/>
      </c>
      <c r="E71" s="35">
        <f>IF(A71="","",IF(D71&gt;0,"Yes",""))</f>
        <v/>
      </c>
      <c r="F71" s="38">
        <f>IF($A71="","",SUMIFS(Donations!$D:$D,Donations!$G:$G,$A71,Donations!$F:$F,"&gt;="&amp;'Daily Challenges'!$C$7,Donations!$F:$F,"&lt;="&amp;'Daily Challenges'!$D$7))</f>
        <v/>
      </c>
      <c r="G71" s="38">
        <f>IF($A71="","",SUMIFS(Donations!$D:$D,Donations!$G:$G,$A71,Donations!$F:$F,"&gt;="&amp;'Daily Challenges'!$C$8,Donations!$F:$F,"&lt;="&amp;'Daily Challenges'!$D$8))</f>
        <v/>
      </c>
      <c r="H71" s="38">
        <f>IF($A71="","",SUMIFS(Donations!$D:$D,Donations!$G:$G,$A71,Donations!$F:$F,"&lt;="&amp;'Daily Challenges'!$D$9))</f>
        <v/>
      </c>
      <c r="I71" s="38">
        <f>IF($A71="","",SUMIFS(Donations!$D:$D,Donations!$G:$G,$A71,Donations!$F:$F,"&gt;="&amp;'Daily Challenges'!$C$10,Donations!$F:$F,"&lt;="&amp;'Daily Challenges'!$D$10))</f>
        <v/>
      </c>
      <c r="J71" s="38">
        <f>IF($A71="","",SUMIFS(Donations!$D:$D,Donations!$G:$G,$A71,Donations!$F:$F,"&lt;="&amp;'Daily Challenges'!$D$12))</f>
        <v/>
      </c>
    </row>
    <row r="72">
      <c r="A72" s="32" t="inlineStr">
        <is>
          <t>Lily Walsh</t>
        </is>
      </c>
      <c r="B72" s="32" t="inlineStr">
        <is>
          <t>Ms. Ellison</t>
        </is>
      </c>
      <c r="C72" s="36" t="inlineStr">
        <is>
          <t>K</t>
        </is>
      </c>
      <c r="D72" s="37">
        <f>IF(A72="","",SUMIFS(Donations!$D:$D,Donations!$G:$G,A72))</f>
        <v/>
      </c>
      <c r="E72" s="35">
        <f>IF(A72="","",IF(D72&gt;0,"Yes",""))</f>
        <v/>
      </c>
      <c r="F72" s="38">
        <f>IF($A72="","",SUMIFS(Donations!$D:$D,Donations!$G:$G,$A72,Donations!$F:$F,"&gt;="&amp;'Daily Challenges'!$C$7,Donations!$F:$F,"&lt;="&amp;'Daily Challenges'!$D$7))</f>
        <v/>
      </c>
      <c r="G72" s="38">
        <f>IF($A72="","",SUMIFS(Donations!$D:$D,Donations!$G:$G,$A72,Donations!$F:$F,"&gt;="&amp;'Daily Challenges'!$C$8,Donations!$F:$F,"&lt;="&amp;'Daily Challenges'!$D$8))</f>
        <v/>
      </c>
      <c r="H72" s="38">
        <f>IF($A72="","",SUMIFS(Donations!$D:$D,Donations!$G:$G,$A72,Donations!$F:$F,"&lt;="&amp;'Daily Challenges'!$D$9))</f>
        <v/>
      </c>
      <c r="I72" s="38">
        <f>IF($A72="","",SUMIFS(Donations!$D:$D,Donations!$G:$G,$A72,Donations!$F:$F,"&gt;="&amp;'Daily Challenges'!$C$10,Donations!$F:$F,"&lt;="&amp;'Daily Challenges'!$D$10))</f>
        <v/>
      </c>
      <c r="J72" s="38">
        <f>IF($A72="","",SUMIFS(Donations!$D:$D,Donations!$G:$G,$A72,Donations!$F:$F,"&lt;="&amp;'Daily Challenges'!$D$12))</f>
        <v/>
      </c>
    </row>
    <row r="73">
      <c r="A73" s="32" t="inlineStr">
        <is>
          <t>Aria Johnson</t>
        </is>
      </c>
      <c r="B73" s="32" t="inlineStr">
        <is>
          <t>Ms. Ellison</t>
        </is>
      </c>
      <c r="C73" s="36" t="inlineStr">
        <is>
          <t>K</t>
        </is>
      </c>
      <c r="D73" s="37">
        <f>IF(A73="","",SUMIFS(Donations!$D:$D,Donations!$G:$G,A73))</f>
        <v/>
      </c>
      <c r="E73" s="35">
        <f>IF(A73="","",IF(D73&gt;0,"Yes",""))</f>
        <v/>
      </c>
      <c r="F73" s="38">
        <f>IF($A73="","",SUMIFS(Donations!$D:$D,Donations!$G:$G,$A73,Donations!$F:$F,"&gt;="&amp;'Daily Challenges'!$C$7,Donations!$F:$F,"&lt;="&amp;'Daily Challenges'!$D$7))</f>
        <v/>
      </c>
      <c r="G73" s="38">
        <f>IF($A73="","",SUMIFS(Donations!$D:$D,Donations!$G:$G,$A73,Donations!$F:$F,"&gt;="&amp;'Daily Challenges'!$C$8,Donations!$F:$F,"&lt;="&amp;'Daily Challenges'!$D$8))</f>
        <v/>
      </c>
      <c r="H73" s="38">
        <f>IF($A73="","",SUMIFS(Donations!$D:$D,Donations!$G:$G,$A73,Donations!$F:$F,"&lt;="&amp;'Daily Challenges'!$D$9))</f>
        <v/>
      </c>
      <c r="I73" s="38">
        <f>IF($A73="","",SUMIFS(Donations!$D:$D,Donations!$G:$G,$A73,Donations!$F:$F,"&gt;="&amp;'Daily Challenges'!$C$10,Donations!$F:$F,"&lt;="&amp;'Daily Challenges'!$D$10))</f>
        <v/>
      </c>
      <c r="J73" s="38">
        <f>IF($A73="","",SUMIFS(Donations!$D:$D,Donations!$G:$G,$A73,Donations!$F:$F,"&lt;="&amp;'Daily Challenges'!$D$12))</f>
        <v/>
      </c>
    </row>
    <row r="74">
      <c r="A74" s="32" t="inlineStr">
        <is>
          <t>Nicolas Ramirez</t>
        </is>
      </c>
      <c r="B74" s="32" t="inlineStr">
        <is>
          <t>Ms. Ellison</t>
        </is>
      </c>
      <c r="C74" s="36" t="inlineStr">
        <is>
          <t>K</t>
        </is>
      </c>
      <c r="D74" s="37">
        <f>IF(A74="","",SUMIFS(Donations!$D:$D,Donations!$G:$G,A74))</f>
        <v/>
      </c>
      <c r="E74" s="35">
        <f>IF(A74="","",IF(D74&gt;0,"Yes",""))</f>
        <v/>
      </c>
      <c r="F74" s="38">
        <f>IF($A74="","",SUMIFS(Donations!$D:$D,Donations!$G:$G,$A74,Donations!$F:$F,"&gt;="&amp;'Daily Challenges'!$C$7,Donations!$F:$F,"&lt;="&amp;'Daily Challenges'!$D$7))</f>
        <v/>
      </c>
      <c r="G74" s="38">
        <f>IF($A74="","",SUMIFS(Donations!$D:$D,Donations!$G:$G,$A74,Donations!$F:$F,"&gt;="&amp;'Daily Challenges'!$C$8,Donations!$F:$F,"&lt;="&amp;'Daily Challenges'!$D$8))</f>
        <v/>
      </c>
      <c r="H74" s="38">
        <f>IF($A74="","",SUMIFS(Donations!$D:$D,Donations!$G:$G,$A74,Donations!$F:$F,"&lt;="&amp;'Daily Challenges'!$D$9))</f>
        <v/>
      </c>
      <c r="I74" s="38">
        <f>IF($A74="","",SUMIFS(Donations!$D:$D,Donations!$G:$G,$A74,Donations!$F:$F,"&gt;="&amp;'Daily Challenges'!$C$10,Donations!$F:$F,"&lt;="&amp;'Daily Challenges'!$D$10))</f>
        <v/>
      </c>
      <c r="J74" s="38">
        <f>IF($A74="","",SUMIFS(Donations!$D:$D,Donations!$G:$G,$A74,Donations!$F:$F,"&lt;="&amp;'Daily Challenges'!$D$12))</f>
        <v/>
      </c>
    </row>
    <row r="75">
      <c r="A75" s="32" t="inlineStr">
        <is>
          <t>James Brown</t>
        </is>
      </c>
      <c r="B75" s="32" t="inlineStr">
        <is>
          <t>Ms. Ellison</t>
        </is>
      </c>
      <c r="C75" s="36" t="inlineStr">
        <is>
          <t>K</t>
        </is>
      </c>
      <c r="D75" s="37">
        <f>IF(A75="","",SUMIFS(Donations!$D:$D,Donations!$G:$G,A75))</f>
        <v/>
      </c>
      <c r="E75" s="35">
        <f>IF(A75="","",IF(D75&gt;0,"Yes",""))</f>
        <v/>
      </c>
      <c r="F75" s="38">
        <f>IF($A75="","",SUMIFS(Donations!$D:$D,Donations!$G:$G,$A75,Donations!$F:$F,"&gt;="&amp;'Daily Challenges'!$C$7,Donations!$F:$F,"&lt;="&amp;'Daily Challenges'!$D$7))</f>
        <v/>
      </c>
      <c r="G75" s="38">
        <f>IF($A75="","",SUMIFS(Donations!$D:$D,Donations!$G:$G,$A75,Donations!$F:$F,"&gt;="&amp;'Daily Challenges'!$C$8,Donations!$F:$F,"&lt;="&amp;'Daily Challenges'!$D$8))</f>
        <v/>
      </c>
      <c r="H75" s="38">
        <f>IF($A75="","",SUMIFS(Donations!$D:$D,Donations!$G:$G,$A75,Donations!$F:$F,"&lt;="&amp;'Daily Challenges'!$D$9))</f>
        <v/>
      </c>
      <c r="I75" s="38">
        <f>IF($A75="","",SUMIFS(Donations!$D:$D,Donations!$G:$G,$A75,Donations!$F:$F,"&gt;="&amp;'Daily Challenges'!$C$10,Donations!$F:$F,"&lt;="&amp;'Daily Challenges'!$D$10))</f>
        <v/>
      </c>
      <c r="J75" s="38">
        <f>IF($A75="","",SUMIFS(Donations!$D:$D,Donations!$G:$G,$A75,Donations!$F:$F,"&lt;="&amp;'Daily Challenges'!$D$12))</f>
        <v/>
      </c>
    </row>
    <row r="76">
      <c r="A76" s="32" t="inlineStr">
        <is>
          <t>Nicolas Lopez</t>
        </is>
      </c>
      <c r="B76" s="32" t="inlineStr">
        <is>
          <t>Ms. Ellison</t>
        </is>
      </c>
      <c r="C76" s="36" t="inlineStr">
        <is>
          <t>K</t>
        </is>
      </c>
      <c r="D76" s="37">
        <f>IF(A76="","",SUMIFS(Donations!$D:$D,Donations!$G:$G,A76))</f>
        <v/>
      </c>
      <c r="E76" s="35">
        <f>IF(A76="","",IF(D76&gt;0,"Yes",""))</f>
        <v/>
      </c>
      <c r="F76" s="38">
        <f>IF($A76="","",SUMIFS(Donations!$D:$D,Donations!$G:$G,$A76,Donations!$F:$F,"&gt;="&amp;'Daily Challenges'!$C$7,Donations!$F:$F,"&lt;="&amp;'Daily Challenges'!$D$7))</f>
        <v/>
      </c>
      <c r="G76" s="38">
        <f>IF($A76="","",SUMIFS(Donations!$D:$D,Donations!$G:$G,$A76,Donations!$F:$F,"&gt;="&amp;'Daily Challenges'!$C$8,Donations!$F:$F,"&lt;="&amp;'Daily Challenges'!$D$8))</f>
        <v/>
      </c>
      <c r="H76" s="38">
        <f>IF($A76="","",SUMIFS(Donations!$D:$D,Donations!$G:$G,$A76,Donations!$F:$F,"&lt;="&amp;'Daily Challenges'!$D$9))</f>
        <v/>
      </c>
      <c r="I76" s="38">
        <f>IF($A76="","",SUMIFS(Donations!$D:$D,Donations!$G:$G,$A76,Donations!$F:$F,"&gt;="&amp;'Daily Challenges'!$C$10,Donations!$F:$F,"&lt;="&amp;'Daily Challenges'!$D$10))</f>
        <v/>
      </c>
      <c r="J76" s="38">
        <f>IF($A76="","",SUMIFS(Donations!$D:$D,Donations!$G:$G,$A76,Donations!$F:$F,"&lt;="&amp;'Daily Challenges'!$D$12))</f>
        <v/>
      </c>
    </row>
    <row r="77">
      <c r="A77" s="32" t="inlineStr">
        <is>
          <t>Aria Diaz</t>
        </is>
      </c>
      <c r="B77" s="32" t="inlineStr">
        <is>
          <t>Ms. Ellison</t>
        </is>
      </c>
      <c r="C77" s="36" t="inlineStr">
        <is>
          <t>K</t>
        </is>
      </c>
      <c r="D77" s="37">
        <f>IF(A77="","",SUMIFS(Donations!$D:$D,Donations!$G:$G,A77))</f>
        <v/>
      </c>
      <c r="E77" s="35">
        <f>IF(A77="","",IF(D77&gt;0,"Yes",""))</f>
        <v/>
      </c>
      <c r="F77" s="38">
        <f>IF($A77="","",SUMIFS(Donations!$D:$D,Donations!$G:$G,$A77,Donations!$F:$F,"&gt;="&amp;'Daily Challenges'!$C$7,Donations!$F:$F,"&lt;="&amp;'Daily Challenges'!$D$7))</f>
        <v/>
      </c>
      <c r="G77" s="38">
        <f>IF($A77="","",SUMIFS(Donations!$D:$D,Donations!$G:$G,$A77,Donations!$F:$F,"&gt;="&amp;'Daily Challenges'!$C$8,Donations!$F:$F,"&lt;="&amp;'Daily Challenges'!$D$8))</f>
        <v/>
      </c>
      <c r="H77" s="38">
        <f>IF($A77="","",SUMIFS(Donations!$D:$D,Donations!$G:$G,$A77,Donations!$F:$F,"&lt;="&amp;'Daily Challenges'!$D$9))</f>
        <v/>
      </c>
      <c r="I77" s="38">
        <f>IF($A77="","",SUMIFS(Donations!$D:$D,Donations!$G:$G,$A77,Donations!$F:$F,"&gt;="&amp;'Daily Challenges'!$C$10,Donations!$F:$F,"&lt;="&amp;'Daily Challenges'!$D$10))</f>
        <v/>
      </c>
      <c r="J77" s="38">
        <f>IF($A77="","",SUMIFS(Donations!$D:$D,Donations!$G:$G,$A77,Donations!$F:$F,"&lt;="&amp;'Daily Challenges'!$D$12))</f>
        <v/>
      </c>
    </row>
    <row r="78">
      <c r="A78" s="32" t="inlineStr">
        <is>
          <t>Clara Gutierrez</t>
        </is>
      </c>
      <c r="B78" s="32" t="inlineStr">
        <is>
          <t>Ms. Ellison</t>
        </is>
      </c>
      <c r="C78" s="36" t="inlineStr">
        <is>
          <t>K</t>
        </is>
      </c>
      <c r="D78" s="37">
        <f>IF(A78="","",SUMIFS(Donations!$D:$D,Donations!$G:$G,A78))</f>
        <v/>
      </c>
      <c r="E78" s="35">
        <f>IF(A78="","",IF(D78&gt;0,"Yes",""))</f>
        <v/>
      </c>
      <c r="F78" s="38">
        <f>IF($A78="","",SUMIFS(Donations!$D:$D,Donations!$G:$G,$A78,Donations!$F:$F,"&gt;="&amp;'Daily Challenges'!$C$7,Donations!$F:$F,"&lt;="&amp;'Daily Challenges'!$D$7))</f>
        <v/>
      </c>
      <c r="G78" s="38">
        <f>IF($A78="","",SUMIFS(Donations!$D:$D,Donations!$G:$G,$A78,Donations!$F:$F,"&gt;="&amp;'Daily Challenges'!$C$8,Donations!$F:$F,"&lt;="&amp;'Daily Challenges'!$D$8))</f>
        <v/>
      </c>
      <c r="H78" s="38">
        <f>IF($A78="","",SUMIFS(Donations!$D:$D,Donations!$G:$G,$A78,Donations!$F:$F,"&lt;="&amp;'Daily Challenges'!$D$9))</f>
        <v/>
      </c>
      <c r="I78" s="38">
        <f>IF($A78="","",SUMIFS(Donations!$D:$D,Donations!$G:$G,$A78,Donations!$F:$F,"&gt;="&amp;'Daily Challenges'!$C$10,Donations!$F:$F,"&lt;="&amp;'Daily Challenges'!$D$10))</f>
        <v/>
      </c>
      <c r="J78" s="38">
        <f>IF($A78="","",SUMIFS(Donations!$D:$D,Donations!$G:$G,$A78,Donations!$F:$F,"&lt;="&amp;'Daily Challenges'!$D$12))</f>
        <v/>
      </c>
    </row>
    <row r="79">
      <c r="A79" s="32" t="inlineStr">
        <is>
          <t>Liam Garcia</t>
        </is>
      </c>
      <c r="B79" s="32" t="inlineStr">
        <is>
          <t>Ms. Ellison</t>
        </is>
      </c>
      <c r="C79" s="36" t="inlineStr">
        <is>
          <t>K</t>
        </is>
      </c>
      <c r="D79" s="37">
        <f>IF(A79="","",SUMIFS(Donations!$D:$D,Donations!$G:$G,A79))</f>
        <v/>
      </c>
      <c r="E79" s="35">
        <f>IF(A79="","",IF(D79&gt;0,"Yes",""))</f>
        <v/>
      </c>
      <c r="F79" s="38">
        <f>IF($A79="","",SUMIFS(Donations!$D:$D,Donations!$G:$G,$A79,Donations!$F:$F,"&gt;="&amp;'Daily Challenges'!$C$7,Donations!$F:$F,"&lt;="&amp;'Daily Challenges'!$D$7))</f>
        <v/>
      </c>
      <c r="G79" s="38">
        <f>IF($A79="","",SUMIFS(Donations!$D:$D,Donations!$G:$G,$A79,Donations!$F:$F,"&gt;="&amp;'Daily Challenges'!$C$8,Donations!$F:$F,"&lt;="&amp;'Daily Challenges'!$D$8))</f>
        <v/>
      </c>
      <c r="H79" s="38">
        <f>IF($A79="","",SUMIFS(Donations!$D:$D,Donations!$G:$G,$A79,Donations!$F:$F,"&lt;="&amp;'Daily Challenges'!$D$9))</f>
        <v/>
      </c>
      <c r="I79" s="38">
        <f>IF($A79="","",SUMIFS(Donations!$D:$D,Donations!$G:$G,$A79,Donations!$F:$F,"&gt;="&amp;'Daily Challenges'!$C$10,Donations!$F:$F,"&lt;="&amp;'Daily Challenges'!$D$10))</f>
        <v/>
      </c>
      <c r="J79" s="38">
        <f>IF($A79="","",SUMIFS(Donations!$D:$D,Donations!$G:$G,$A79,Donations!$F:$F,"&lt;="&amp;'Daily Challenges'!$D$12))</f>
        <v/>
      </c>
    </row>
    <row r="80">
      <c r="A80" s="32" t="inlineStr">
        <is>
          <t>Evelyn Walsh</t>
        </is>
      </c>
      <c r="B80" s="32" t="inlineStr">
        <is>
          <t>Ms. Ellison</t>
        </is>
      </c>
      <c r="C80" s="36" t="inlineStr">
        <is>
          <t>K</t>
        </is>
      </c>
      <c r="D80" s="37">
        <f>IF(A80="","",SUMIFS(Donations!$D:$D,Donations!$G:$G,A80))</f>
        <v/>
      </c>
      <c r="E80" s="35">
        <f>IF(A80="","",IF(D80&gt;0,"Yes",""))</f>
        <v/>
      </c>
      <c r="F80" s="38">
        <f>IF($A80="","",SUMIFS(Donations!$D:$D,Donations!$G:$G,$A80,Donations!$F:$F,"&gt;="&amp;'Daily Challenges'!$C$7,Donations!$F:$F,"&lt;="&amp;'Daily Challenges'!$D$7))</f>
        <v/>
      </c>
      <c r="G80" s="38">
        <f>IF($A80="","",SUMIFS(Donations!$D:$D,Donations!$G:$G,$A80,Donations!$F:$F,"&gt;="&amp;'Daily Challenges'!$C$8,Donations!$F:$F,"&lt;="&amp;'Daily Challenges'!$D$8))</f>
        <v/>
      </c>
      <c r="H80" s="38">
        <f>IF($A80="","",SUMIFS(Donations!$D:$D,Donations!$G:$G,$A80,Donations!$F:$F,"&lt;="&amp;'Daily Challenges'!$D$9))</f>
        <v/>
      </c>
      <c r="I80" s="38">
        <f>IF($A80="","",SUMIFS(Donations!$D:$D,Donations!$G:$G,$A80,Donations!$F:$F,"&gt;="&amp;'Daily Challenges'!$C$10,Donations!$F:$F,"&lt;="&amp;'Daily Challenges'!$D$10))</f>
        <v/>
      </c>
      <c r="J80" s="38">
        <f>IF($A80="","",SUMIFS(Donations!$D:$D,Donations!$G:$G,$A80,Donations!$F:$F,"&lt;="&amp;'Daily Challenges'!$D$12))</f>
        <v/>
      </c>
    </row>
    <row r="81">
      <c r="A81" s="32" t="inlineStr">
        <is>
          <t>Ella Nguyen</t>
        </is>
      </c>
      <c r="B81" s="32" t="inlineStr">
        <is>
          <t>Ms. Ellison</t>
        </is>
      </c>
      <c r="C81" s="36" t="inlineStr">
        <is>
          <t>K</t>
        </is>
      </c>
      <c r="D81" s="37">
        <f>IF(A81="","",SUMIFS(Donations!$D:$D,Donations!$G:$G,A81))</f>
        <v/>
      </c>
      <c r="E81" s="35">
        <f>IF(A81="","",IF(D81&gt;0,"Yes",""))</f>
        <v/>
      </c>
      <c r="F81" s="38">
        <f>IF($A81="","",SUMIFS(Donations!$D:$D,Donations!$G:$G,$A81,Donations!$F:$F,"&gt;="&amp;'Daily Challenges'!$C$7,Donations!$F:$F,"&lt;="&amp;'Daily Challenges'!$D$7))</f>
        <v/>
      </c>
      <c r="G81" s="38">
        <f>IF($A81="","",SUMIFS(Donations!$D:$D,Donations!$G:$G,$A81,Donations!$F:$F,"&gt;="&amp;'Daily Challenges'!$C$8,Donations!$F:$F,"&lt;="&amp;'Daily Challenges'!$D$8))</f>
        <v/>
      </c>
      <c r="H81" s="38">
        <f>IF($A81="","",SUMIFS(Donations!$D:$D,Donations!$G:$G,$A81,Donations!$F:$F,"&lt;="&amp;'Daily Challenges'!$D$9))</f>
        <v/>
      </c>
      <c r="I81" s="38">
        <f>IF($A81="","",SUMIFS(Donations!$D:$D,Donations!$G:$G,$A81,Donations!$F:$F,"&gt;="&amp;'Daily Challenges'!$C$10,Donations!$F:$F,"&lt;="&amp;'Daily Challenges'!$D$10))</f>
        <v/>
      </c>
      <c r="J81" s="38">
        <f>IF($A81="","",SUMIFS(Donations!$D:$D,Donations!$G:$G,$A81,Donations!$F:$F,"&lt;="&amp;'Daily Challenges'!$D$12))</f>
        <v/>
      </c>
    </row>
    <row r="82">
      <c r="A82" s="32" t="inlineStr">
        <is>
          <t>Emma Murphy</t>
        </is>
      </c>
      <c r="B82" s="32" t="inlineStr">
        <is>
          <t>Ms. Ellison</t>
        </is>
      </c>
      <c r="C82" s="36" t="inlineStr">
        <is>
          <t>K</t>
        </is>
      </c>
      <c r="D82" s="37">
        <f>IF(A82="","",SUMIFS(Donations!$D:$D,Donations!$G:$G,A82))</f>
        <v/>
      </c>
      <c r="E82" s="35">
        <f>IF(A82="","",IF(D82&gt;0,"Yes",""))</f>
        <v/>
      </c>
      <c r="F82" s="38">
        <f>IF($A82="","",SUMIFS(Donations!$D:$D,Donations!$G:$G,$A82,Donations!$F:$F,"&gt;="&amp;'Daily Challenges'!$C$7,Donations!$F:$F,"&lt;="&amp;'Daily Challenges'!$D$7))</f>
        <v/>
      </c>
      <c r="G82" s="38">
        <f>IF($A82="","",SUMIFS(Donations!$D:$D,Donations!$G:$G,$A82,Donations!$F:$F,"&gt;="&amp;'Daily Challenges'!$C$8,Donations!$F:$F,"&lt;="&amp;'Daily Challenges'!$D$8))</f>
        <v/>
      </c>
      <c r="H82" s="38">
        <f>IF($A82="","",SUMIFS(Donations!$D:$D,Donations!$G:$G,$A82,Donations!$F:$F,"&lt;="&amp;'Daily Challenges'!$D$9))</f>
        <v/>
      </c>
      <c r="I82" s="38">
        <f>IF($A82="","",SUMIFS(Donations!$D:$D,Donations!$G:$G,$A82,Donations!$F:$F,"&gt;="&amp;'Daily Challenges'!$C$10,Donations!$F:$F,"&lt;="&amp;'Daily Challenges'!$D$10))</f>
        <v/>
      </c>
      <c r="J82" s="38">
        <f>IF($A82="","",SUMIFS(Donations!$D:$D,Donations!$G:$G,$A82,Donations!$F:$F,"&lt;="&amp;'Daily Challenges'!$D$12))</f>
        <v/>
      </c>
    </row>
    <row r="83">
      <c r="A83" s="32" t="inlineStr">
        <is>
          <t>Mia Kim</t>
        </is>
      </c>
      <c r="B83" s="32" t="inlineStr">
        <is>
          <t>Ms. Ellison</t>
        </is>
      </c>
      <c r="C83" s="36" t="inlineStr">
        <is>
          <t>K</t>
        </is>
      </c>
      <c r="D83" s="37">
        <f>IF(A83="","",SUMIFS(Donations!$D:$D,Donations!$G:$G,A83))</f>
        <v/>
      </c>
      <c r="E83" s="35">
        <f>IF(A83="","",IF(D83&gt;0,"Yes",""))</f>
        <v/>
      </c>
      <c r="F83" s="38">
        <f>IF($A83="","",SUMIFS(Donations!$D:$D,Donations!$G:$G,$A83,Donations!$F:$F,"&gt;="&amp;'Daily Challenges'!$C$7,Donations!$F:$F,"&lt;="&amp;'Daily Challenges'!$D$7))</f>
        <v/>
      </c>
      <c r="G83" s="38">
        <f>IF($A83="","",SUMIFS(Donations!$D:$D,Donations!$G:$G,$A83,Donations!$F:$F,"&gt;="&amp;'Daily Challenges'!$C$8,Donations!$F:$F,"&lt;="&amp;'Daily Challenges'!$D$8))</f>
        <v/>
      </c>
      <c r="H83" s="38">
        <f>IF($A83="","",SUMIFS(Donations!$D:$D,Donations!$G:$G,$A83,Donations!$F:$F,"&lt;="&amp;'Daily Challenges'!$D$9))</f>
        <v/>
      </c>
      <c r="I83" s="38">
        <f>IF($A83="","",SUMIFS(Donations!$D:$D,Donations!$G:$G,$A83,Donations!$F:$F,"&gt;="&amp;'Daily Challenges'!$C$10,Donations!$F:$F,"&lt;="&amp;'Daily Challenges'!$D$10))</f>
        <v/>
      </c>
      <c r="J83" s="38">
        <f>IF($A83="","",SUMIFS(Donations!$D:$D,Donations!$G:$G,$A83,Donations!$F:$F,"&lt;="&amp;'Daily Challenges'!$D$12))</f>
        <v/>
      </c>
    </row>
    <row r="84">
      <c r="A84" s="32" t="inlineStr">
        <is>
          <t>Julian Rodriguez</t>
        </is>
      </c>
      <c r="B84" s="32" t="inlineStr">
        <is>
          <t>Ms. Ellison</t>
        </is>
      </c>
      <c r="C84" s="36" t="inlineStr">
        <is>
          <t>K</t>
        </is>
      </c>
      <c r="D84" s="37">
        <f>IF(A84="","",SUMIFS(Donations!$D:$D,Donations!$G:$G,A84))</f>
        <v/>
      </c>
      <c r="E84" s="35">
        <f>IF(A84="","",IF(D84&gt;0,"Yes",""))</f>
        <v/>
      </c>
      <c r="F84" s="38">
        <f>IF($A84="","",SUMIFS(Donations!$D:$D,Donations!$G:$G,$A84,Donations!$F:$F,"&gt;="&amp;'Daily Challenges'!$C$7,Donations!$F:$F,"&lt;="&amp;'Daily Challenges'!$D$7))</f>
        <v/>
      </c>
      <c r="G84" s="38">
        <f>IF($A84="","",SUMIFS(Donations!$D:$D,Donations!$G:$G,$A84,Donations!$F:$F,"&gt;="&amp;'Daily Challenges'!$C$8,Donations!$F:$F,"&lt;="&amp;'Daily Challenges'!$D$8))</f>
        <v/>
      </c>
      <c r="H84" s="38">
        <f>IF($A84="","",SUMIFS(Donations!$D:$D,Donations!$G:$G,$A84,Donations!$F:$F,"&lt;="&amp;'Daily Challenges'!$D$9))</f>
        <v/>
      </c>
      <c r="I84" s="38">
        <f>IF($A84="","",SUMIFS(Donations!$D:$D,Donations!$G:$G,$A84,Donations!$F:$F,"&gt;="&amp;'Daily Challenges'!$C$10,Donations!$F:$F,"&lt;="&amp;'Daily Challenges'!$D$10))</f>
        <v/>
      </c>
      <c r="J84" s="38">
        <f>IF($A84="","",SUMIFS(Donations!$D:$D,Donations!$G:$G,$A84,Donations!$F:$F,"&lt;="&amp;'Daily Challenges'!$D$12))</f>
        <v/>
      </c>
    </row>
    <row r="85">
      <c r="A85" s="32" t="inlineStr">
        <is>
          <t>Maya Patel</t>
        </is>
      </c>
      <c r="B85" s="32" t="inlineStr">
        <is>
          <t>Ms. Ellison</t>
        </is>
      </c>
      <c r="C85" s="36" t="inlineStr">
        <is>
          <t>K</t>
        </is>
      </c>
      <c r="D85" s="37">
        <f>IF(A85="","",SUMIFS(Donations!$D:$D,Donations!$G:$G,A85))</f>
        <v/>
      </c>
      <c r="E85" s="35">
        <f>IF(A85="","",IF(D85&gt;0,"Yes",""))</f>
        <v/>
      </c>
      <c r="F85" s="38">
        <f>IF($A85="","",SUMIFS(Donations!$D:$D,Donations!$G:$G,$A85,Donations!$F:$F,"&gt;="&amp;'Daily Challenges'!$C$7,Donations!$F:$F,"&lt;="&amp;'Daily Challenges'!$D$7))</f>
        <v/>
      </c>
      <c r="G85" s="38">
        <f>IF($A85="","",SUMIFS(Donations!$D:$D,Donations!$G:$G,$A85,Donations!$F:$F,"&gt;="&amp;'Daily Challenges'!$C$8,Donations!$F:$F,"&lt;="&amp;'Daily Challenges'!$D$8))</f>
        <v/>
      </c>
      <c r="H85" s="38">
        <f>IF($A85="","",SUMIFS(Donations!$D:$D,Donations!$G:$G,$A85,Donations!$F:$F,"&lt;="&amp;'Daily Challenges'!$D$9))</f>
        <v/>
      </c>
      <c r="I85" s="38">
        <f>IF($A85="","",SUMIFS(Donations!$D:$D,Donations!$G:$G,$A85,Donations!$F:$F,"&gt;="&amp;'Daily Challenges'!$C$10,Donations!$F:$F,"&lt;="&amp;'Daily Challenges'!$D$10))</f>
        <v/>
      </c>
      <c r="J85" s="38">
        <f>IF($A85="","",SUMIFS(Donations!$D:$D,Donations!$G:$G,$A85,Donations!$F:$F,"&lt;="&amp;'Daily Challenges'!$D$12))</f>
        <v/>
      </c>
    </row>
    <row r="86">
      <c r="A86" s="32" t="inlineStr">
        <is>
          <t>Harper Johnson</t>
        </is>
      </c>
      <c r="B86" s="32" t="inlineStr">
        <is>
          <t>Mrs. Fischer</t>
        </is>
      </c>
      <c r="C86" s="36" t="inlineStr">
        <is>
          <t>K</t>
        </is>
      </c>
      <c r="D86" s="37">
        <f>IF(A86="","",SUMIFS(Donations!$D:$D,Donations!$G:$G,A86))</f>
        <v/>
      </c>
      <c r="E86" s="35">
        <f>IF(A86="","",IF(D86&gt;0,"Yes",""))</f>
        <v/>
      </c>
      <c r="F86" s="38">
        <f>IF($A86="","",SUMIFS(Donations!$D:$D,Donations!$G:$G,$A86,Donations!$F:$F,"&gt;="&amp;'Daily Challenges'!$C$7,Donations!$F:$F,"&lt;="&amp;'Daily Challenges'!$D$7))</f>
        <v/>
      </c>
      <c r="G86" s="38">
        <f>IF($A86="","",SUMIFS(Donations!$D:$D,Donations!$G:$G,$A86,Donations!$F:$F,"&gt;="&amp;'Daily Challenges'!$C$8,Donations!$F:$F,"&lt;="&amp;'Daily Challenges'!$D$8))</f>
        <v/>
      </c>
      <c r="H86" s="38">
        <f>IF($A86="","",SUMIFS(Donations!$D:$D,Donations!$G:$G,$A86,Donations!$F:$F,"&lt;="&amp;'Daily Challenges'!$D$9))</f>
        <v/>
      </c>
      <c r="I86" s="38">
        <f>IF($A86="","",SUMIFS(Donations!$D:$D,Donations!$G:$G,$A86,Donations!$F:$F,"&gt;="&amp;'Daily Challenges'!$C$10,Donations!$F:$F,"&lt;="&amp;'Daily Challenges'!$D$10))</f>
        <v/>
      </c>
      <c r="J86" s="38">
        <f>IF($A86="","",SUMIFS(Donations!$D:$D,Donations!$G:$G,$A86,Donations!$F:$F,"&lt;="&amp;'Daily Challenges'!$D$12))</f>
        <v/>
      </c>
    </row>
    <row r="87">
      <c r="A87" s="32" t="inlineStr">
        <is>
          <t>Grace Perez</t>
        </is>
      </c>
      <c r="B87" s="32" t="inlineStr">
        <is>
          <t>Mrs. Fischer</t>
        </is>
      </c>
      <c r="C87" s="36" t="inlineStr">
        <is>
          <t>K</t>
        </is>
      </c>
      <c r="D87" s="37">
        <f>IF(A87="","",SUMIFS(Donations!$D:$D,Donations!$G:$G,A87))</f>
        <v/>
      </c>
      <c r="E87" s="35">
        <f>IF(A87="","",IF(D87&gt;0,"Yes",""))</f>
        <v/>
      </c>
      <c r="F87" s="38">
        <f>IF($A87="","",SUMIFS(Donations!$D:$D,Donations!$G:$G,$A87,Donations!$F:$F,"&gt;="&amp;'Daily Challenges'!$C$7,Donations!$F:$F,"&lt;="&amp;'Daily Challenges'!$D$7))</f>
        <v/>
      </c>
      <c r="G87" s="38">
        <f>IF($A87="","",SUMIFS(Donations!$D:$D,Donations!$G:$G,$A87,Donations!$F:$F,"&gt;="&amp;'Daily Challenges'!$C$8,Donations!$F:$F,"&lt;="&amp;'Daily Challenges'!$D$8))</f>
        <v/>
      </c>
      <c r="H87" s="38">
        <f>IF($A87="","",SUMIFS(Donations!$D:$D,Donations!$G:$G,$A87,Donations!$F:$F,"&lt;="&amp;'Daily Challenges'!$D$9))</f>
        <v/>
      </c>
      <c r="I87" s="38">
        <f>IF($A87="","",SUMIFS(Donations!$D:$D,Donations!$G:$G,$A87,Donations!$F:$F,"&gt;="&amp;'Daily Challenges'!$C$10,Donations!$F:$F,"&lt;="&amp;'Daily Challenges'!$D$10))</f>
        <v/>
      </c>
      <c r="J87" s="38">
        <f>IF($A87="","",SUMIFS(Donations!$D:$D,Donations!$G:$G,$A87,Donations!$F:$F,"&lt;="&amp;'Daily Challenges'!$D$12))</f>
        <v/>
      </c>
    </row>
    <row r="88">
      <c r="A88" s="32" t="inlineStr">
        <is>
          <t>Emma Walsh</t>
        </is>
      </c>
      <c r="B88" s="32" t="inlineStr">
        <is>
          <t>Mrs. Fischer</t>
        </is>
      </c>
      <c r="C88" s="36" t="inlineStr">
        <is>
          <t>K</t>
        </is>
      </c>
      <c r="D88" s="37">
        <f>IF(A88="","",SUMIFS(Donations!$D:$D,Donations!$G:$G,A88))</f>
        <v/>
      </c>
      <c r="E88" s="35">
        <f>IF(A88="","",IF(D88&gt;0,"Yes",""))</f>
        <v/>
      </c>
      <c r="F88" s="38">
        <f>IF($A88="","",SUMIFS(Donations!$D:$D,Donations!$G:$G,$A88,Donations!$F:$F,"&gt;="&amp;'Daily Challenges'!$C$7,Donations!$F:$F,"&lt;="&amp;'Daily Challenges'!$D$7))</f>
        <v/>
      </c>
      <c r="G88" s="38">
        <f>IF($A88="","",SUMIFS(Donations!$D:$D,Donations!$G:$G,$A88,Donations!$F:$F,"&gt;="&amp;'Daily Challenges'!$C$8,Donations!$F:$F,"&lt;="&amp;'Daily Challenges'!$D$8))</f>
        <v/>
      </c>
      <c r="H88" s="38">
        <f>IF($A88="","",SUMIFS(Donations!$D:$D,Donations!$G:$G,$A88,Donations!$F:$F,"&lt;="&amp;'Daily Challenges'!$D$9))</f>
        <v/>
      </c>
      <c r="I88" s="38">
        <f>IF($A88="","",SUMIFS(Donations!$D:$D,Donations!$G:$G,$A88,Donations!$F:$F,"&gt;="&amp;'Daily Challenges'!$C$10,Donations!$F:$F,"&lt;="&amp;'Daily Challenges'!$D$10))</f>
        <v/>
      </c>
      <c r="J88" s="38">
        <f>IF($A88="","",SUMIFS(Donations!$D:$D,Donations!$G:$G,$A88,Donations!$F:$F,"&lt;="&amp;'Daily Challenges'!$D$12))</f>
        <v/>
      </c>
    </row>
    <row r="89">
      <c r="A89" s="32" t="inlineStr">
        <is>
          <t>Henry Patel</t>
        </is>
      </c>
      <c r="B89" s="32" t="inlineStr">
        <is>
          <t>Mrs. Fischer</t>
        </is>
      </c>
      <c r="C89" s="36" t="inlineStr">
        <is>
          <t>K</t>
        </is>
      </c>
      <c r="D89" s="37">
        <f>IF(A89="","",SUMIFS(Donations!$D:$D,Donations!$G:$G,A89))</f>
        <v/>
      </c>
      <c r="E89" s="35">
        <f>IF(A89="","",IF(D89&gt;0,"Yes",""))</f>
        <v/>
      </c>
      <c r="F89" s="38">
        <f>IF($A89="","",SUMIFS(Donations!$D:$D,Donations!$G:$G,$A89,Donations!$F:$F,"&gt;="&amp;'Daily Challenges'!$C$7,Donations!$F:$F,"&lt;="&amp;'Daily Challenges'!$D$7))</f>
        <v/>
      </c>
      <c r="G89" s="38">
        <f>IF($A89="","",SUMIFS(Donations!$D:$D,Donations!$G:$G,$A89,Donations!$F:$F,"&gt;="&amp;'Daily Challenges'!$C$8,Donations!$F:$F,"&lt;="&amp;'Daily Challenges'!$D$8))</f>
        <v/>
      </c>
      <c r="H89" s="38">
        <f>IF($A89="","",SUMIFS(Donations!$D:$D,Donations!$G:$G,$A89,Donations!$F:$F,"&lt;="&amp;'Daily Challenges'!$D$9))</f>
        <v/>
      </c>
      <c r="I89" s="38">
        <f>IF($A89="","",SUMIFS(Donations!$D:$D,Donations!$G:$G,$A89,Donations!$F:$F,"&gt;="&amp;'Daily Challenges'!$C$10,Donations!$F:$F,"&lt;="&amp;'Daily Challenges'!$D$10))</f>
        <v/>
      </c>
      <c r="J89" s="38">
        <f>IF($A89="","",SUMIFS(Donations!$D:$D,Donations!$G:$G,$A89,Donations!$F:$F,"&lt;="&amp;'Daily Challenges'!$D$12))</f>
        <v/>
      </c>
    </row>
    <row r="90">
      <c r="A90" s="32" t="inlineStr">
        <is>
          <t>Grace Ramos</t>
        </is>
      </c>
      <c r="B90" s="32" t="inlineStr">
        <is>
          <t>Mrs. Fischer</t>
        </is>
      </c>
      <c r="C90" s="36" t="inlineStr">
        <is>
          <t>K</t>
        </is>
      </c>
      <c r="D90" s="37">
        <f>IF(A90="","",SUMIFS(Donations!$D:$D,Donations!$G:$G,A90))</f>
        <v/>
      </c>
      <c r="E90" s="35">
        <f>IF(A90="","",IF(D90&gt;0,"Yes",""))</f>
        <v/>
      </c>
      <c r="F90" s="38">
        <f>IF($A90="","",SUMIFS(Donations!$D:$D,Donations!$G:$G,$A90,Donations!$F:$F,"&gt;="&amp;'Daily Challenges'!$C$7,Donations!$F:$F,"&lt;="&amp;'Daily Challenges'!$D$7))</f>
        <v/>
      </c>
      <c r="G90" s="38">
        <f>IF($A90="","",SUMIFS(Donations!$D:$D,Donations!$G:$G,$A90,Donations!$F:$F,"&gt;="&amp;'Daily Challenges'!$C$8,Donations!$F:$F,"&lt;="&amp;'Daily Challenges'!$D$8))</f>
        <v/>
      </c>
      <c r="H90" s="38">
        <f>IF($A90="","",SUMIFS(Donations!$D:$D,Donations!$G:$G,$A90,Donations!$F:$F,"&lt;="&amp;'Daily Challenges'!$D$9))</f>
        <v/>
      </c>
      <c r="I90" s="38">
        <f>IF($A90="","",SUMIFS(Donations!$D:$D,Donations!$G:$G,$A90,Donations!$F:$F,"&gt;="&amp;'Daily Challenges'!$C$10,Donations!$F:$F,"&lt;="&amp;'Daily Challenges'!$D$10))</f>
        <v/>
      </c>
      <c r="J90" s="38">
        <f>IF($A90="","",SUMIFS(Donations!$D:$D,Donations!$G:$G,$A90,Donations!$F:$F,"&lt;="&amp;'Daily Challenges'!$D$12))</f>
        <v/>
      </c>
    </row>
    <row r="91">
      <c r="A91" s="32" t="inlineStr">
        <is>
          <t>Liam O'Brien</t>
        </is>
      </c>
      <c r="B91" s="32" t="inlineStr">
        <is>
          <t>Mrs. Fischer</t>
        </is>
      </c>
      <c r="C91" s="36" t="inlineStr">
        <is>
          <t>K</t>
        </is>
      </c>
      <c r="D91" s="37">
        <f>IF(A91="","",SUMIFS(Donations!$D:$D,Donations!$G:$G,A91))</f>
        <v/>
      </c>
      <c r="E91" s="35">
        <f>IF(A91="","",IF(D91&gt;0,"Yes",""))</f>
        <v/>
      </c>
      <c r="F91" s="38">
        <f>IF($A91="","",SUMIFS(Donations!$D:$D,Donations!$G:$G,$A91,Donations!$F:$F,"&gt;="&amp;'Daily Challenges'!$C$7,Donations!$F:$F,"&lt;="&amp;'Daily Challenges'!$D$7))</f>
        <v/>
      </c>
      <c r="G91" s="38">
        <f>IF($A91="","",SUMIFS(Donations!$D:$D,Donations!$G:$G,$A91,Donations!$F:$F,"&gt;="&amp;'Daily Challenges'!$C$8,Donations!$F:$F,"&lt;="&amp;'Daily Challenges'!$D$8))</f>
        <v/>
      </c>
      <c r="H91" s="38">
        <f>IF($A91="","",SUMIFS(Donations!$D:$D,Donations!$G:$G,$A91,Donations!$F:$F,"&lt;="&amp;'Daily Challenges'!$D$9))</f>
        <v/>
      </c>
      <c r="I91" s="38">
        <f>IF($A91="","",SUMIFS(Donations!$D:$D,Donations!$G:$G,$A91,Donations!$F:$F,"&gt;="&amp;'Daily Challenges'!$C$10,Donations!$F:$F,"&lt;="&amp;'Daily Challenges'!$D$10))</f>
        <v/>
      </c>
      <c r="J91" s="38">
        <f>IF($A91="","",SUMIFS(Donations!$D:$D,Donations!$G:$G,$A91,Donations!$F:$F,"&lt;="&amp;'Daily Challenges'!$D$12))</f>
        <v/>
      </c>
    </row>
    <row r="92">
      <c r="A92" s="32" t="inlineStr">
        <is>
          <t>Ava Ramos</t>
        </is>
      </c>
      <c r="B92" s="32" t="inlineStr">
        <is>
          <t>Mrs. Fischer</t>
        </is>
      </c>
      <c r="C92" s="36" t="inlineStr">
        <is>
          <t>K</t>
        </is>
      </c>
      <c r="D92" s="37">
        <f>IF(A92="","",SUMIFS(Donations!$D:$D,Donations!$G:$G,A92))</f>
        <v/>
      </c>
      <c r="E92" s="35">
        <f>IF(A92="","",IF(D92&gt;0,"Yes",""))</f>
        <v/>
      </c>
      <c r="F92" s="38">
        <f>IF($A92="","",SUMIFS(Donations!$D:$D,Donations!$G:$G,$A92,Donations!$F:$F,"&gt;="&amp;'Daily Challenges'!$C$7,Donations!$F:$F,"&lt;="&amp;'Daily Challenges'!$D$7))</f>
        <v/>
      </c>
      <c r="G92" s="38">
        <f>IF($A92="","",SUMIFS(Donations!$D:$D,Donations!$G:$G,$A92,Donations!$F:$F,"&gt;="&amp;'Daily Challenges'!$C$8,Donations!$F:$F,"&lt;="&amp;'Daily Challenges'!$D$8))</f>
        <v/>
      </c>
      <c r="H92" s="38">
        <f>IF($A92="","",SUMIFS(Donations!$D:$D,Donations!$G:$G,$A92,Donations!$F:$F,"&lt;="&amp;'Daily Challenges'!$D$9))</f>
        <v/>
      </c>
      <c r="I92" s="38">
        <f>IF($A92="","",SUMIFS(Donations!$D:$D,Donations!$G:$G,$A92,Donations!$F:$F,"&gt;="&amp;'Daily Challenges'!$C$10,Donations!$F:$F,"&lt;="&amp;'Daily Challenges'!$D$10))</f>
        <v/>
      </c>
      <c r="J92" s="38">
        <f>IF($A92="","",SUMIFS(Donations!$D:$D,Donations!$G:$G,$A92,Donations!$F:$F,"&lt;="&amp;'Daily Challenges'!$D$12))</f>
        <v/>
      </c>
    </row>
    <row r="93">
      <c r="A93" s="32" t="inlineStr">
        <is>
          <t>Sofia Williams</t>
        </is>
      </c>
      <c r="B93" s="32" t="inlineStr">
        <is>
          <t>Mrs. Fischer</t>
        </is>
      </c>
      <c r="C93" s="36" t="inlineStr">
        <is>
          <t>K</t>
        </is>
      </c>
      <c r="D93" s="37">
        <f>IF(A93="","",SUMIFS(Donations!$D:$D,Donations!$G:$G,A93))</f>
        <v/>
      </c>
      <c r="E93" s="35">
        <f>IF(A93="","",IF(D93&gt;0,"Yes",""))</f>
        <v/>
      </c>
      <c r="F93" s="38">
        <f>IF($A93="","",SUMIFS(Donations!$D:$D,Donations!$G:$G,$A93,Donations!$F:$F,"&gt;="&amp;'Daily Challenges'!$C$7,Donations!$F:$F,"&lt;="&amp;'Daily Challenges'!$D$7))</f>
        <v/>
      </c>
      <c r="G93" s="38">
        <f>IF($A93="","",SUMIFS(Donations!$D:$D,Donations!$G:$G,$A93,Donations!$F:$F,"&gt;="&amp;'Daily Challenges'!$C$8,Donations!$F:$F,"&lt;="&amp;'Daily Challenges'!$D$8))</f>
        <v/>
      </c>
      <c r="H93" s="38">
        <f>IF($A93="","",SUMIFS(Donations!$D:$D,Donations!$G:$G,$A93,Donations!$F:$F,"&lt;="&amp;'Daily Challenges'!$D$9))</f>
        <v/>
      </c>
      <c r="I93" s="38">
        <f>IF($A93="","",SUMIFS(Donations!$D:$D,Donations!$G:$G,$A93,Donations!$F:$F,"&gt;="&amp;'Daily Challenges'!$C$10,Donations!$F:$F,"&lt;="&amp;'Daily Challenges'!$D$10))</f>
        <v/>
      </c>
      <c r="J93" s="38">
        <f>IF($A93="","",SUMIFS(Donations!$D:$D,Donations!$G:$G,$A93,Donations!$F:$F,"&lt;="&amp;'Daily Challenges'!$D$12))</f>
        <v/>
      </c>
    </row>
    <row r="94">
      <c r="A94" s="32" t="inlineStr">
        <is>
          <t>Chloe Smith</t>
        </is>
      </c>
      <c r="B94" s="32" t="inlineStr">
        <is>
          <t>Mrs. Fischer</t>
        </is>
      </c>
      <c r="C94" s="36" t="inlineStr">
        <is>
          <t>K</t>
        </is>
      </c>
      <c r="D94" s="37">
        <f>IF(A94="","",SUMIFS(Donations!$D:$D,Donations!$G:$G,A94))</f>
        <v/>
      </c>
      <c r="E94" s="35">
        <f>IF(A94="","",IF(D94&gt;0,"Yes",""))</f>
        <v/>
      </c>
      <c r="F94" s="38">
        <f>IF($A94="","",SUMIFS(Donations!$D:$D,Donations!$G:$G,$A94,Donations!$F:$F,"&gt;="&amp;'Daily Challenges'!$C$7,Donations!$F:$F,"&lt;="&amp;'Daily Challenges'!$D$7))</f>
        <v/>
      </c>
      <c r="G94" s="38">
        <f>IF($A94="","",SUMIFS(Donations!$D:$D,Donations!$G:$G,$A94,Donations!$F:$F,"&gt;="&amp;'Daily Challenges'!$C$8,Donations!$F:$F,"&lt;="&amp;'Daily Challenges'!$D$8))</f>
        <v/>
      </c>
      <c r="H94" s="38">
        <f>IF($A94="","",SUMIFS(Donations!$D:$D,Donations!$G:$G,$A94,Donations!$F:$F,"&lt;="&amp;'Daily Challenges'!$D$9))</f>
        <v/>
      </c>
      <c r="I94" s="38">
        <f>IF($A94="","",SUMIFS(Donations!$D:$D,Donations!$G:$G,$A94,Donations!$F:$F,"&gt;="&amp;'Daily Challenges'!$C$10,Donations!$F:$F,"&lt;="&amp;'Daily Challenges'!$D$10))</f>
        <v/>
      </c>
      <c r="J94" s="38">
        <f>IF($A94="","",SUMIFS(Donations!$D:$D,Donations!$G:$G,$A94,Donations!$F:$F,"&lt;="&amp;'Daily Challenges'!$D$12))</f>
        <v/>
      </c>
    </row>
    <row r="95">
      <c r="A95" s="32" t="inlineStr">
        <is>
          <t>Santiago Gutierrez</t>
        </is>
      </c>
      <c r="B95" s="32" t="inlineStr">
        <is>
          <t>Mrs. Fischer</t>
        </is>
      </c>
      <c r="C95" s="36" t="inlineStr">
        <is>
          <t>K</t>
        </is>
      </c>
      <c r="D95" s="37">
        <f>IF(A95="","",SUMIFS(Donations!$D:$D,Donations!$G:$G,A95))</f>
        <v/>
      </c>
      <c r="E95" s="35">
        <f>IF(A95="","",IF(D95&gt;0,"Yes",""))</f>
        <v/>
      </c>
      <c r="F95" s="38">
        <f>IF($A95="","",SUMIFS(Donations!$D:$D,Donations!$G:$G,$A95,Donations!$F:$F,"&gt;="&amp;'Daily Challenges'!$C$7,Donations!$F:$F,"&lt;="&amp;'Daily Challenges'!$D$7))</f>
        <v/>
      </c>
      <c r="G95" s="38">
        <f>IF($A95="","",SUMIFS(Donations!$D:$D,Donations!$G:$G,$A95,Donations!$F:$F,"&gt;="&amp;'Daily Challenges'!$C$8,Donations!$F:$F,"&lt;="&amp;'Daily Challenges'!$D$8))</f>
        <v/>
      </c>
      <c r="H95" s="38">
        <f>IF($A95="","",SUMIFS(Donations!$D:$D,Donations!$G:$G,$A95,Donations!$F:$F,"&lt;="&amp;'Daily Challenges'!$D$9))</f>
        <v/>
      </c>
      <c r="I95" s="38">
        <f>IF($A95="","",SUMIFS(Donations!$D:$D,Donations!$G:$G,$A95,Donations!$F:$F,"&gt;="&amp;'Daily Challenges'!$C$10,Donations!$F:$F,"&lt;="&amp;'Daily Challenges'!$D$10))</f>
        <v/>
      </c>
      <c r="J95" s="38">
        <f>IF($A95="","",SUMIFS(Donations!$D:$D,Donations!$G:$G,$A95,Donations!$F:$F,"&lt;="&amp;'Daily Challenges'!$D$12))</f>
        <v/>
      </c>
    </row>
    <row r="96">
      <c r="A96" s="32" t="inlineStr">
        <is>
          <t>Thomas Gutierrez</t>
        </is>
      </c>
      <c r="B96" s="32" t="inlineStr">
        <is>
          <t>Mrs. Fischer</t>
        </is>
      </c>
      <c r="C96" s="36" t="inlineStr">
        <is>
          <t>K</t>
        </is>
      </c>
      <c r="D96" s="37">
        <f>IF(A96="","",SUMIFS(Donations!$D:$D,Donations!$G:$G,A96))</f>
        <v/>
      </c>
      <c r="E96" s="35">
        <f>IF(A96="","",IF(D96&gt;0,"Yes",""))</f>
        <v/>
      </c>
      <c r="F96" s="38">
        <f>IF($A96="","",SUMIFS(Donations!$D:$D,Donations!$G:$G,$A96,Donations!$F:$F,"&gt;="&amp;'Daily Challenges'!$C$7,Donations!$F:$F,"&lt;="&amp;'Daily Challenges'!$D$7))</f>
        <v/>
      </c>
      <c r="G96" s="38">
        <f>IF($A96="","",SUMIFS(Donations!$D:$D,Donations!$G:$G,$A96,Donations!$F:$F,"&gt;="&amp;'Daily Challenges'!$C$8,Donations!$F:$F,"&lt;="&amp;'Daily Challenges'!$D$8))</f>
        <v/>
      </c>
      <c r="H96" s="38">
        <f>IF($A96="","",SUMIFS(Donations!$D:$D,Donations!$G:$G,$A96,Donations!$F:$F,"&lt;="&amp;'Daily Challenges'!$D$9))</f>
        <v/>
      </c>
      <c r="I96" s="38">
        <f>IF($A96="","",SUMIFS(Donations!$D:$D,Donations!$G:$G,$A96,Donations!$F:$F,"&gt;="&amp;'Daily Challenges'!$C$10,Donations!$F:$F,"&lt;="&amp;'Daily Challenges'!$D$10))</f>
        <v/>
      </c>
      <c r="J96" s="38">
        <f>IF($A96="","",SUMIFS(Donations!$D:$D,Donations!$G:$G,$A96,Donations!$F:$F,"&lt;="&amp;'Daily Challenges'!$D$12))</f>
        <v/>
      </c>
    </row>
    <row r="97">
      <c r="A97" s="32" t="inlineStr">
        <is>
          <t>Mateo Martinez</t>
        </is>
      </c>
      <c r="B97" s="32" t="inlineStr">
        <is>
          <t>Mrs. Fischer</t>
        </is>
      </c>
      <c r="C97" s="36" t="inlineStr">
        <is>
          <t>K</t>
        </is>
      </c>
      <c r="D97" s="37">
        <f>IF(A97="","",SUMIFS(Donations!$D:$D,Donations!$G:$G,A97))</f>
        <v/>
      </c>
      <c r="E97" s="35">
        <f>IF(A97="","",IF(D97&gt;0,"Yes",""))</f>
        <v/>
      </c>
      <c r="F97" s="38">
        <f>IF($A97="","",SUMIFS(Donations!$D:$D,Donations!$G:$G,$A97,Donations!$F:$F,"&gt;="&amp;'Daily Challenges'!$C$7,Donations!$F:$F,"&lt;="&amp;'Daily Challenges'!$D$7))</f>
        <v/>
      </c>
      <c r="G97" s="38">
        <f>IF($A97="","",SUMIFS(Donations!$D:$D,Donations!$G:$G,$A97,Donations!$F:$F,"&gt;="&amp;'Daily Challenges'!$C$8,Donations!$F:$F,"&lt;="&amp;'Daily Challenges'!$D$8))</f>
        <v/>
      </c>
      <c r="H97" s="38">
        <f>IF($A97="","",SUMIFS(Donations!$D:$D,Donations!$G:$G,$A97,Donations!$F:$F,"&lt;="&amp;'Daily Challenges'!$D$9))</f>
        <v/>
      </c>
      <c r="I97" s="38">
        <f>IF($A97="","",SUMIFS(Donations!$D:$D,Donations!$G:$G,$A97,Donations!$F:$F,"&gt;="&amp;'Daily Challenges'!$C$10,Donations!$F:$F,"&lt;="&amp;'Daily Challenges'!$D$10))</f>
        <v/>
      </c>
      <c r="J97" s="38">
        <f>IF($A97="","",SUMIFS(Donations!$D:$D,Donations!$G:$G,$A97,Donations!$F:$F,"&lt;="&amp;'Daily Challenges'!$D$12))</f>
        <v/>
      </c>
    </row>
    <row r="98">
      <c r="A98" s="32" t="inlineStr">
        <is>
          <t>Nora Kim</t>
        </is>
      </c>
      <c r="B98" s="32" t="inlineStr">
        <is>
          <t>Mrs. Fischer</t>
        </is>
      </c>
      <c r="C98" s="36" t="inlineStr">
        <is>
          <t>K</t>
        </is>
      </c>
      <c r="D98" s="37">
        <f>IF(A98="","",SUMIFS(Donations!$D:$D,Donations!$G:$G,A98))</f>
        <v/>
      </c>
      <c r="E98" s="35">
        <f>IF(A98="","",IF(D98&gt;0,"Yes",""))</f>
        <v/>
      </c>
      <c r="F98" s="38">
        <f>IF($A98="","",SUMIFS(Donations!$D:$D,Donations!$G:$G,$A98,Donations!$F:$F,"&gt;="&amp;'Daily Challenges'!$C$7,Donations!$F:$F,"&lt;="&amp;'Daily Challenges'!$D$7))</f>
        <v/>
      </c>
      <c r="G98" s="38">
        <f>IF($A98="","",SUMIFS(Donations!$D:$D,Donations!$G:$G,$A98,Donations!$F:$F,"&gt;="&amp;'Daily Challenges'!$C$8,Donations!$F:$F,"&lt;="&amp;'Daily Challenges'!$D$8))</f>
        <v/>
      </c>
      <c r="H98" s="38">
        <f>IF($A98="","",SUMIFS(Donations!$D:$D,Donations!$G:$G,$A98,Donations!$F:$F,"&lt;="&amp;'Daily Challenges'!$D$9))</f>
        <v/>
      </c>
      <c r="I98" s="38">
        <f>IF($A98="","",SUMIFS(Donations!$D:$D,Donations!$G:$G,$A98,Donations!$F:$F,"&gt;="&amp;'Daily Challenges'!$C$10,Donations!$F:$F,"&lt;="&amp;'Daily Challenges'!$D$10))</f>
        <v/>
      </c>
      <c r="J98" s="38">
        <f>IF($A98="","",SUMIFS(Donations!$D:$D,Donations!$G:$G,$A98,Donations!$F:$F,"&lt;="&amp;'Daily Challenges'!$D$12))</f>
        <v/>
      </c>
    </row>
    <row r="99">
      <c r="A99" s="32" t="inlineStr">
        <is>
          <t>Evelyn Cruz</t>
        </is>
      </c>
      <c r="B99" s="32" t="inlineStr">
        <is>
          <t>Mrs. Fischer</t>
        </is>
      </c>
      <c r="C99" s="36" t="inlineStr">
        <is>
          <t>K</t>
        </is>
      </c>
      <c r="D99" s="37">
        <f>IF(A99="","",SUMIFS(Donations!$D:$D,Donations!$G:$G,A99))</f>
        <v/>
      </c>
      <c r="E99" s="35">
        <f>IF(A99="","",IF(D99&gt;0,"Yes",""))</f>
        <v/>
      </c>
      <c r="F99" s="38">
        <f>IF($A99="","",SUMIFS(Donations!$D:$D,Donations!$G:$G,$A99,Donations!$F:$F,"&gt;="&amp;'Daily Challenges'!$C$7,Donations!$F:$F,"&lt;="&amp;'Daily Challenges'!$D$7))</f>
        <v/>
      </c>
      <c r="G99" s="38">
        <f>IF($A99="","",SUMIFS(Donations!$D:$D,Donations!$G:$G,$A99,Donations!$F:$F,"&gt;="&amp;'Daily Challenges'!$C$8,Donations!$F:$F,"&lt;="&amp;'Daily Challenges'!$D$8))</f>
        <v/>
      </c>
      <c r="H99" s="38">
        <f>IF($A99="","",SUMIFS(Donations!$D:$D,Donations!$G:$G,$A99,Donations!$F:$F,"&lt;="&amp;'Daily Challenges'!$D$9))</f>
        <v/>
      </c>
      <c r="I99" s="38">
        <f>IF($A99="","",SUMIFS(Donations!$D:$D,Donations!$G:$G,$A99,Donations!$F:$F,"&gt;="&amp;'Daily Challenges'!$C$10,Donations!$F:$F,"&lt;="&amp;'Daily Challenges'!$D$10))</f>
        <v/>
      </c>
      <c r="J99" s="38">
        <f>IF($A99="","",SUMIFS(Donations!$D:$D,Donations!$G:$G,$A99,Donations!$F:$F,"&lt;="&amp;'Daily Challenges'!$D$12))</f>
        <v/>
      </c>
    </row>
    <row r="100">
      <c r="A100" s="32" t="inlineStr">
        <is>
          <t>Lily Morales</t>
        </is>
      </c>
      <c r="B100" s="32" t="inlineStr">
        <is>
          <t>Mrs. Fischer</t>
        </is>
      </c>
      <c r="C100" s="36" t="inlineStr">
        <is>
          <t>K</t>
        </is>
      </c>
      <c r="D100" s="37">
        <f>IF(A100="","",SUMIFS(Donations!$D:$D,Donations!$G:$G,A100))</f>
        <v/>
      </c>
      <c r="E100" s="35">
        <f>IF(A100="","",IF(D100&gt;0,"Yes",""))</f>
        <v/>
      </c>
      <c r="F100" s="38">
        <f>IF($A100="","",SUMIFS(Donations!$D:$D,Donations!$G:$G,$A100,Donations!$F:$F,"&gt;="&amp;'Daily Challenges'!$C$7,Donations!$F:$F,"&lt;="&amp;'Daily Challenges'!$D$7))</f>
        <v/>
      </c>
      <c r="G100" s="38">
        <f>IF($A100="","",SUMIFS(Donations!$D:$D,Donations!$G:$G,$A100,Donations!$F:$F,"&gt;="&amp;'Daily Challenges'!$C$8,Donations!$F:$F,"&lt;="&amp;'Daily Challenges'!$D$8))</f>
        <v/>
      </c>
      <c r="H100" s="38">
        <f>IF($A100="","",SUMIFS(Donations!$D:$D,Donations!$G:$G,$A100,Donations!$F:$F,"&lt;="&amp;'Daily Challenges'!$D$9))</f>
        <v/>
      </c>
      <c r="I100" s="38">
        <f>IF($A100="","",SUMIFS(Donations!$D:$D,Donations!$G:$G,$A100,Donations!$F:$F,"&gt;="&amp;'Daily Challenges'!$C$10,Donations!$F:$F,"&lt;="&amp;'Daily Challenges'!$D$10))</f>
        <v/>
      </c>
      <c r="J100" s="38">
        <f>IF($A100="","",SUMIFS(Donations!$D:$D,Donations!$G:$G,$A100,Donations!$F:$F,"&lt;="&amp;'Daily Challenges'!$D$12))</f>
        <v/>
      </c>
    </row>
    <row r="101">
      <c r="A101" s="32" t="inlineStr">
        <is>
          <t>Diego Nguyen</t>
        </is>
      </c>
      <c r="B101" s="32" t="inlineStr">
        <is>
          <t>Mrs. Fischer</t>
        </is>
      </c>
      <c r="C101" s="36" t="inlineStr">
        <is>
          <t>K</t>
        </is>
      </c>
      <c r="D101" s="37">
        <f>IF(A101="","",SUMIFS(Donations!$D:$D,Donations!$G:$G,A101))</f>
        <v/>
      </c>
      <c r="E101" s="35">
        <f>IF(A101="","",IF(D101&gt;0,"Yes",""))</f>
        <v/>
      </c>
      <c r="F101" s="38">
        <f>IF($A101="","",SUMIFS(Donations!$D:$D,Donations!$G:$G,$A101,Donations!$F:$F,"&gt;="&amp;'Daily Challenges'!$C$7,Donations!$F:$F,"&lt;="&amp;'Daily Challenges'!$D$7))</f>
        <v/>
      </c>
      <c r="G101" s="38">
        <f>IF($A101="","",SUMIFS(Donations!$D:$D,Donations!$G:$G,$A101,Donations!$F:$F,"&gt;="&amp;'Daily Challenges'!$C$8,Donations!$F:$F,"&lt;="&amp;'Daily Challenges'!$D$8))</f>
        <v/>
      </c>
      <c r="H101" s="38">
        <f>IF($A101="","",SUMIFS(Donations!$D:$D,Donations!$G:$G,$A101,Donations!$F:$F,"&lt;="&amp;'Daily Challenges'!$D$9))</f>
        <v/>
      </c>
      <c r="I101" s="38">
        <f>IF($A101="","",SUMIFS(Donations!$D:$D,Donations!$G:$G,$A101,Donations!$F:$F,"&gt;="&amp;'Daily Challenges'!$C$10,Donations!$F:$F,"&lt;="&amp;'Daily Challenges'!$D$10))</f>
        <v/>
      </c>
      <c r="J101" s="38">
        <f>IF($A101="","",SUMIFS(Donations!$D:$D,Donations!$G:$G,$A101,Donations!$F:$F,"&lt;="&amp;'Daily Challenges'!$D$12))</f>
        <v/>
      </c>
    </row>
    <row r="102">
      <c r="A102" s="32" t="inlineStr">
        <is>
          <t>Joseph Kelly</t>
        </is>
      </c>
      <c r="B102" s="32" t="inlineStr">
        <is>
          <t>Mrs. Fischer</t>
        </is>
      </c>
      <c r="C102" s="36" t="inlineStr">
        <is>
          <t>K</t>
        </is>
      </c>
      <c r="D102" s="37">
        <f>IF(A102="","",SUMIFS(Donations!$D:$D,Donations!$G:$G,A102))</f>
        <v/>
      </c>
      <c r="E102" s="35">
        <f>IF(A102="","",IF(D102&gt;0,"Yes",""))</f>
        <v/>
      </c>
      <c r="F102" s="38">
        <f>IF($A102="","",SUMIFS(Donations!$D:$D,Donations!$G:$G,$A102,Donations!$F:$F,"&gt;="&amp;'Daily Challenges'!$C$7,Donations!$F:$F,"&lt;="&amp;'Daily Challenges'!$D$7))</f>
        <v/>
      </c>
      <c r="G102" s="38">
        <f>IF($A102="","",SUMIFS(Donations!$D:$D,Donations!$G:$G,$A102,Donations!$F:$F,"&gt;="&amp;'Daily Challenges'!$C$8,Donations!$F:$F,"&lt;="&amp;'Daily Challenges'!$D$8))</f>
        <v/>
      </c>
      <c r="H102" s="38">
        <f>IF($A102="","",SUMIFS(Donations!$D:$D,Donations!$G:$G,$A102,Donations!$F:$F,"&lt;="&amp;'Daily Challenges'!$D$9))</f>
        <v/>
      </c>
      <c r="I102" s="38">
        <f>IF($A102="","",SUMIFS(Donations!$D:$D,Donations!$G:$G,$A102,Donations!$F:$F,"&gt;="&amp;'Daily Challenges'!$C$10,Donations!$F:$F,"&lt;="&amp;'Daily Challenges'!$D$10))</f>
        <v/>
      </c>
      <c r="J102" s="38">
        <f>IF($A102="","",SUMIFS(Donations!$D:$D,Donations!$G:$G,$A102,Donations!$F:$F,"&lt;="&amp;'Daily Challenges'!$D$12))</f>
        <v/>
      </c>
    </row>
    <row r="103">
      <c r="A103" s="32" t="inlineStr">
        <is>
          <t>Nicolas Perez</t>
        </is>
      </c>
      <c r="B103" s="32" t="inlineStr">
        <is>
          <t>Mrs. Fischer</t>
        </is>
      </c>
      <c r="C103" s="36" t="inlineStr">
        <is>
          <t>K</t>
        </is>
      </c>
      <c r="D103" s="37">
        <f>IF(A103="","",SUMIFS(Donations!$D:$D,Donations!$G:$G,A103))</f>
        <v/>
      </c>
      <c r="E103" s="35">
        <f>IF(A103="","",IF(D103&gt;0,"Yes",""))</f>
        <v/>
      </c>
      <c r="F103" s="38">
        <f>IF($A103="","",SUMIFS(Donations!$D:$D,Donations!$G:$G,$A103,Donations!$F:$F,"&gt;="&amp;'Daily Challenges'!$C$7,Donations!$F:$F,"&lt;="&amp;'Daily Challenges'!$D$7))</f>
        <v/>
      </c>
      <c r="G103" s="38">
        <f>IF($A103="","",SUMIFS(Donations!$D:$D,Donations!$G:$G,$A103,Donations!$F:$F,"&gt;="&amp;'Daily Challenges'!$C$8,Donations!$F:$F,"&lt;="&amp;'Daily Challenges'!$D$8))</f>
        <v/>
      </c>
      <c r="H103" s="38">
        <f>IF($A103="","",SUMIFS(Donations!$D:$D,Donations!$G:$G,$A103,Donations!$F:$F,"&lt;="&amp;'Daily Challenges'!$D$9))</f>
        <v/>
      </c>
      <c r="I103" s="38">
        <f>IF($A103="","",SUMIFS(Donations!$D:$D,Donations!$G:$G,$A103,Donations!$F:$F,"&gt;="&amp;'Daily Challenges'!$C$10,Donations!$F:$F,"&lt;="&amp;'Daily Challenges'!$D$10))</f>
        <v/>
      </c>
      <c r="J103" s="38">
        <f>IF($A103="","",SUMIFS(Donations!$D:$D,Donations!$G:$G,$A103,Donations!$F:$F,"&lt;="&amp;'Daily Challenges'!$D$12))</f>
        <v/>
      </c>
    </row>
    <row r="104">
      <c r="A104" s="32" t="inlineStr">
        <is>
          <t>Liam Walsh</t>
        </is>
      </c>
      <c r="B104" s="32" t="inlineStr">
        <is>
          <t>Mrs. Fischer</t>
        </is>
      </c>
      <c r="C104" s="36" t="inlineStr">
        <is>
          <t>K</t>
        </is>
      </c>
      <c r="D104" s="37">
        <f>IF(A104="","",SUMIFS(Donations!$D:$D,Donations!$G:$G,A104))</f>
        <v/>
      </c>
      <c r="E104" s="35">
        <f>IF(A104="","",IF(D104&gt;0,"Yes",""))</f>
        <v/>
      </c>
      <c r="F104" s="38">
        <f>IF($A104="","",SUMIFS(Donations!$D:$D,Donations!$G:$G,$A104,Donations!$F:$F,"&gt;="&amp;'Daily Challenges'!$C$7,Donations!$F:$F,"&lt;="&amp;'Daily Challenges'!$D$7))</f>
        <v/>
      </c>
      <c r="G104" s="38">
        <f>IF($A104="","",SUMIFS(Donations!$D:$D,Donations!$G:$G,$A104,Donations!$F:$F,"&gt;="&amp;'Daily Challenges'!$C$8,Donations!$F:$F,"&lt;="&amp;'Daily Challenges'!$D$8))</f>
        <v/>
      </c>
      <c r="H104" s="38">
        <f>IF($A104="","",SUMIFS(Donations!$D:$D,Donations!$G:$G,$A104,Donations!$F:$F,"&lt;="&amp;'Daily Challenges'!$D$9))</f>
        <v/>
      </c>
      <c r="I104" s="38">
        <f>IF($A104="","",SUMIFS(Donations!$D:$D,Donations!$G:$G,$A104,Donations!$F:$F,"&gt;="&amp;'Daily Challenges'!$C$10,Donations!$F:$F,"&lt;="&amp;'Daily Challenges'!$D$10))</f>
        <v/>
      </c>
      <c r="J104" s="38">
        <f>IF($A104="","",SUMIFS(Donations!$D:$D,Donations!$G:$G,$A104,Donations!$F:$F,"&lt;="&amp;'Daily Challenges'!$D$12))</f>
        <v/>
      </c>
    </row>
    <row r="105">
      <c r="A105" s="32" t="inlineStr">
        <is>
          <t>Isaac Torres</t>
        </is>
      </c>
      <c r="B105" s="32" t="inlineStr">
        <is>
          <t>Mrs. Fischer</t>
        </is>
      </c>
      <c r="C105" s="36" t="inlineStr">
        <is>
          <t>K</t>
        </is>
      </c>
      <c r="D105" s="37">
        <f>IF(A105="","",SUMIFS(Donations!$D:$D,Donations!$G:$G,A105))</f>
        <v/>
      </c>
      <c r="E105" s="35">
        <f>IF(A105="","",IF(D105&gt;0,"Yes",""))</f>
        <v/>
      </c>
      <c r="F105" s="38">
        <f>IF($A105="","",SUMIFS(Donations!$D:$D,Donations!$G:$G,$A105,Donations!$F:$F,"&gt;="&amp;'Daily Challenges'!$C$7,Donations!$F:$F,"&lt;="&amp;'Daily Challenges'!$D$7))</f>
        <v/>
      </c>
      <c r="G105" s="38">
        <f>IF($A105="","",SUMIFS(Donations!$D:$D,Donations!$G:$G,$A105,Donations!$F:$F,"&gt;="&amp;'Daily Challenges'!$C$8,Donations!$F:$F,"&lt;="&amp;'Daily Challenges'!$D$8))</f>
        <v/>
      </c>
      <c r="H105" s="38">
        <f>IF($A105="","",SUMIFS(Donations!$D:$D,Donations!$G:$G,$A105,Donations!$F:$F,"&lt;="&amp;'Daily Challenges'!$D$9))</f>
        <v/>
      </c>
      <c r="I105" s="38">
        <f>IF($A105="","",SUMIFS(Donations!$D:$D,Donations!$G:$G,$A105,Donations!$F:$F,"&gt;="&amp;'Daily Challenges'!$C$10,Donations!$F:$F,"&lt;="&amp;'Daily Challenges'!$D$10))</f>
        <v/>
      </c>
      <c r="J105" s="38">
        <f>IF($A105="","",SUMIFS(Donations!$D:$D,Donations!$G:$G,$A105,Donations!$F:$F,"&lt;="&amp;'Daily Challenges'!$D$12))</f>
        <v/>
      </c>
    </row>
    <row r="106">
      <c r="A106" s="32" t="inlineStr">
        <is>
          <t>Samuel Ryan</t>
        </is>
      </c>
      <c r="B106" s="32" t="inlineStr">
        <is>
          <t>Mr. Galloway</t>
        </is>
      </c>
      <c r="C106" s="36" t="inlineStr">
        <is>
          <t>1</t>
        </is>
      </c>
      <c r="D106" s="37">
        <f>IF(A106="","",SUMIFS(Donations!$D:$D,Donations!$G:$G,A106))</f>
        <v/>
      </c>
      <c r="E106" s="35">
        <f>IF(A106="","",IF(D106&gt;0,"Yes",""))</f>
        <v/>
      </c>
      <c r="F106" s="38">
        <f>IF($A106="","",SUMIFS(Donations!$D:$D,Donations!$G:$G,$A106,Donations!$F:$F,"&gt;="&amp;'Daily Challenges'!$C$7,Donations!$F:$F,"&lt;="&amp;'Daily Challenges'!$D$7))</f>
        <v/>
      </c>
      <c r="G106" s="38">
        <f>IF($A106="","",SUMIFS(Donations!$D:$D,Donations!$G:$G,$A106,Donations!$F:$F,"&gt;="&amp;'Daily Challenges'!$C$8,Donations!$F:$F,"&lt;="&amp;'Daily Challenges'!$D$8))</f>
        <v/>
      </c>
      <c r="H106" s="38">
        <f>IF($A106="","",SUMIFS(Donations!$D:$D,Donations!$G:$G,$A106,Donations!$F:$F,"&lt;="&amp;'Daily Challenges'!$D$9))</f>
        <v/>
      </c>
      <c r="I106" s="38">
        <f>IF($A106="","",SUMIFS(Donations!$D:$D,Donations!$G:$G,$A106,Donations!$F:$F,"&gt;="&amp;'Daily Challenges'!$C$10,Donations!$F:$F,"&lt;="&amp;'Daily Challenges'!$D$10))</f>
        <v/>
      </c>
      <c r="J106" s="38">
        <f>IF($A106="","",SUMIFS(Donations!$D:$D,Donations!$G:$G,$A106,Donations!$F:$F,"&lt;="&amp;'Daily Challenges'!$D$12))</f>
        <v/>
      </c>
    </row>
    <row r="107">
      <c r="A107" s="32" t="inlineStr">
        <is>
          <t>Leo Vasquez</t>
        </is>
      </c>
      <c r="B107" s="32" t="inlineStr">
        <is>
          <t>Mr. Galloway</t>
        </is>
      </c>
      <c r="C107" s="36" t="inlineStr">
        <is>
          <t>1</t>
        </is>
      </c>
      <c r="D107" s="37">
        <f>IF(A107="","",SUMIFS(Donations!$D:$D,Donations!$G:$G,A107))</f>
        <v/>
      </c>
      <c r="E107" s="35">
        <f>IF(A107="","",IF(D107&gt;0,"Yes",""))</f>
        <v/>
      </c>
      <c r="F107" s="38">
        <f>IF($A107="","",SUMIFS(Donations!$D:$D,Donations!$G:$G,$A107,Donations!$F:$F,"&gt;="&amp;'Daily Challenges'!$C$7,Donations!$F:$F,"&lt;="&amp;'Daily Challenges'!$D$7))</f>
        <v/>
      </c>
      <c r="G107" s="38">
        <f>IF($A107="","",SUMIFS(Donations!$D:$D,Donations!$G:$G,$A107,Donations!$F:$F,"&gt;="&amp;'Daily Challenges'!$C$8,Donations!$F:$F,"&lt;="&amp;'Daily Challenges'!$D$8))</f>
        <v/>
      </c>
      <c r="H107" s="38">
        <f>IF($A107="","",SUMIFS(Donations!$D:$D,Donations!$G:$G,$A107,Donations!$F:$F,"&lt;="&amp;'Daily Challenges'!$D$9))</f>
        <v/>
      </c>
      <c r="I107" s="38">
        <f>IF($A107="","",SUMIFS(Donations!$D:$D,Donations!$G:$G,$A107,Donations!$F:$F,"&gt;="&amp;'Daily Challenges'!$C$10,Donations!$F:$F,"&lt;="&amp;'Daily Challenges'!$D$10))</f>
        <v/>
      </c>
      <c r="J107" s="38">
        <f>IF($A107="","",SUMIFS(Donations!$D:$D,Donations!$G:$G,$A107,Donations!$F:$F,"&lt;="&amp;'Daily Challenges'!$D$12))</f>
        <v/>
      </c>
    </row>
    <row r="108">
      <c r="A108" s="32" t="inlineStr">
        <is>
          <t>Maya Flores</t>
        </is>
      </c>
      <c r="B108" s="32" t="inlineStr">
        <is>
          <t>Mr. Galloway</t>
        </is>
      </c>
      <c r="C108" s="36" t="inlineStr">
        <is>
          <t>1</t>
        </is>
      </c>
      <c r="D108" s="37">
        <f>IF(A108="","",SUMIFS(Donations!$D:$D,Donations!$G:$G,A108))</f>
        <v/>
      </c>
      <c r="E108" s="35">
        <f>IF(A108="","",IF(D108&gt;0,"Yes",""))</f>
        <v/>
      </c>
      <c r="F108" s="38">
        <f>IF($A108="","",SUMIFS(Donations!$D:$D,Donations!$G:$G,$A108,Donations!$F:$F,"&gt;="&amp;'Daily Challenges'!$C$7,Donations!$F:$F,"&lt;="&amp;'Daily Challenges'!$D$7))</f>
        <v/>
      </c>
      <c r="G108" s="38">
        <f>IF($A108="","",SUMIFS(Donations!$D:$D,Donations!$G:$G,$A108,Donations!$F:$F,"&gt;="&amp;'Daily Challenges'!$C$8,Donations!$F:$F,"&lt;="&amp;'Daily Challenges'!$D$8))</f>
        <v/>
      </c>
      <c r="H108" s="38">
        <f>IF($A108="","",SUMIFS(Donations!$D:$D,Donations!$G:$G,$A108,Donations!$F:$F,"&lt;="&amp;'Daily Challenges'!$D$9))</f>
        <v/>
      </c>
      <c r="I108" s="38">
        <f>IF($A108="","",SUMIFS(Donations!$D:$D,Donations!$G:$G,$A108,Donations!$F:$F,"&gt;="&amp;'Daily Challenges'!$C$10,Donations!$F:$F,"&lt;="&amp;'Daily Challenges'!$D$10))</f>
        <v/>
      </c>
      <c r="J108" s="38">
        <f>IF($A108="","",SUMIFS(Donations!$D:$D,Donations!$G:$G,$A108,Donations!$F:$F,"&lt;="&amp;'Daily Challenges'!$D$12))</f>
        <v/>
      </c>
    </row>
    <row r="109">
      <c r="A109" s="32" t="inlineStr">
        <is>
          <t>Camila Sullivan</t>
        </is>
      </c>
      <c r="B109" s="32" t="inlineStr">
        <is>
          <t>Mr. Galloway</t>
        </is>
      </c>
      <c r="C109" s="36" t="inlineStr">
        <is>
          <t>1</t>
        </is>
      </c>
      <c r="D109" s="37">
        <f>IF(A109="","",SUMIFS(Donations!$D:$D,Donations!$G:$G,A109))</f>
        <v/>
      </c>
      <c r="E109" s="35">
        <f>IF(A109="","",IF(D109&gt;0,"Yes",""))</f>
        <v/>
      </c>
      <c r="F109" s="38">
        <f>IF($A109="","",SUMIFS(Donations!$D:$D,Donations!$G:$G,$A109,Donations!$F:$F,"&gt;="&amp;'Daily Challenges'!$C$7,Donations!$F:$F,"&lt;="&amp;'Daily Challenges'!$D$7))</f>
        <v/>
      </c>
      <c r="G109" s="38">
        <f>IF($A109="","",SUMIFS(Donations!$D:$D,Donations!$G:$G,$A109,Donations!$F:$F,"&gt;="&amp;'Daily Challenges'!$C$8,Donations!$F:$F,"&lt;="&amp;'Daily Challenges'!$D$8))</f>
        <v/>
      </c>
      <c r="H109" s="38">
        <f>IF($A109="","",SUMIFS(Donations!$D:$D,Donations!$G:$G,$A109,Donations!$F:$F,"&lt;="&amp;'Daily Challenges'!$D$9))</f>
        <v/>
      </c>
      <c r="I109" s="38">
        <f>IF($A109="","",SUMIFS(Donations!$D:$D,Donations!$G:$G,$A109,Donations!$F:$F,"&gt;="&amp;'Daily Challenges'!$C$10,Donations!$F:$F,"&lt;="&amp;'Daily Challenges'!$D$10))</f>
        <v/>
      </c>
      <c r="J109" s="38">
        <f>IF($A109="","",SUMIFS(Donations!$D:$D,Donations!$G:$G,$A109,Donations!$F:$F,"&lt;="&amp;'Daily Challenges'!$D$12))</f>
        <v/>
      </c>
    </row>
    <row r="110">
      <c r="A110" s="32" t="inlineStr">
        <is>
          <t>Daniel Lopez</t>
        </is>
      </c>
      <c r="B110" s="32" t="inlineStr">
        <is>
          <t>Mr. Galloway</t>
        </is>
      </c>
      <c r="C110" s="36" t="inlineStr">
        <is>
          <t>1</t>
        </is>
      </c>
      <c r="D110" s="37">
        <f>IF(A110="","",SUMIFS(Donations!$D:$D,Donations!$G:$G,A110))</f>
        <v/>
      </c>
      <c r="E110" s="35">
        <f>IF(A110="","",IF(D110&gt;0,"Yes",""))</f>
        <v/>
      </c>
      <c r="F110" s="38">
        <f>IF($A110="","",SUMIFS(Donations!$D:$D,Donations!$G:$G,$A110,Donations!$F:$F,"&gt;="&amp;'Daily Challenges'!$C$7,Donations!$F:$F,"&lt;="&amp;'Daily Challenges'!$D$7))</f>
        <v/>
      </c>
      <c r="G110" s="38">
        <f>IF($A110="","",SUMIFS(Donations!$D:$D,Donations!$G:$G,$A110,Donations!$F:$F,"&gt;="&amp;'Daily Challenges'!$C$8,Donations!$F:$F,"&lt;="&amp;'Daily Challenges'!$D$8))</f>
        <v/>
      </c>
      <c r="H110" s="38">
        <f>IF($A110="","",SUMIFS(Donations!$D:$D,Donations!$G:$G,$A110,Donations!$F:$F,"&lt;="&amp;'Daily Challenges'!$D$9))</f>
        <v/>
      </c>
      <c r="I110" s="38">
        <f>IF($A110="","",SUMIFS(Donations!$D:$D,Donations!$G:$G,$A110,Donations!$F:$F,"&gt;="&amp;'Daily Challenges'!$C$10,Donations!$F:$F,"&lt;="&amp;'Daily Challenges'!$D$10))</f>
        <v/>
      </c>
      <c r="J110" s="38">
        <f>IF($A110="","",SUMIFS(Donations!$D:$D,Donations!$G:$G,$A110,Donations!$F:$F,"&lt;="&amp;'Daily Challenges'!$D$12))</f>
        <v/>
      </c>
    </row>
    <row r="111">
      <c r="A111" s="32" t="inlineStr">
        <is>
          <t>Ava Sanchez</t>
        </is>
      </c>
      <c r="B111" s="32" t="inlineStr">
        <is>
          <t>Mr. Galloway</t>
        </is>
      </c>
      <c r="C111" s="36" t="inlineStr">
        <is>
          <t>1</t>
        </is>
      </c>
      <c r="D111" s="37">
        <f>IF(A111="","",SUMIFS(Donations!$D:$D,Donations!$G:$G,A111))</f>
        <v/>
      </c>
      <c r="E111" s="35">
        <f>IF(A111="","",IF(D111&gt;0,"Yes",""))</f>
        <v/>
      </c>
      <c r="F111" s="38">
        <f>IF($A111="","",SUMIFS(Donations!$D:$D,Donations!$G:$G,$A111,Donations!$F:$F,"&gt;="&amp;'Daily Challenges'!$C$7,Donations!$F:$F,"&lt;="&amp;'Daily Challenges'!$D$7))</f>
        <v/>
      </c>
      <c r="G111" s="38">
        <f>IF($A111="","",SUMIFS(Donations!$D:$D,Donations!$G:$G,$A111,Donations!$F:$F,"&gt;="&amp;'Daily Challenges'!$C$8,Donations!$F:$F,"&lt;="&amp;'Daily Challenges'!$D$8))</f>
        <v/>
      </c>
      <c r="H111" s="38">
        <f>IF($A111="","",SUMIFS(Donations!$D:$D,Donations!$G:$G,$A111,Donations!$F:$F,"&lt;="&amp;'Daily Challenges'!$D$9))</f>
        <v/>
      </c>
      <c r="I111" s="38">
        <f>IF($A111="","",SUMIFS(Donations!$D:$D,Donations!$G:$G,$A111,Donations!$F:$F,"&gt;="&amp;'Daily Challenges'!$C$10,Donations!$F:$F,"&lt;="&amp;'Daily Challenges'!$D$10))</f>
        <v/>
      </c>
      <c r="J111" s="38">
        <f>IF($A111="","",SUMIFS(Donations!$D:$D,Donations!$G:$G,$A111,Donations!$F:$F,"&lt;="&amp;'Daily Challenges'!$D$12))</f>
        <v/>
      </c>
    </row>
    <row r="112">
      <c r="A112" s="32" t="inlineStr">
        <is>
          <t>Isabella Murphy</t>
        </is>
      </c>
      <c r="B112" s="32" t="inlineStr">
        <is>
          <t>Mr. Galloway</t>
        </is>
      </c>
      <c r="C112" s="36" t="inlineStr">
        <is>
          <t>1</t>
        </is>
      </c>
      <c r="D112" s="37">
        <f>IF(A112="","",SUMIFS(Donations!$D:$D,Donations!$G:$G,A112))</f>
        <v/>
      </c>
      <c r="E112" s="35">
        <f>IF(A112="","",IF(D112&gt;0,"Yes",""))</f>
        <v/>
      </c>
      <c r="F112" s="38">
        <f>IF($A112="","",SUMIFS(Donations!$D:$D,Donations!$G:$G,$A112,Donations!$F:$F,"&gt;="&amp;'Daily Challenges'!$C$7,Donations!$F:$F,"&lt;="&amp;'Daily Challenges'!$D$7))</f>
        <v/>
      </c>
      <c r="G112" s="38">
        <f>IF($A112="","",SUMIFS(Donations!$D:$D,Donations!$G:$G,$A112,Donations!$F:$F,"&gt;="&amp;'Daily Challenges'!$C$8,Donations!$F:$F,"&lt;="&amp;'Daily Challenges'!$D$8))</f>
        <v/>
      </c>
      <c r="H112" s="38">
        <f>IF($A112="","",SUMIFS(Donations!$D:$D,Donations!$G:$G,$A112,Donations!$F:$F,"&lt;="&amp;'Daily Challenges'!$D$9))</f>
        <v/>
      </c>
      <c r="I112" s="38">
        <f>IF($A112="","",SUMIFS(Donations!$D:$D,Donations!$G:$G,$A112,Donations!$F:$F,"&gt;="&amp;'Daily Challenges'!$C$10,Donations!$F:$F,"&lt;="&amp;'Daily Challenges'!$D$10))</f>
        <v/>
      </c>
      <c r="J112" s="38">
        <f>IF($A112="","",SUMIFS(Donations!$D:$D,Donations!$G:$G,$A112,Donations!$F:$F,"&lt;="&amp;'Daily Challenges'!$D$12))</f>
        <v/>
      </c>
    </row>
    <row r="113">
      <c r="A113" s="32" t="inlineStr">
        <is>
          <t>Santiago Castillo</t>
        </is>
      </c>
      <c r="B113" s="32" t="inlineStr">
        <is>
          <t>Mr. Galloway</t>
        </is>
      </c>
      <c r="C113" s="36" t="inlineStr">
        <is>
          <t>1</t>
        </is>
      </c>
      <c r="D113" s="37">
        <f>IF(A113="","",SUMIFS(Donations!$D:$D,Donations!$G:$G,A113))</f>
        <v/>
      </c>
      <c r="E113" s="35">
        <f>IF(A113="","",IF(D113&gt;0,"Yes",""))</f>
        <v/>
      </c>
      <c r="F113" s="38">
        <f>IF($A113="","",SUMIFS(Donations!$D:$D,Donations!$G:$G,$A113,Donations!$F:$F,"&gt;="&amp;'Daily Challenges'!$C$7,Donations!$F:$F,"&lt;="&amp;'Daily Challenges'!$D$7))</f>
        <v/>
      </c>
      <c r="G113" s="38">
        <f>IF($A113="","",SUMIFS(Donations!$D:$D,Donations!$G:$G,$A113,Donations!$F:$F,"&gt;="&amp;'Daily Challenges'!$C$8,Donations!$F:$F,"&lt;="&amp;'Daily Challenges'!$D$8))</f>
        <v/>
      </c>
      <c r="H113" s="38">
        <f>IF($A113="","",SUMIFS(Donations!$D:$D,Donations!$G:$G,$A113,Donations!$F:$F,"&lt;="&amp;'Daily Challenges'!$D$9))</f>
        <v/>
      </c>
      <c r="I113" s="38">
        <f>IF($A113="","",SUMIFS(Donations!$D:$D,Donations!$G:$G,$A113,Donations!$F:$F,"&gt;="&amp;'Daily Challenges'!$C$10,Donations!$F:$F,"&lt;="&amp;'Daily Challenges'!$D$10))</f>
        <v/>
      </c>
      <c r="J113" s="38">
        <f>IF($A113="","",SUMIFS(Donations!$D:$D,Donations!$G:$G,$A113,Donations!$F:$F,"&lt;="&amp;'Daily Challenges'!$D$12))</f>
        <v/>
      </c>
    </row>
    <row r="114">
      <c r="A114" s="32" t="inlineStr">
        <is>
          <t>Thomas Ramirez</t>
        </is>
      </c>
      <c r="B114" s="32" t="inlineStr">
        <is>
          <t>Mr. Galloway</t>
        </is>
      </c>
      <c r="C114" s="36" t="inlineStr">
        <is>
          <t>1</t>
        </is>
      </c>
      <c r="D114" s="37">
        <f>IF(A114="","",SUMIFS(Donations!$D:$D,Donations!$G:$G,A114))</f>
        <v/>
      </c>
      <c r="E114" s="35">
        <f>IF(A114="","",IF(D114&gt;0,"Yes",""))</f>
        <v/>
      </c>
      <c r="F114" s="38">
        <f>IF($A114="","",SUMIFS(Donations!$D:$D,Donations!$G:$G,$A114,Donations!$F:$F,"&gt;="&amp;'Daily Challenges'!$C$7,Donations!$F:$F,"&lt;="&amp;'Daily Challenges'!$D$7))</f>
        <v/>
      </c>
      <c r="G114" s="38">
        <f>IF($A114="","",SUMIFS(Donations!$D:$D,Donations!$G:$G,$A114,Donations!$F:$F,"&gt;="&amp;'Daily Challenges'!$C$8,Donations!$F:$F,"&lt;="&amp;'Daily Challenges'!$D$8))</f>
        <v/>
      </c>
      <c r="H114" s="38">
        <f>IF($A114="","",SUMIFS(Donations!$D:$D,Donations!$G:$G,$A114,Donations!$F:$F,"&lt;="&amp;'Daily Challenges'!$D$9))</f>
        <v/>
      </c>
      <c r="I114" s="38">
        <f>IF($A114="","",SUMIFS(Donations!$D:$D,Donations!$G:$G,$A114,Donations!$F:$F,"&gt;="&amp;'Daily Challenges'!$C$10,Donations!$F:$F,"&lt;="&amp;'Daily Challenges'!$D$10))</f>
        <v/>
      </c>
      <c r="J114" s="38">
        <f>IF($A114="","",SUMIFS(Donations!$D:$D,Donations!$G:$G,$A114,Donations!$F:$F,"&lt;="&amp;'Daily Challenges'!$D$12))</f>
        <v/>
      </c>
    </row>
    <row r="115">
      <c r="A115" s="32" t="inlineStr">
        <is>
          <t>Zoe Martinez</t>
        </is>
      </c>
      <c r="B115" s="32" t="inlineStr">
        <is>
          <t>Mr. Galloway</t>
        </is>
      </c>
      <c r="C115" s="36" t="inlineStr">
        <is>
          <t>1</t>
        </is>
      </c>
      <c r="D115" s="37">
        <f>IF(A115="","",SUMIFS(Donations!$D:$D,Donations!$G:$G,A115))</f>
        <v/>
      </c>
      <c r="E115" s="35">
        <f>IF(A115="","",IF(D115&gt;0,"Yes",""))</f>
        <v/>
      </c>
      <c r="F115" s="38">
        <f>IF($A115="","",SUMIFS(Donations!$D:$D,Donations!$G:$G,$A115,Donations!$F:$F,"&gt;="&amp;'Daily Challenges'!$C$7,Donations!$F:$F,"&lt;="&amp;'Daily Challenges'!$D$7))</f>
        <v/>
      </c>
      <c r="G115" s="38">
        <f>IF($A115="","",SUMIFS(Donations!$D:$D,Donations!$G:$G,$A115,Donations!$F:$F,"&gt;="&amp;'Daily Challenges'!$C$8,Donations!$F:$F,"&lt;="&amp;'Daily Challenges'!$D$8))</f>
        <v/>
      </c>
      <c r="H115" s="38">
        <f>IF($A115="","",SUMIFS(Donations!$D:$D,Donations!$G:$G,$A115,Donations!$F:$F,"&lt;="&amp;'Daily Challenges'!$D$9))</f>
        <v/>
      </c>
      <c r="I115" s="38">
        <f>IF($A115="","",SUMIFS(Donations!$D:$D,Donations!$G:$G,$A115,Donations!$F:$F,"&gt;="&amp;'Daily Challenges'!$C$10,Donations!$F:$F,"&lt;="&amp;'Daily Challenges'!$D$10))</f>
        <v/>
      </c>
      <c r="J115" s="38">
        <f>IF($A115="","",SUMIFS(Donations!$D:$D,Donations!$G:$G,$A115,Donations!$F:$F,"&lt;="&amp;'Daily Challenges'!$D$12))</f>
        <v/>
      </c>
    </row>
    <row r="116">
      <c r="A116" s="32" t="inlineStr">
        <is>
          <t>Emma O'Brien</t>
        </is>
      </c>
      <c r="B116" s="32" t="inlineStr">
        <is>
          <t>Mr. Galloway</t>
        </is>
      </c>
      <c r="C116" s="36" t="inlineStr">
        <is>
          <t>1</t>
        </is>
      </c>
      <c r="D116" s="37">
        <f>IF(A116="","",SUMIFS(Donations!$D:$D,Donations!$G:$G,A116))</f>
        <v/>
      </c>
      <c r="E116" s="35">
        <f>IF(A116="","",IF(D116&gt;0,"Yes",""))</f>
        <v/>
      </c>
      <c r="F116" s="38">
        <f>IF($A116="","",SUMIFS(Donations!$D:$D,Donations!$G:$G,$A116,Donations!$F:$F,"&gt;="&amp;'Daily Challenges'!$C$7,Donations!$F:$F,"&lt;="&amp;'Daily Challenges'!$D$7))</f>
        <v/>
      </c>
      <c r="G116" s="38">
        <f>IF($A116="","",SUMIFS(Donations!$D:$D,Donations!$G:$G,$A116,Donations!$F:$F,"&gt;="&amp;'Daily Challenges'!$C$8,Donations!$F:$F,"&lt;="&amp;'Daily Challenges'!$D$8))</f>
        <v/>
      </c>
      <c r="H116" s="38">
        <f>IF($A116="","",SUMIFS(Donations!$D:$D,Donations!$G:$G,$A116,Donations!$F:$F,"&lt;="&amp;'Daily Challenges'!$D$9))</f>
        <v/>
      </c>
      <c r="I116" s="38">
        <f>IF($A116="","",SUMIFS(Donations!$D:$D,Donations!$G:$G,$A116,Donations!$F:$F,"&gt;="&amp;'Daily Challenges'!$C$10,Donations!$F:$F,"&lt;="&amp;'Daily Challenges'!$D$10))</f>
        <v/>
      </c>
      <c r="J116" s="38">
        <f>IF($A116="","",SUMIFS(Donations!$D:$D,Donations!$G:$G,$A116,Donations!$F:$F,"&lt;="&amp;'Daily Challenges'!$D$12))</f>
        <v/>
      </c>
    </row>
    <row r="117">
      <c r="A117" s="32" t="inlineStr">
        <is>
          <t>Elijah O'Brien</t>
        </is>
      </c>
      <c r="B117" s="32" t="inlineStr">
        <is>
          <t>Mr. Galloway</t>
        </is>
      </c>
      <c r="C117" s="36" t="inlineStr">
        <is>
          <t>1</t>
        </is>
      </c>
      <c r="D117" s="37">
        <f>IF(A117="","",SUMIFS(Donations!$D:$D,Donations!$G:$G,A117))</f>
        <v/>
      </c>
      <c r="E117" s="35">
        <f>IF(A117="","",IF(D117&gt;0,"Yes",""))</f>
        <v/>
      </c>
      <c r="F117" s="38">
        <f>IF($A117="","",SUMIFS(Donations!$D:$D,Donations!$G:$G,$A117,Donations!$F:$F,"&gt;="&amp;'Daily Challenges'!$C$7,Donations!$F:$F,"&lt;="&amp;'Daily Challenges'!$D$7))</f>
        <v/>
      </c>
      <c r="G117" s="38">
        <f>IF($A117="","",SUMIFS(Donations!$D:$D,Donations!$G:$G,$A117,Donations!$F:$F,"&gt;="&amp;'Daily Challenges'!$C$8,Donations!$F:$F,"&lt;="&amp;'Daily Challenges'!$D$8))</f>
        <v/>
      </c>
      <c r="H117" s="38">
        <f>IF($A117="","",SUMIFS(Donations!$D:$D,Donations!$G:$G,$A117,Donations!$F:$F,"&lt;="&amp;'Daily Challenges'!$D$9))</f>
        <v/>
      </c>
      <c r="I117" s="38">
        <f>IF($A117="","",SUMIFS(Donations!$D:$D,Donations!$G:$G,$A117,Donations!$F:$F,"&gt;="&amp;'Daily Challenges'!$C$10,Donations!$F:$F,"&lt;="&amp;'Daily Challenges'!$D$10))</f>
        <v/>
      </c>
      <c r="J117" s="38">
        <f>IF($A117="","",SUMIFS(Donations!$D:$D,Donations!$G:$G,$A117,Donations!$F:$F,"&lt;="&amp;'Daily Challenges'!$D$12))</f>
        <v/>
      </c>
    </row>
    <row r="118">
      <c r="A118" s="32" t="inlineStr">
        <is>
          <t>Emma Perez</t>
        </is>
      </c>
      <c r="B118" s="32" t="inlineStr">
        <is>
          <t>Mr. Galloway</t>
        </is>
      </c>
      <c r="C118" s="36" t="inlineStr">
        <is>
          <t>1</t>
        </is>
      </c>
      <c r="D118" s="37">
        <f>IF(A118="","",SUMIFS(Donations!$D:$D,Donations!$G:$G,A118))</f>
        <v/>
      </c>
      <c r="E118" s="35">
        <f>IF(A118="","",IF(D118&gt;0,"Yes",""))</f>
        <v/>
      </c>
      <c r="F118" s="38">
        <f>IF($A118="","",SUMIFS(Donations!$D:$D,Donations!$G:$G,$A118,Donations!$F:$F,"&gt;="&amp;'Daily Challenges'!$C$7,Donations!$F:$F,"&lt;="&amp;'Daily Challenges'!$D$7))</f>
        <v/>
      </c>
      <c r="G118" s="38">
        <f>IF($A118="","",SUMIFS(Donations!$D:$D,Donations!$G:$G,$A118,Donations!$F:$F,"&gt;="&amp;'Daily Challenges'!$C$8,Donations!$F:$F,"&lt;="&amp;'Daily Challenges'!$D$8))</f>
        <v/>
      </c>
      <c r="H118" s="38">
        <f>IF($A118="","",SUMIFS(Donations!$D:$D,Donations!$G:$G,$A118,Donations!$F:$F,"&lt;="&amp;'Daily Challenges'!$D$9))</f>
        <v/>
      </c>
      <c r="I118" s="38">
        <f>IF($A118="","",SUMIFS(Donations!$D:$D,Donations!$G:$G,$A118,Donations!$F:$F,"&gt;="&amp;'Daily Challenges'!$C$10,Donations!$F:$F,"&lt;="&amp;'Daily Challenges'!$D$10))</f>
        <v/>
      </c>
      <c r="J118" s="38">
        <f>IF($A118="","",SUMIFS(Donations!$D:$D,Donations!$G:$G,$A118,Donations!$F:$F,"&lt;="&amp;'Daily Challenges'!$D$12))</f>
        <v/>
      </c>
    </row>
    <row r="119">
      <c r="A119" s="32" t="inlineStr">
        <is>
          <t>Clara Sanchez</t>
        </is>
      </c>
      <c r="B119" s="32" t="inlineStr">
        <is>
          <t>Mr. Galloway</t>
        </is>
      </c>
      <c r="C119" s="36" t="inlineStr">
        <is>
          <t>1</t>
        </is>
      </c>
      <c r="D119" s="37">
        <f>IF(A119="","",SUMIFS(Donations!$D:$D,Donations!$G:$G,A119))</f>
        <v/>
      </c>
      <c r="E119" s="35">
        <f>IF(A119="","",IF(D119&gt;0,"Yes",""))</f>
        <v/>
      </c>
      <c r="F119" s="38">
        <f>IF($A119="","",SUMIFS(Donations!$D:$D,Donations!$G:$G,$A119,Donations!$F:$F,"&gt;="&amp;'Daily Challenges'!$C$7,Donations!$F:$F,"&lt;="&amp;'Daily Challenges'!$D$7))</f>
        <v/>
      </c>
      <c r="G119" s="38">
        <f>IF($A119="","",SUMIFS(Donations!$D:$D,Donations!$G:$G,$A119,Donations!$F:$F,"&gt;="&amp;'Daily Challenges'!$C$8,Donations!$F:$F,"&lt;="&amp;'Daily Challenges'!$D$8))</f>
        <v/>
      </c>
      <c r="H119" s="38">
        <f>IF($A119="","",SUMIFS(Donations!$D:$D,Donations!$G:$G,$A119,Donations!$F:$F,"&lt;="&amp;'Daily Challenges'!$D$9))</f>
        <v/>
      </c>
      <c r="I119" s="38">
        <f>IF($A119="","",SUMIFS(Donations!$D:$D,Donations!$G:$G,$A119,Donations!$F:$F,"&gt;="&amp;'Daily Challenges'!$C$10,Donations!$F:$F,"&lt;="&amp;'Daily Challenges'!$D$10))</f>
        <v/>
      </c>
      <c r="J119" s="38">
        <f>IF($A119="","",SUMIFS(Donations!$D:$D,Donations!$G:$G,$A119,Donations!$F:$F,"&lt;="&amp;'Daily Challenges'!$D$12))</f>
        <v/>
      </c>
    </row>
    <row r="120">
      <c r="A120" s="32" t="inlineStr">
        <is>
          <t>Chloe Diaz</t>
        </is>
      </c>
      <c r="B120" s="32" t="inlineStr">
        <is>
          <t>Mr. Galloway</t>
        </is>
      </c>
      <c r="C120" s="36" t="inlineStr">
        <is>
          <t>1</t>
        </is>
      </c>
      <c r="D120" s="37">
        <f>IF(A120="","",SUMIFS(Donations!$D:$D,Donations!$G:$G,A120))</f>
        <v/>
      </c>
      <c r="E120" s="35">
        <f>IF(A120="","",IF(D120&gt;0,"Yes",""))</f>
        <v/>
      </c>
      <c r="F120" s="38">
        <f>IF($A120="","",SUMIFS(Donations!$D:$D,Donations!$G:$G,$A120,Donations!$F:$F,"&gt;="&amp;'Daily Challenges'!$C$7,Donations!$F:$F,"&lt;="&amp;'Daily Challenges'!$D$7))</f>
        <v/>
      </c>
      <c r="G120" s="38">
        <f>IF($A120="","",SUMIFS(Donations!$D:$D,Donations!$G:$G,$A120,Donations!$F:$F,"&gt;="&amp;'Daily Challenges'!$C$8,Donations!$F:$F,"&lt;="&amp;'Daily Challenges'!$D$8))</f>
        <v/>
      </c>
      <c r="H120" s="38">
        <f>IF($A120="","",SUMIFS(Donations!$D:$D,Donations!$G:$G,$A120,Donations!$F:$F,"&lt;="&amp;'Daily Challenges'!$D$9))</f>
        <v/>
      </c>
      <c r="I120" s="38">
        <f>IF($A120="","",SUMIFS(Donations!$D:$D,Donations!$G:$G,$A120,Donations!$F:$F,"&gt;="&amp;'Daily Challenges'!$C$10,Donations!$F:$F,"&lt;="&amp;'Daily Challenges'!$D$10))</f>
        <v/>
      </c>
      <c r="J120" s="38">
        <f>IF($A120="","",SUMIFS(Donations!$D:$D,Donations!$G:$G,$A120,Donations!$F:$F,"&lt;="&amp;'Daily Challenges'!$D$12))</f>
        <v/>
      </c>
    </row>
    <row r="121">
      <c r="A121" s="32" t="inlineStr">
        <is>
          <t>Samuel Murphy</t>
        </is>
      </c>
      <c r="B121" s="32" t="inlineStr">
        <is>
          <t>Mr. Galloway</t>
        </is>
      </c>
      <c r="C121" s="36" t="inlineStr">
        <is>
          <t>1</t>
        </is>
      </c>
      <c r="D121" s="37">
        <f>IF(A121="","",SUMIFS(Donations!$D:$D,Donations!$G:$G,A121))</f>
        <v/>
      </c>
      <c r="E121" s="35">
        <f>IF(A121="","",IF(D121&gt;0,"Yes",""))</f>
        <v/>
      </c>
      <c r="F121" s="38">
        <f>IF($A121="","",SUMIFS(Donations!$D:$D,Donations!$G:$G,$A121,Donations!$F:$F,"&gt;="&amp;'Daily Challenges'!$C$7,Donations!$F:$F,"&lt;="&amp;'Daily Challenges'!$D$7))</f>
        <v/>
      </c>
      <c r="G121" s="38">
        <f>IF($A121="","",SUMIFS(Donations!$D:$D,Donations!$G:$G,$A121,Donations!$F:$F,"&gt;="&amp;'Daily Challenges'!$C$8,Donations!$F:$F,"&lt;="&amp;'Daily Challenges'!$D$8))</f>
        <v/>
      </c>
      <c r="H121" s="38">
        <f>IF($A121="","",SUMIFS(Donations!$D:$D,Donations!$G:$G,$A121,Donations!$F:$F,"&lt;="&amp;'Daily Challenges'!$D$9))</f>
        <v/>
      </c>
      <c r="I121" s="38">
        <f>IF($A121="","",SUMIFS(Donations!$D:$D,Donations!$G:$G,$A121,Donations!$F:$F,"&gt;="&amp;'Daily Challenges'!$C$10,Donations!$F:$F,"&lt;="&amp;'Daily Challenges'!$D$10))</f>
        <v/>
      </c>
      <c r="J121" s="38">
        <f>IF($A121="","",SUMIFS(Donations!$D:$D,Donations!$G:$G,$A121,Donations!$F:$F,"&lt;="&amp;'Daily Challenges'!$D$12))</f>
        <v/>
      </c>
    </row>
    <row r="122">
      <c r="A122" s="32" t="inlineStr">
        <is>
          <t>Grace Johnson</t>
        </is>
      </c>
      <c r="B122" s="32" t="inlineStr">
        <is>
          <t>Mr. Galloway</t>
        </is>
      </c>
      <c r="C122" s="36" t="inlineStr">
        <is>
          <t>1</t>
        </is>
      </c>
      <c r="D122" s="37">
        <f>IF(A122="","",SUMIFS(Donations!$D:$D,Donations!$G:$G,A122))</f>
        <v/>
      </c>
      <c r="E122" s="35">
        <f>IF(A122="","",IF(D122&gt;0,"Yes",""))</f>
        <v/>
      </c>
      <c r="F122" s="38">
        <f>IF($A122="","",SUMIFS(Donations!$D:$D,Donations!$G:$G,$A122,Donations!$F:$F,"&gt;="&amp;'Daily Challenges'!$C$7,Donations!$F:$F,"&lt;="&amp;'Daily Challenges'!$D$7))</f>
        <v/>
      </c>
      <c r="G122" s="38">
        <f>IF($A122="","",SUMIFS(Donations!$D:$D,Donations!$G:$G,$A122,Donations!$F:$F,"&gt;="&amp;'Daily Challenges'!$C$8,Donations!$F:$F,"&lt;="&amp;'Daily Challenges'!$D$8))</f>
        <v/>
      </c>
      <c r="H122" s="38">
        <f>IF($A122="","",SUMIFS(Donations!$D:$D,Donations!$G:$G,$A122,Donations!$F:$F,"&lt;="&amp;'Daily Challenges'!$D$9))</f>
        <v/>
      </c>
      <c r="I122" s="38">
        <f>IF($A122="","",SUMIFS(Donations!$D:$D,Donations!$G:$G,$A122,Donations!$F:$F,"&gt;="&amp;'Daily Challenges'!$C$10,Donations!$F:$F,"&lt;="&amp;'Daily Challenges'!$D$10))</f>
        <v/>
      </c>
      <c r="J122" s="38">
        <f>IF($A122="","",SUMIFS(Donations!$D:$D,Donations!$G:$G,$A122,Donations!$F:$F,"&lt;="&amp;'Daily Challenges'!$D$12))</f>
        <v/>
      </c>
    </row>
    <row r="123">
      <c r="A123" s="32" t="inlineStr">
        <is>
          <t>Chloe Cruz</t>
        </is>
      </c>
      <c r="B123" s="32" t="inlineStr">
        <is>
          <t>Mr. Galloway</t>
        </is>
      </c>
      <c r="C123" s="36" t="inlineStr">
        <is>
          <t>1</t>
        </is>
      </c>
      <c r="D123" s="37">
        <f>IF(A123="","",SUMIFS(Donations!$D:$D,Donations!$G:$G,A123))</f>
        <v/>
      </c>
      <c r="E123" s="35">
        <f>IF(A123="","",IF(D123&gt;0,"Yes",""))</f>
        <v/>
      </c>
      <c r="F123" s="38">
        <f>IF($A123="","",SUMIFS(Donations!$D:$D,Donations!$G:$G,$A123,Donations!$F:$F,"&gt;="&amp;'Daily Challenges'!$C$7,Donations!$F:$F,"&lt;="&amp;'Daily Challenges'!$D$7))</f>
        <v/>
      </c>
      <c r="G123" s="38">
        <f>IF($A123="","",SUMIFS(Donations!$D:$D,Donations!$G:$G,$A123,Donations!$F:$F,"&gt;="&amp;'Daily Challenges'!$C$8,Donations!$F:$F,"&lt;="&amp;'Daily Challenges'!$D$8))</f>
        <v/>
      </c>
      <c r="H123" s="38">
        <f>IF($A123="","",SUMIFS(Donations!$D:$D,Donations!$G:$G,$A123,Donations!$F:$F,"&lt;="&amp;'Daily Challenges'!$D$9))</f>
        <v/>
      </c>
      <c r="I123" s="38">
        <f>IF($A123="","",SUMIFS(Donations!$D:$D,Donations!$G:$G,$A123,Donations!$F:$F,"&gt;="&amp;'Daily Challenges'!$C$10,Donations!$F:$F,"&lt;="&amp;'Daily Challenges'!$D$10))</f>
        <v/>
      </c>
      <c r="J123" s="38">
        <f>IF($A123="","",SUMIFS(Donations!$D:$D,Donations!$G:$G,$A123,Donations!$F:$F,"&lt;="&amp;'Daily Challenges'!$D$12))</f>
        <v/>
      </c>
    </row>
    <row r="124">
      <c r="A124" s="32" t="inlineStr">
        <is>
          <t>Noah Gutierrez</t>
        </is>
      </c>
      <c r="B124" s="32" t="inlineStr">
        <is>
          <t>Mr. Galloway</t>
        </is>
      </c>
      <c r="C124" s="36" t="inlineStr">
        <is>
          <t>1</t>
        </is>
      </c>
      <c r="D124" s="37">
        <f>IF(A124="","",SUMIFS(Donations!$D:$D,Donations!$G:$G,A124))</f>
        <v/>
      </c>
      <c r="E124" s="35">
        <f>IF(A124="","",IF(D124&gt;0,"Yes",""))</f>
        <v/>
      </c>
      <c r="F124" s="38">
        <f>IF($A124="","",SUMIFS(Donations!$D:$D,Donations!$G:$G,$A124,Donations!$F:$F,"&gt;="&amp;'Daily Challenges'!$C$7,Donations!$F:$F,"&lt;="&amp;'Daily Challenges'!$D$7))</f>
        <v/>
      </c>
      <c r="G124" s="38">
        <f>IF($A124="","",SUMIFS(Donations!$D:$D,Donations!$G:$G,$A124,Donations!$F:$F,"&gt;="&amp;'Daily Challenges'!$C$8,Donations!$F:$F,"&lt;="&amp;'Daily Challenges'!$D$8))</f>
        <v/>
      </c>
      <c r="H124" s="38">
        <f>IF($A124="","",SUMIFS(Donations!$D:$D,Donations!$G:$G,$A124,Donations!$F:$F,"&lt;="&amp;'Daily Challenges'!$D$9))</f>
        <v/>
      </c>
      <c r="I124" s="38">
        <f>IF($A124="","",SUMIFS(Donations!$D:$D,Donations!$G:$G,$A124,Donations!$F:$F,"&gt;="&amp;'Daily Challenges'!$C$10,Donations!$F:$F,"&lt;="&amp;'Daily Challenges'!$D$10))</f>
        <v/>
      </c>
      <c r="J124" s="38">
        <f>IF($A124="","",SUMIFS(Donations!$D:$D,Donations!$G:$G,$A124,Donations!$F:$F,"&lt;="&amp;'Daily Challenges'!$D$12))</f>
        <v/>
      </c>
    </row>
    <row r="125">
      <c r="A125" s="32" t="inlineStr">
        <is>
          <t>Noah Gomez</t>
        </is>
      </c>
      <c r="B125" s="32" t="inlineStr">
        <is>
          <t>Mr. Galloway</t>
        </is>
      </c>
      <c r="C125" s="36" t="inlineStr">
        <is>
          <t>1</t>
        </is>
      </c>
      <c r="D125" s="37">
        <f>IF(A125="","",SUMIFS(Donations!$D:$D,Donations!$G:$G,A125))</f>
        <v/>
      </c>
      <c r="E125" s="35">
        <f>IF(A125="","",IF(D125&gt;0,"Yes",""))</f>
        <v/>
      </c>
      <c r="F125" s="38">
        <f>IF($A125="","",SUMIFS(Donations!$D:$D,Donations!$G:$G,$A125,Donations!$F:$F,"&gt;="&amp;'Daily Challenges'!$C$7,Donations!$F:$F,"&lt;="&amp;'Daily Challenges'!$D$7))</f>
        <v/>
      </c>
      <c r="G125" s="38">
        <f>IF($A125="","",SUMIFS(Donations!$D:$D,Donations!$G:$G,$A125,Donations!$F:$F,"&gt;="&amp;'Daily Challenges'!$C$8,Donations!$F:$F,"&lt;="&amp;'Daily Challenges'!$D$8))</f>
        <v/>
      </c>
      <c r="H125" s="38">
        <f>IF($A125="","",SUMIFS(Donations!$D:$D,Donations!$G:$G,$A125,Donations!$F:$F,"&lt;="&amp;'Daily Challenges'!$D$9))</f>
        <v/>
      </c>
      <c r="I125" s="38">
        <f>IF($A125="","",SUMIFS(Donations!$D:$D,Donations!$G:$G,$A125,Donations!$F:$F,"&gt;="&amp;'Daily Challenges'!$C$10,Donations!$F:$F,"&lt;="&amp;'Daily Challenges'!$D$10))</f>
        <v/>
      </c>
      <c r="J125" s="38">
        <f>IF($A125="","",SUMIFS(Donations!$D:$D,Donations!$G:$G,$A125,Donations!$F:$F,"&lt;="&amp;'Daily Challenges'!$D$12))</f>
        <v/>
      </c>
    </row>
    <row r="126">
      <c r="A126" s="32" t="inlineStr">
        <is>
          <t>Joseph Nguyen</t>
        </is>
      </c>
      <c r="B126" s="32" t="inlineStr">
        <is>
          <t>Mrs. Hayes</t>
        </is>
      </c>
      <c r="C126" s="36" t="inlineStr">
        <is>
          <t>1</t>
        </is>
      </c>
      <c r="D126" s="37">
        <f>IF(A126="","",SUMIFS(Donations!$D:$D,Donations!$G:$G,A126))</f>
        <v/>
      </c>
      <c r="E126" s="35">
        <f>IF(A126="","",IF(D126&gt;0,"Yes",""))</f>
        <v/>
      </c>
      <c r="F126" s="38">
        <f>IF($A126="","",SUMIFS(Donations!$D:$D,Donations!$G:$G,$A126,Donations!$F:$F,"&gt;="&amp;'Daily Challenges'!$C$7,Donations!$F:$F,"&lt;="&amp;'Daily Challenges'!$D$7))</f>
        <v/>
      </c>
      <c r="G126" s="38">
        <f>IF($A126="","",SUMIFS(Donations!$D:$D,Donations!$G:$G,$A126,Donations!$F:$F,"&gt;="&amp;'Daily Challenges'!$C$8,Donations!$F:$F,"&lt;="&amp;'Daily Challenges'!$D$8))</f>
        <v/>
      </c>
      <c r="H126" s="38">
        <f>IF($A126="","",SUMIFS(Donations!$D:$D,Donations!$G:$G,$A126,Donations!$F:$F,"&lt;="&amp;'Daily Challenges'!$D$9))</f>
        <v/>
      </c>
      <c r="I126" s="38">
        <f>IF($A126="","",SUMIFS(Donations!$D:$D,Donations!$G:$G,$A126,Donations!$F:$F,"&gt;="&amp;'Daily Challenges'!$C$10,Donations!$F:$F,"&lt;="&amp;'Daily Challenges'!$D$10))</f>
        <v/>
      </c>
      <c r="J126" s="38">
        <f>IF($A126="","",SUMIFS(Donations!$D:$D,Donations!$G:$G,$A126,Donations!$F:$F,"&lt;="&amp;'Daily Challenges'!$D$12))</f>
        <v/>
      </c>
    </row>
    <row r="127">
      <c r="A127" s="32" t="inlineStr">
        <is>
          <t>Grace Reyes</t>
        </is>
      </c>
      <c r="B127" s="32" t="inlineStr">
        <is>
          <t>Mrs. Hayes</t>
        </is>
      </c>
      <c r="C127" s="36" t="inlineStr">
        <is>
          <t>1</t>
        </is>
      </c>
      <c r="D127" s="37">
        <f>IF(A127="","",SUMIFS(Donations!$D:$D,Donations!$G:$G,A127))</f>
        <v/>
      </c>
      <c r="E127" s="35">
        <f>IF(A127="","",IF(D127&gt;0,"Yes",""))</f>
        <v/>
      </c>
      <c r="F127" s="38">
        <f>IF($A127="","",SUMIFS(Donations!$D:$D,Donations!$G:$G,$A127,Donations!$F:$F,"&gt;="&amp;'Daily Challenges'!$C$7,Donations!$F:$F,"&lt;="&amp;'Daily Challenges'!$D$7))</f>
        <v/>
      </c>
      <c r="G127" s="38">
        <f>IF($A127="","",SUMIFS(Donations!$D:$D,Donations!$G:$G,$A127,Donations!$F:$F,"&gt;="&amp;'Daily Challenges'!$C$8,Donations!$F:$F,"&lt;="&amp;'Daily Challenges'!$D$8))</f>
        <v/>
      </c>
      <c r="H127" s="38">
        <f>IF($A127="","",SUMIFS(Donations!$D:$D,Donations!$G:$G,$A127,Donations!$F:$F,"&lt;="&amp;'Daily Challenges'!$D$9))</f>
        <v/>
      </c>
      <c r="I127" s="38">
        <f>IF($A127="","",SUMIFS(Donations!$D:$D,Donations!$G:$G,$A127,Donations!$F:$F,"&gt;="&amp;'Daily Challenges'!$C$10,Donations!$F:$F,"&lt;="&amp;'Daily Challenges'!$D$10))</f>
        <v/>
      </c>
      <c r="J127" s="38">
        <f>IF($A127="","",SUMIFS(Donations!$D:$D,Donations!$G:$G,$A127,Donations!$F:$F,"&lt;="&amp;'Daily Challenges'!$D$12))</f>
        <v/>
      </c>
    </row>
    <row r="128">
      <c r="A128" s="32" t="inlineStr">
        <is>
          <t>Joseph Sanchez</t>
        </is>
      </c>
      <c r="B128" s="32" t="inlineStr">
        <is>
          <t>Mrs. Hayes</t>
        </is>
      </c>
      <c r="C128" s="36" t="inlineStr">
        <is>
          <t>1</t>
        </is>
      </c>
      <c r="D128" s="37">
        <f>IF(A128="","",SUMIFS(Donations!$D:$D,Donations!$G:$G,A128))</f>
        <v/>
      </c>
      <c r="E128" s="35">
        <f>IF(A128="","",IF(D128&gt;0,"Yes",""))</f>
        <v/>
      </c>
      <c r="F128" s="38">
        <f>IF($A128="","",SUMIFS(Donations!$D:$D,Donations!$G:$G,$A128,Donations!$F:$F,"&gt;="&amp;'Daily Challenges'!$C$7,Donations!$F:$F,"&lt;="&amp;'Daily Challenges'!$D$7))</f>
        <v/>
      </c>
      <c r="G128" s="38">
        <f>IF($A128="","",SUMIFS(Donations!$D:$D,Donations!$G:$G,$A128,Donations!$F:$F,"&gt;="&amp;'Daily Challenges'!$C$8,Donations!$F:$F,"&lt;="&amp;'Daily Challenges'!$D$8))</f>
        <v/>
      </c>
      <c r="H128" s="38">
        <f>IF($A128="","",SUMIFS(Donations!$D:$D,Donations!$G:$G,$A128,Donations!$F:$F,"&lt;="&amp;'Daily Challenges'!$D$9))</f>
        <v/>
      </c>
      <c r="I128" s="38">
        <f>IF($A128="","",SUMIFS(Donations!$D:$D,Donations!$G:$G,$A128,Donations!$F:$F,"&gt;="&amp;'Daily Challenges'!$C$10,Donations!$F:$F,"&lt;="&amp;'Daily Challenges'!$D$10))</f>
        <v/>
      </c>
      <c r="J128" s="38">
        <f>IF($A128="","",SUMIFS(Donations!$D:$D,Donations!$G:$G,$A128,Donations!$F:$F,"&lt;="&amp;'Daily Challenges'!$D$12))</f>
        <v/>
      </c>
    </row>
    <row r="129">
      <c r="A129" s="32" t="inlineStr">
        <is>
          <t>Evelyn O'Brien</t>
        </is>
      </c>
      <c r="B129" s="32" t="inlineStr">
        <is>
          <t>Mrs. Hayes</t>
        </is>
      </c>
      <c r="C129" s="36" t="inlineStr">
        <is>
          <t>1</t>
        </is>
      </c>
      <c r="D129" s="37">
        <f>IF(A129="","",SUMIFS(Donations!$D:$D,Donations!$G:$G,A129))</f>
        <v/>
      </c>
      <c r="E129" s="35">
        <f>IF(A129="","",IF(D129&gt;0,"Yes",""))</f>
        <v/>
      </c>
      <c r="F129" s="38">
        <f>IF($A129="","",SUMIFS(Donations!$D:$D,Donations!$G:$G,$A129,Donations!$F:$F,"&gt;="&amp;'Daily Challenges'!$C$7,Donations!$F:$F,"&lt;="&amp;'Daily Challenges'!$D$7))</f>
        <v/>
      </c>
      <c r="G129" s="38">
        <f>IF($A129="","",SUMIFS(Donations!$D:$D,Donations!$G:$G,$A129,Donations!$F:$F,"&gt;="&amp;'Daily Challenges'!$C$8,Donations!$F:$F,"&lt;="&amp;'Daily Challenges'!$D$8))</f>
        <v/>
      </c>
      <c r="H129" s="38">
        <f>IF($A129="","",SUMIFS(Donations!$D:$D,Donations!$G:$G,$A129,Donations!$F:$F,"&lt;="&amp;'Daily Challenges'!$D$9))</f>
        <v/>
      </c>
      <c r="I129" s="38">
        <f>IF($A129="","",SUMIFS(Donations!$D:$D,Donations!$G:$G,$A129,Donations!$F:$F,"&gt;="&amp;'Daily Challenges'!$C$10,Donations!$F:$F,"&lt;="&amp;'Daily Challenges'!$D$10))</f>
        <v/>
      </c>
      <c r="J129" s="38">
        <f>IF($A129="","",SUMIFS(Donations!$D:$D,Donations!$G:$G,$A129,Donations!$F:$F,"&lt;="&amp;'Daily Challenges'!$D$12))</f>
        <v/>
      </c>
    </row>
    <row r="130">
      <c r="A130" s="32" t="inlineStr">
        <is>
          <t>Zoe Castillo</t>
        </is>
      </c>
      <c r="B130" s="32" t="inlineStr">
        <is>
          <t>Mrs. Hayes</t>
        </is>
      </c>
      <c r="C130" s="36" t="inlineStr">
        <is>
          <t>1</t>
        </is>
      </c>
      <c r="D130" s="37">
        <f>IF(A130="","",SUMIFS(Donations!$D:$D,Donations!$G:$G,A130))</f>
        <v/>
      </c>
      <c r="E130" s="35">
        <f>IF(A130="","",IF(D130&gt;0,"Yes",""))</f>
        <v/>
      </c>
      <c r="F130" s="38">
        <f>IF($A130="","",SUMIFS(Donations!$D:$D,Donations!$G:$G,$A130,Donations!$F:$F,"&gt;="&amp;'Daily Challenges'!$C$7,Donations!$F:$F,"&lt;="&amp;'Daily Challenges'!$D$7))</f>
        <v/>
      </c>
      <c r="G130" s="38">
        <f>IF($A130="","",SUMIFS(Donations!$D:$D,Donations!$G:$G,$A130,Donations!$F:$F,"&gt;="&amp;'Daily Challenges'!$C$8,Donations!$F:$F,"&lt;="&amp;'Daily Challenges'!$D$8))</f>
        <v/>
      </c>
      <c r="H130" s="38">
        <f>IF($A130="","",SUMIFS(Donations!$D:$D,Donations!$G:$G,$A130,Donations!$F:$F,"&lt;="&amp;'Daily Challenges'!$D$9))</f>
        <v/>
      </c>
      <c r="I130" s="38">
        <f>IF($A130="","",SUMIFS(Donations!$D:$D,Donations!$G:$G,$A130,Donations!$F:$F,"&gt;="&amp;'Daily Challenges'!$C$10,Donations!$F:$F,"&lt;="&amp;'Daily Challenges'!$D$10))</f>
        <v/>
      </c>
      <c r="J130" s="38">
        <f>IF($A130="","",SUMIFS(Donations!$D:$D,Donations!$G:$G,$A130,Donations!$F:$F,"&lt;="&amp;'Daily Challenges'!$D$12))</f>
        <v/>
      </c>
    </row>
    <row r="131">
      <c r="A131" s="32" t="inlineStr">
        <is>
          <t>Diego O'Brien</t>
        </is>
      </c>
      <c r="B131" s="32" t="inlineStr">
        <is>
          <t>Mrs. Hayes</t>
        </is>
      </c>
      <c r="C131" s="36" t="inlineStr">
        <is>
          <t>1</t>
        </is>
      </c>
      <c r="D131" s="37">
        <f>IF(A131="","",SUMIFS(Donations!$D:$D,Donations!$G:$G,A131))</f>
        <v/>
      </c>
      <c r="E131" s="35">
        <f>IF(A131="","",IF(D131&gt;0,"Yes",""))</f>
        <v/>
      </c>
      <c r="F131" s="38">
        <f>IF($A131="","",SUMIFS(Donations!$D:$D,Donations!$G:$G,$A131,Donations!$F:$F,"&gt;="&amp;'Daily Challenges'!$C$7,Donations!$F:$F,"&lt;="&amp;'Daily Challenges'!$D$7))</f>
        <v/>
      </c>
      <c r="G131" s="38">
        <f>IF($A131="","",SUMIFS(Donations!$D:$D,Donations!$G:$G,$A131,Donations!$F:$F,"&gt;="&amp;'Daily Challenges'!$C$8,Donations!$F:$F,"&lt;="&amp;'Daily Challenges'!$D$8))</f>
        <v/>
      </c>
      <c r="H131" s="38">
        <f>IF($A131="","",SUMIFS(Donations!$D:$D,Donations!$G:$G,$A131,Donations!$F:$F,"&lt;="&amp;'Daily Challenges'!$D$9))</f>
        <v/>
      </c>
      <c r="I131" s="38">
        <f>IF($A131="","",SUMIFS(Donations!$D:$D,Donations!$G:$G,$A131,Donations!$F:$F,"&gt;="&amp;'Daily Challenges'!$C$10,Donations!$F:$F,"&lt;="&amp;'Daily Challenges'!$D$10))</f>
        <v/>
      </c>
      <c r="J131" s="38">
        <f>IF($A131="","",SUMIFS(Donations!$D:$D,Donations!$G:$G,$A131,Donations!$F:$F,"&lt;="&amp;'Daily Challenges'!$D$12))</f>
        <v/>
      </c>
    </row>
    <row r="132">
      <c r="A132" s="32" t="inlineStr">
        <is>
          <t>Isaac Diaz</t>
        </is>
      </c>
      <c r="B132" s="32" t="inlineStr">
        <is>
          <t>Mrs. Hayes</t>
        </is>
      </c>
      <c r="C132" s="36" t="inlineStr">
        <is>
          <t>1</t>
        </is>
      </c>
      <c r="D132" s="37">
        <f>IF(A132="","",SUMIFS(Donations!$D:$D,Donations!$G:$G,A132))</f>
        <v/>
      </c>
      <c r="E132" s="35">
        <f>IF(A132="","",IF(D132&gt;0,"Yes",""))</f>
        <v/>
      </c>
      <c r="F132" s="38">
        <f>IF($A132="","",SUMIFS(Donations!$D:$D,Donations!$G:$G,$A132,Donations!$F:$F,"&gt;="&amp;'Daily Challenges'!$C$7,Donations!$F:$F,"&lt;="&amp;'Daily Challenges'!$D$7))</f>
        <v/>
      </c>
      <c r="G132" s="38">
        <f>IF($A132="","",SUMIFS(Donations!$D:$D,Donations!$G:$G,$A132,Donations!$F:$F,"&gt;="&amp;'Daily Challenges'!$C$8,Donations!$F:$F,"&lt;="&amp;'Daily Challenges'!$D$8))</f>
        <v/>
      </c>
      <c r="H132" s="38">
        <f>IF($A132="","",SUMIFS(Donations!$D:$D,Donations!$G:$G,$A132,Donations!$F:$F,"&lt;="&amp;'Daily Challenges'!$D$9))</f>
        <v/>
      </c>
      <c r="I132" s="38">
        <f>IF($A132="","",SUMIFS(Donations!$D:$D,Donations!$G:$G,$A132,Donations!$F:$F,"&gt;="&amp;'Daily Challenges'!$C$10,Donations!$F:$F,"&lt;="&amp;'Daily Challenges'!$D$10))</f>
        <v/>
      </c>
      <c r="J132" s="38">
        <f>IF($A132="","",SUMIFS(Donations!$D:$D,Donations!$G:$G,$A132,Donations!$F:$F,"&lt;="&amp;'Daily Challenges'!$D$12))</f>
        <v/>
      </c>
    </row>
    <row r="133">
      <c r="A133" s="32" t="inlineStr">
        <is>
          <t>Valentina Torres</t>
        </is>
      </c>
      <c r="B133" s="32" t="inlineStr">
        <is>
          <t>Mrs. Hayes</t>
        </is>
      </c>
      <c r="C133" s="36" t="inlineStr">
        <is>
          <t>1</t>
        </is>
      </c>
      <c r="D133" s="37">
        <f>IF(A133="","",SUMIFS(Donations!$D:$D,Donations!$G:$G,A133))</f>
        <v/>
      </c>
      <c r="E133" s="35">
        <f>IF(A133="","",IF(D133&gt;0,"Yes",""))</f>
        <v/>
      </c>
      <c r="F133" s="38">
        <f>IF($A133="","",SUMIFS(Donations!$D:$D,Donations!$G:$G,$A133,Donations!$F:$F,"&gt;="&amp;'Daily Challenges'!$C$7,Donations!$F:$F,"&lt;="&amp;'Daily Challenges'!$D$7))</f>
        <v/>
      </c>
      <c r="G133" s="38">
        <f>IF($A133="","",SUMIFS(Donations!$D:$D,Donations!$G:$G,$A133,Donations!$F:$F,"&gt;="&amp;'Daily Challenges'!$C$8,Donations!$F:$F,"&lt;="&amp;'Daily Challenges'!$D$8))</f>
        <v/>
      </c>
      <c r="H133" s="38">
        <f>IF($A133="","",SUMIFS(Donations!$D:$D,Donations!$G:$G,$A133,Donations!$F:$F,"&lt;="&amp;'Daily Challenges'!$D$9))</f>
        <v/>
      </c>
      <c r="I133" s="38">
        <f>IF($A133="","",SUMIFS(Donations!$D:$D,Donations!$G:$G,$A133,Donations!$F:$F,"&gt;="&amp;'Daily Challenges'!$C$10,Donations!$F:$F,"&lt;="&amp;'Daily Challenges'!$D$10))</f>
        <v/>
      </c>
      <c r="J133" s="38">
        <f>IF($A133="","",SUMIFS(Donations!$D:$D,Donations!$G:$G,$A133,Donations!$F:$F,"&lt;="&amp;'Daily Challenges'!$D$12))</f>
        <v/>
      </c>
    </row>
    <row r="134">
      <c r="A134" s="32" t="inlineStr">
        <is>
          <t>Mia Garcia</t>
        </is>
      </c>
      <c r="B134" s="32" t="inlineStr">
        <is>
          <t>Mrs. Hayes</t>
        </is>
      </c>
      <c r="C134" s="36" t="inlineStr">
        <is>
          <t>1</t>
        </is>
      </c>
      <c r="D134" s="37">
        <f>IF(A134="","",SUMIFS(Donations!$D:$D,Donations!$G:$G,A134))</f>
        <v/>
      </c>
      <c r="E134" s="35">
        <f>IF(A134="","",IF(D134&gt;0,"Yes",""))</f>
        <v/>
      </c>
      <c r="F134" s="38">
        <f>IF($A134="","",SUMIFS(Donations!$D:$D,Donations!$G:$G,$A134,Donations!$F:$F,"&gt;="&amp;'Daily Challenges'!$C$7,Donations!$F:$F,"&lt;="&amp;'Daily Challenges'!$D$7))</f>
        <v/>
      </c>
      <c r="G134" s="38">
        <f>IF($A134="","",SUMIFS(Donations!$D:$D,Donations!$G:$G,$A134,Donations!$F:$F,"&gt;="&amp;'Daily Challenges'!$C$8,Donations!$F:$F,"&lt;="&amp;'Daily Challenges'!$D$8))</f>
        <v/>
      </c>
      <c r="H134" s="38">
        <f>IF($A134="","",SUMIFS(Donations!$D:$D,Donations!$G:$G,$A134,Donations!$F:$F,"&lt;="&amp;'Daily Challenges'!$D$9))</f>
        <v/>
      </c>
      <c r="I134" s="38">
        <f>IF($A134="","",SUMIFS(Donations!$D:$D,Donations!$G:$G,$A134,Donations!$F:$F,"&gt;="&amp;'Daily Challenges'!$C$10,Donations!$F:$F,"&lt;="&amp;'Daily Challenges'!$D$10))</f>
        <v/>
      </c>
      <c r="J134" s="38">
        <f>IF($A134="","",SUMIFS(Donations!$D:$D,Donations!$G:$G,$A134,Donations!$F:$F,"&lt;="&amp;'Daily Challenges'!$D$12))</f>
        <v/>
      </c>
    </row>
    <row r="135">
      <c r="A135" s="32" t="inlineStr">
        <is>
          <t>Lucas Vasquez</t>
        </is>
      </c>
      <c r="B135" s="32" t="inlineStr">
        <is>
          <t>Mrs. Hayes</t>
        </is>
      </c>
      <c r="C135" s="36" t="inlineStr">
        <is>
          <t>1</t>
        </is>
      </c>
      <c r="D135" s="37">
        <f>IF(A135="","",SUMIFS(Donations!$D:$D,Donations!$G:$G,A135))</f>
        <v/>
      </c>
      <c r="E135" s="35">
        <f>IF(A135="","",IF(D135&gt;0,"Yes",""))</f>
        <v/>
      </c>
      <c r="F135" s="38">
        <f>IF($A135="","",SUMIFS(Donations!$D:$D,Donations!$G:$G,$A135,Donations!$F:$F,"&gt;="&amp;'Daily Challenges'!$C$7,Donations!$F:$F,"&lt;="&amp;'Daily Challenges'!$D$7))</f>
        <v/>
      </c>
      <c r="G135" s="38">
        <f>IF($A135="","",SUMIFS(Donations!$D:$D,Donations!$G:$G,$A135,Donations!$F:$F,"&gt;="&amp;'Daily Challenges'!$C$8,Donations!$F:$F,"&lt;="&amp;'Daily Challenges'!$D$8))</f>
        <v/>
      </c>
      <c r="H135" s="38">
        <f>IF($A135="","",SUMIFS(Donations!$D:$D,Donations!$G:$G,$A135,Donations!$F:$F,"&lt;="&amp;'Daily Challenges'!$D$9))</f>
        <v/>
      </c>
      <c r="I135" s="38">
        <f>IF($A135="","",SUMIFS(Donations!$D:$D,Donations!$G:$G,$A135,Donations!$F:$F,"&gt;="&amp;'Daily Challenges'!$C$10,Donations!$F:$F,"&lt;="&amp;'Daily Challenges'!$D$10))</f>
        <v/>
      </c>
      <c r="J135" s="38">
        <f>IF($A135="","",SUMIFS(Donations!$D:$D,Donations!$G:$G,$A135,Donations!$F:$F,"&lt;="&amp;'Daily Challenges'!$D$12))</f>
        <v/>
      </c>
    </row>
    <row r="136">
      <c r="A136" s="32" t="inlineStr">
        <is>
          <t>Thomas Ortiz</t>
        </is>
      </c>
      <c r="B136" s="32" t="inlineStr">
        <is>
          <t>Mrs. Hayes</t>
        </is>
      </c>
      <c r="C136" s="36" t="inlineStr">
        <is>
          <t>1</t>
        </is>
      </c>
      <c r="D136" s="37">
        <f>IF(A136="","",SUMIFS(Donations!$D:$D,Donations!$G:$G,A136))</f>
        <v/>
      </c>
      <c r="E136" s="35">
        <f>IF(A136="","",IF(D136&gt;0,"Yes",""))</f>
        <v/>
      </c>
      <c r="F136" s="38">
        <f>IF($A136="","",SUMIFS(Donations!$D:$D,Donations!$G:$G,$A136,Donations!$F:$F,"&gt;="&amp;'Daily Challenges'!$C$7,Donations!$F:$F,"&lt;="&amp;'Daily Challenges'!$D$7))</f>
        <v/>
      </c>
      <c r="G136" s="38">
        <f>IF($A136="","",SUMIFS(Donations!$D:$D,Donations!$G:$G,$A136,Donations!$F:$F,"&gt;="&amp;'Daily Challenges'!$C$8,Donations!$F:$F,"&lt;="&amp;'Daily Challenges'!$D$8))</f>
        <v/>
      </c>
      <c r="H136" s="38">
        <f>IF($A136="","",SUMIFS(Donations!$D:$D,Donations!$G:$G,$A136,Donations!$F:$F,"&lt;="&amp;'Daily Challenges'!$D$9))</f>
        <v/>
      </c>
      <c r="I136" s="38">
        <f>IF($A136="","",SUMIFS(Donations!$D:$D,Donations!$G:$G,$A136,Donations!$F:$F,"&gt;="&amp;'Daily Challenges'!$C$10,Donations!$F:$F,"&lt;="&amp;'Daily Challenges'!$D$10))</f>
        <v/>
      </c>
      <c r="J136" s="38">
        <f>IF($A136="","",SUMIFS(Donations!$D:$D,Donations!$G:$G,$A136,Donations!$F:$F,"&lt;="&amp;'Daily Challenges'!$D$12))</f>
        <v/>
      </c>
    </row>
    <row r="137">
      <c r="A137" s="32" t="inlineStr">
        <is>
          <t>Grace Murphy</t>
        </is>
      </c>
      <c r="B137" s="32" t="inlineStr">
        <is>
          <t>Mrs. Hayes</t>
        </is>
      </c>
      <c r="C137" s="36" t="inlineStr">
        <is>
          <t>1</t>
        </is>
      </c>
      <c r="D137" s="37">
        <f>IF(A137="","",SUMIFS(Donations!$D:$D,Donations!$G:$G,A137))</f>
        <v/>
      </c>
      <c r="E137" s="35">
        <f>IF(A137="","",IF(D137&gt;0,"Yes",""))</f>
        <v/>
      </c>
      <c r="F137" s="38">
        <f>IF($A137="","",SUMIFS(Donations!$D:$D,Donations!$G:$G,$A137,Donations!$F:$F,"&gt;="&amp;'Daily Challenges'!$C$7,Donations!$F:$F,"&lt;="&amp;'Daily Challenges'!$D$7))</f>
        <v/>
      </c>
      <c r="G137" s="38">
        <f>IF($A137="","",SUMIFS(Donations!$D:$D,Donations!$G:$G,$A137,Donations!$F:$F,"&gt;="&amp;'Daily Challenges'!$C$8,Donations!$F:$F,"&lt;="&amp;'Daily Challenges'!$D$8))</f>
        <v/>
      </c>
      <c r="H137" s="38">
        <f>IF($A137="","",SUMIFS(Donations!$D:$D,Donations!$G:$G,$A137,Donations!$F:$F,"&lt;="&amp;'Daily Challenges'!$D$9))</f>
        <v/>
      </c>
      <c r="I137" s="38">
        <f>IF($A137="","",SUMIFS(Donations!$D:$D,Donations!$G:$G,$A137,Donations!$F:$F,"&gt;="&amp;'Daily Challenges'!$C$10,Donations!$F:$F,"&lt;="&amp;'Daily Challenges'!$D$10))</f>
        <v/>
      </c>
      <c r="J137" s="38">
        <f>IF($A137="","",SUMIFS(Donations!$D:$D,Donations!$G:$G,$A137,Donations!$F:$F,"&lt;="&amp;'Daily Challenges'!$D$12))</f>
        <v/>
      </c>
    </row>
    <row r="138">
      <c r="A138" s="32" t="inlineStr">
        <is>
          <t>Mateo Gutierrez</t>
        </is>
      </c>
      <c r="B138" s="32" t="inlineStr">
        <is>
          <t>Mrs. Hayes</t>
        </is>
      </c>
      <c r="C138" s="36" t="inlineStr">
        <is>
          <t>1</t>
        </is>
      </c>
      <c r="D138" s="37">
        <f>IF(A138="","",SUMIFS(Donations!$D:$D,Donations!$G:$G,A138))</f>
        <v/>
      </c>
      <c r="E138" s="35">
        <f>IF(A138="","",IF(D138&gt;0,"Yes",""))</f>
        <v/>
      </c>
      <c r="F138" s="38">
        <f>IF($A138="","",SUMIFS(Donations!$D:$D,Donations!$G:$G,$A138,Donations!$F:$F,"&gt;="&amp;'Daily Challenges'!$C$7,Donations!$F:$F,"&lt;="&amp;'Daily Challenges'!$D$7))</f>
        <v/>
      </c>
      <c r="G138" s="38">
        <f>IF($A138="","",SUMIFS(Donations!$D:$D,Donations!$G:$G,$A138,Donations!$F:$F,"&gt;="&amp;'Daily Challenges'!$C$8,Donations!$F:$F,"&lt;="&amp;'Daily Challenges'!$D$8))</f>
        <v/>
      </c>
      <c r="H138" s="38">
        <f>IF($A138="","",SUMIFS(Donations!$D:$D,Donations!$G:$G,$A138,Donations!$F:$F,"&lt;="&amp;'Daily Challenges'!$D$9))</f>
        <v/>
      </c>
      <c r="I138" s="38">
        <f>IF($A138="","",SUMIFS(Donations!$D:$D,Donations!$G:$G,$A138,Donations!$F:$F,"&gt;="&amp;'Daily Challenges'!$C$10,Donations!$F:$F,"&lt;="&amp;'Daily Challenges'!$D$10))</f>
        <v/>
      </c>
      <c r="J138" s="38">
        <f>IF($A138="","",SUMIFS(Donations!$D:$D,Donations!$G:$G,$A138,Donations!$F:$F,"&lt;="&amp;'Daily Challenges'!$D$12))</f>
        <v/>
      </c>
    </row>
    <row r="139">
      <c r="A139" s="32" t="inlineStr">
        <is>
          <t>Olivia Gutierrez</t>
        </is>
      </c>
      <c r="B139" s="32" t="inlineStr">
        <is>
          <t>Mrs. Hayes</t>
        </is>
      </c>
      <c r="C139" s="36" t="inlineStr">
        <is>
          <t>1</t>
        </is>
      </c>
      <c r="D139" s="37">
        <f>IF(A139="","",SUMIFS(Donations!$D:$D,Donations!$G:$G,A139))</f>
        <v/>
      </c>
      <c r="E139" s="35">
        <f>IF(A139="","",IF(D139&gt;0,"Yes",""))</f>
        <v/>
      </c>
      <c r="F139" s="38">
        <f>IF($A139="","",SUMIFS(Donations!$D:$D,Donations!$G:$G,$A139,Donations!$F:$F,"&gt;="&amp;'Daily Challenges'!$C$7,Donations!$F:$F,"&lt;="&amp;'Daily Challenges'!$D$7))</f>
        <v/>
      </c>
      <c r="G139" s="38">
        <f>IF($A139="","",SUMIFS(Donations!$D:$D,Donations!$G:$G,$A139,Donations!$F:$F,"&gt;="&amp;'Daily Challenges'!$C$8,Donations!$F:$F,"&lt;="&amp;'Daily Challenges'!$D$8))</f>
        <v/>
      </c>
      <c r="H139" s="38">
        <f>IF($A139="","",SUMIFS(Donations!$D:$D,Donations!$G:$G,$A139,Donations!$F:$F,"&lt;="&amp;'Daily Challenges'!$D$9))</f>
        <v/>
      </c>
      <c r="I139" s="38">
        <f>IF($A139="","",SUMIFS(Donations!$D:$D,Donations!$G:$G,$A139,Donations!$F:$F,"&gt;="&amp;'Daily Challenges'!$C$10,Donations!$F:$F,"&lt;="&amp;'Daily Challenges'!$D$10))</f>
        <v/>
      </c>
      <c r="J139" s="38">
        <f>IF($A139="","",SUMIFS(Donations!$D:$D,Donations!$G:$G,$A139,Donations!$F:$F,"&lt;="&amp;'Daily Challenges'!$D$12))</f>
        <v/>
      </c>
    </row>
    <row r="140">
      <c r="A140" s="32" t="inlineStr">
        <is>
          <t>Adrian Kelly</t>
        </is>
      </c>
      <c r="B140" s="32" t="inlineStr">
        <is>
          <t>Mrs. Hayes</t>
        </is>
      </c>
      <c r="C140" s="36" t="inlineStr">
        <is>
          <t>1</t>
        </is>
      </c>
      <c r="D140" s="37">
        <f>IF(A140="","",SUMIFS(Donations!$D:$D,Donations!$G:$G,A140))</f>
        <v/>
      </c>
      <c r="E140" s="35">
        <f>IF(A140="","",IF(D140&gt;0,"Yes",""))</f>
        <v/>
      </c>
      <c r="F140" s="38">
        <f>IF($A140="","",SUMIFS(Donations!$D:$D,Donations!$G:$G,$A140,Donations!$F:$F,"&gt;="&amp;'Daily Challenges'!$C$7,Donations!$F:$F,"&lt;="&amp;'Daily Challenges'!$D$7))</f>
        <v/>
      </c>
      <c r="G140" s="38">
        <f>IF($A140="","",SUMIFS(Donations!$D:$D,Donations!$G:$G,$A140,Donations!$F:$F,"&gt;="&amp;'Daily Challenges'!$C$8,Donations!$F:$F,"&lt;="&amp;'Daily Challenges'!$D$8))</f>
        <v/>
      </c>
      <c r="H140" s="38">
        <f>IF($A140="","",SUMIFS(Donations!$D:$D,Donations!$G:$G,$A140,Donations!$F:$F,"&lt;="&amp;'Daily Challenges'!$D$9))</f>
        <v/>
      </c>
      <c r="I140" s="38">
        <f>IF($A140="","",SUMIFS(Donations!$D:$D,Donations!$G:$G,$A140,Donations!$F:$F,"&gt;="&amp;'Daily Challenges'!$C$10,Donations!$F:$F,"&lt;="&amp;'Daily Challenges'!$D$10))</f>
        <v/>
      </c>
      <c r="J140" s="38">
        <f>IF($A140="","",SUMIFS(Donations!$D:$D,Donations!$G:$G,$A140,Donations!$F:$F,"&lt;="&amp;'Daily Challenges'!$D$12))</f>
        <v/>
      </c>
    </row>
    <row r="141">
      <c r="A141" s="32" t="inlineStr">
        <is>
          <t>Aria Torres</t>
        </is>
      </c>
      <c r="B141" s="32" t="inlineStr">
        <is>
          <t>Mrs. Hayes</t>
        </is>
      </c>
      <c r="C141" s="36" t="inlineStr">
        <is>
          <t>1</t>
        </is>
      </c>
      <c r="D141" s="37">
        <f>IF(A141="","",SUMIFS(Donations!$D:$D,Donations!$G:$G,A141))</f>
        <v/>
      </c>
      <c r="E141" s="35">
        <f>IF(A141="","",IF(D141&gt;0,"Yes",""))</f>
        <v/>
      </c>
      <c r="F141" s="38">
        <f>IF($A141="","",SUMIFS(Donations!$D:$D,Donations!$G:$G,$A141,Donations!$F:$F,"&gt;="&amp;'Daily Challenges'!$C$7,Donations!$F:$F,"&lt;="&amp;'Daily Challenges'!$D$7))</f>
        <v/>
      </c>
      <c r="G141" s="38">
        <f>IF($A141="","",SUMIFS(Donations!$D:$D,Donations!$G:$G,$A141,Donations!$F:$F,"&gt;="&amp;'Daily Challenges'!$C$8,Donations!$F:$F,"&lt;="&amp;'Daily Challenges'!$D$8))</f>
        <v/>
      </c>
      <c r="H141" s="38">
        <f>IF($A141="","",SUMIFS(Donations!$D:$D,Donations!$G:$G,$A141,Donations!$F:$F,"&lt;="&amp;'Daily Challenges'!$D$9))</f>
        <v/>
      </c>
      <c r="I141" s="38">
        <f>IF($A141="","",SUMIFS(Donations!$D:$D,Donations!$G:$G,$A141,Donations!$F:$F,"&gt;="&amp;'Daily Challenges'!$C$10,Donations!$F:$F,"&lt;="&amp;'Daily Challenges'!$D$10))</f>
        <v/>
      </c>
      <c r="J141" s="38">
        <f>IF($A141="","",SUMIFS(Donations!$D:$D,Donations!$G:$G,$A141,Donations!$F:$F,"&lt;="&amp;'Daily Challenges'!$D$12))</f>
        <v/>
      </c>
    </row>
    <row r="142">
      <c r="A142" s="32" t="inlineStr">
        <is>
          <t>Diego Ryan</t>
        </is>
      </c>
      <c r="B142" s="32" t="inlineStr">
        <is>
          <t>Mrs. Hayes</t>
        </is>
      </c>
      <c r="C142" s="36" t="inlineStr">
        <is>
          <t>1</t>
        </is>
      </c>
      <c r="D142" s="37">
        <f>IF(A142="","",SUMIFS(Donations!$D:$D,Donations!$G:$G,A142))</f>
        <v/>
      </c>
      <c r="E142" s="35">
        <f>IF(A142="","",IF(D142&gt;0,"Yes",""))</f>
        <v/>
      </c>
      <c r="F142" s="38">
        <f>IF($A142="","",SUMIFS(Donations!$D:$D,Donations!$G:$G,$A142,Donations!$F:$F,"&gt;="&amp;'Daily Challenges'!$C$7,Donations!$F:$F,"&lt;="&amp;'Daily Challenges'!$D$7))</f>
        <v/>
      </c>
      <c r="G142" s="38">
        <f>IF($A142="","",SUMIFS(Donations!$D:$D,Donations!$G:$G,$A142,Donations!$F:$F,"&gt;="&amp;'Daily Challenges'!$C$8,Donations!$F:$F,"&lt;="&amp;'Daily Challenges'!$D$8))</f>
        <v/>
      </c>
      <c r="H142" s="38">
        <f>IF($A142="","",SUMIFS(Donations!$D:$D,Donations!$G:$G,$A142,Donations!$F:$F,"&lt;="&amp;'Daily Challenges'!$D$9))</f>
        <v/>
      </c>
      <c r="I142" s="38">
        <f>IF($A142="","",SUMIFS(Donations!$D:$D,Donations!$G:$G,$A142,Donations!$F:$F,"&gt;="&amp;'Daily Challenges'!$C$10,Donations!$F:$F,"&lt;="&amp;'Daily Challenges'!$D$10))</f>
        <v/>
      </c>
      <c r="J142" s="38">
        <f>IF($A142="","",SUMIFS(Donations!$D:$D,Donations!$G:$G,$A142,Donations!$F:$F,"&lt;="&amp;'Daily Challenges'!$D$12))</f>
        <v/>
      </c>
    </row>
    <row r="143">
      <c r="A143" s="32" t="inlineStr">
        <is>
          <t>Benjamin Sullivan</t>
        </is>
      </c>
      <c r="B143" s="32" t="inlineStr">
        <is>
          <t>Mrs. Hayes</t>
        </is>
      </c>
      <c r="C143" s="36" t="inlineStr">
        <is>
          <t>1</t>
        </is>
      </c>
      <c r="D143" s="37">
        <f>IF(A143="","",SUMIFS(Donations!$D:$D,Donations!$G:$G,A143))</f>
        <v/>
      </c>
      <c r="E143" s="35">
        <f>IF(A143="","",IF(D143&gt;0,"Yes",""))</f>
        <v/>
      </c>
      <c r="F143" s="38">
        <f>IF($A143="","",SUMIFS(Donations!$D:$D,Donations!$G:$G,$A143,Donations!$F:$F,"&gt;="&amp;'Daily Challenges'!$C$7,Donations!$F:$F,"&lt;="&amp;'Daily Challenges'!$D$7))</f>
        <v/>
      </c>
      <c r="G143" s="38">
        <f>IF($A143="","",SUMIFS(Donations!$D:$D,Donations!$G:$G,$A143,Donations!$F:$F,"&gt;="&amp;'Daily Challenges'!$C$8,Donations!$F:$F,"&lt;="&amp;'Daily Challenges'!$D$8))</f>
        <v/>
      </c>
      <c r="H143" s="38">
        <f>IF($A143="","",SUMIFS(Donations!$D:$D,Donations!$G:$G,$A143,Donations!$F:$F,"&lt;="&amp;'Daily Challenges'!$D$9))</f>
        <v/>
      </c>
      <c r="I143" s="38">
        <f>IF($A143="","",SUMIFS(Donations!$D:$D,Donations!$G:$G,$A143,Donations!$F:$F,"&gt;="&amp;'Daily Challenges'!$C$10,Donations!$F:$F,"&lt;="&amp;'Daily Challenges'!$D$10))</f>
        <v/>
      </c>
      <c r="J143" s="38">
        <f>IF($A143="","",SUMIFS(Donations!$D:$D,Donations!$G:$G,$A143,Donations!$F:$F,"&lt;="&amp;'Daily Challenges'!$D$12))</f>
        <v/>
      </c>
    </row>
    <row r="144">
      <c r="A144" s="32" t="inlineStr">
        <is>
          <t>Ella Torres</t>
        </is>
      </c>
      <c r="B144" s="32" t="inlineStr">
        <is>
          <t>Mrs. Hayes</t>
        </is>
      </c>
      <c r="C144" s="36" t="inlineStr">
        <is>
          <t>1</t>
        </is>
      </c>
      <c r="D144" s="37">
        <f>IF(A144="","",SUMIFS(Donations!$D:$D,Donations!$G:$G,A144))</f>
        <v/>
      </c>
      <c r="E144" s="35">
        <f>IF(A144="","",IF(D144&gt;0,"Yes",""))</f>
        <v/>
      </c>
      <c r="F144" s="38">
        <f>IF($A144="","",SUMIFS(Donations!$D:$D,Donations!$G:$G,$A144,Donations!$F:$F,"&gt;="&amp;'Daily Challenges'!$C$7,Donations!$F:$F,"&lt;="&amp;'Daily Challenges'!$D$7))</f>
        <v/>
      </c>
      <c r="G144" s="38">
        <f>IF($A144="","",SUMIFS(Donations!$D:$D,Donations!$G:$G,$A144,Donations!$F:$F,"&gt;="&amp;'Daily Challenges'!$C$8,Donations!$F:$F,"&lt;="&amp;'Daily Challenges'!$D$8))</f>
        <v/>
      </c>
      <c r="H144" s="38">
        <f>IF($A144="","",SUMIFS(Donations!$D:$D,Donations!$G:$G,$A144,Donations!$F:$F,"&lt;="&amp;'Daily Challenges'!$D$9))</f>
        <v/>
      </c>
      <c r="I144" s="38">
        <f>IF($A144="","",SUMIFS(Donations!$D:$D,Donations!$G:$G,$A144,Donations!$F:$F,"&gt;="&amp;'Daily Challenges'!$C$10,Donations!$F:$F,"&lt;="&amp;'Daily Challenges'!$D$10))</f>
        <v/>
      </c>
      <c r="J144" s="38">
        <f>IF($A144="","",SUMIFS(Donations!$D:$D,Donations!$G:$G,$A144,Donations!$F:$F,"&lt;="&amp;'Daily Challenges'!$D$12))</f>
        <v/>
      </c>
    </row>
    <row r="145">
      <c r="A145" s="32" t="inlineStr">
        <is>
          <t>Ella Reyes</t>
        </is>
      </c>
      <c r="B145" s="32" t="inlineStr">
        <is>
          <t>Mrs. Hayes</t>
        </is>
      </c>
      <c r="C145" s="36" t="inlineStr">
        <is>
          <t>1</t>
        </is>
      </c>
      <c r="D145" s="37">
        <f>IF(A145="","",SUMIFS(Donations!$D:$D,Donations!$G:$G,A145))</f>
        <v/>
      </c>
      <c r="E145" s="35">
        <f>IF(A145="","",IF(D145&gt;0,"Yes",""))</f>
        <v/>
      </c>
      <c r="F145" s="38">
        <f>IF($A145="","",SUMIFS(Donations!$D:$D,Donations!$G:$G,$A145,Donations!$F:$F,"&gt;="&amp;'Daily Challenges'!$C$7,Donations!$F:$F,"&lt;="&amp;'Daily Challenges'!$D$7))</f>
        <v/>
      </c>
      <c r="G145" s="38">
        <f>IF($A145="","",SUMIFS(Donations!$D:$D,Donations!$G:$G,$A145,Donations!$F:$F,"&gt;="&amp;'Daily Challenges'!$C$8,Donations!$F:$F,"&lt;="&amp;'Daily Challenges'!$D$8))</f>
        <v/>
      </c>
      <c r="H145" s="38">
        <f>IF($A145="","",SUMIFS(Donations!$D:$D,Donations!$G:$G,$A145,Donations!$F:$F,"&lt;="&amp;'Daily Challenges'!$D$9))</f>
        <v/>
      </c>
      <c r="I145" s="38">
        <f>IF($A145="","",SUMIFS(Donations!$D:$D,Donations!$G:$G,$A145,Donations!$F:$F,"&gt;="&amp;'Daily Challenges'!$C$10,Donations!$F:$F,"&lt;="&amp;'Daily Challenges'!$D$10))</f>
        <v/>
      </c>
      <c r="J145" s="38">
        <f>IF($A145="","",SUMIFS(Donations!$D:$D,Donations!$G:$G,$A145,Donations!$F:$F,"&lt;="&amp;'Daily Challenges'!$D$12))</f>
        <v/>
      </c>
    </row>
    <row r="146">
      <c r="A146" s="32" t="inlineStr">
        <is>
          <t>Ella Diaz</t>
        </is>
      </c>
      <c r="B146" s="32" t="inlineStr">
        <is>
          <t>Ms. Ingram</t>
        </is>
      </c>
      <c r="C146" s="36" t="inlineStr">
        <is>
          <t>2</t>
        </is>
      </c>
      <c r="D146" s="37">
        <f>IF(A146="","",SUMIFS(Donations!$D:$D,Donations!$G:$G,A146))</f>
        <v/>
      </c>
      <c r="E146" s="35">
        <f>IF(A146="","",IF(D146&gt;0,"Yes",""))</f>
        <v/>
      </c>
      <c r="F146" s="38">
        <f>IF($A146="","",SUMIFS(Donations!$D:$D,Donations!$G:$G,$A146,Donations!$F:$F,"&gt;="&amp;'Daily Challenges'!$C$7,Donations!$F:$F,"&lt;="&amp;'Daily Challenges'!$D$7))</f>
        <v/>
      </c>
      <c r="G146" s="38">
        <f>IF($A146="","",SUMIFS(Donations!$D:$D,Donations!$G:$G,$A146,Donations!$F:$F,"&gt;="&amp;'Daily Challenges'!$C$8,Donations!$F:$F,"&lt;="&amp;'Daily Challenges'!$D$8))</f>
        <v/>
      </c>
      <c r="H146" s="38">
        <f>IF($A146="","",SUMIFS(Donations!$D:$D,Donations!$G:$G,$A146,Donations!$F:$F,"&lt;="&amp;'Daily Challenges'!$D$9))</f>
        <v/>
      </c>
      <c r="I146" s="38">
        <f>IF($A146="","",SUMIFS(Donations!$D:$D,Donations!$G:$G,$A146,Donations!$F:$F,"&gt;="&amp;'Daily Challenges'!$C$10,Donations!$F:$F,"&lt;="&amp;'Daily Challenges'!$D$10))</f>
        <v/>
      </c>
      <c r="J146" s="38">
        <f>IF($A146="","",SUMIFS(Donations!$D:$D,Donations!$G:$G,$A146,Donations!$F:$F,"&lt;="&amp;'Daily Challenges'!$D$12))</f>
        <v/>
      </c>
    </row>
    <row r="147">
      <c r="A147" s="32" t="inlineStr">
        <is>
          <t>Clara Sullivan</t>
        </is>
      </c>
      <c r="B147" s="32" t="inlineStr">
        <is>
          <t>Ms. Ingram</t>
        </is>
      </c>
      <c r="C147" s="36" t="inlineStr">
        <is>
          <t>2</t>
        </is>
      </c>
      <c r="D147" s="37">
        <f>IF(A147="","",SUMIFS(Donations!$D:$D,Donations!$G:$G,A147))</f>
        <v/>
      </c>
      <c r="E147" s="35">
        <f>IF(A147="","",IF(D147&gt;0,"Yes",""))</f>
        <v/>
      </c>
      <c r="F147" s="38">
        <f>IF($A147="","",SUMIFS(Donations!$D:$D,Donations!$G:$G,$A147,Donations!$F:$F,"&gt;="&amp;'Daily Challenges'!$C$7,Donations!$F:$F,"&lt;="&amp;'Daily Challenges'!$D$7))</f>
        <v/>
      </c>
      <c r="G147" s="38">
        <f>IF($A147="","",SUMIFS(Donations!$D:$D,Donations!$G:$G,$A147,Donations!$F:$F,"&gt;="&amp;'Daily Challenges'!$C$8,Donations!$F:$F,"&lt;="&amp;'Daily Challenges'!$D$8))</f>
        <v/>
      </c>
      <c r="H147" s="38">
        <f>IF($A147="","",SUMIFS(Donations!$D:$D,Donations!$G:$G,$A147,Donations!$F:$F,"&lt;="&amp;'Daily Challenges'!$D$9))</f>
        <v/>
      </c>
      <c r="I147" s="38">
        <f>IF($A147="","",SUMIFS(Donations!$D:$D,Donations!$G:$G,$A147,Donations!$F:$F,"&gt;="&amp;'Daily Challenges'!$C$10,Donations!$F:$F,"&lt;="&amp;'Daily Challenges'!$D$10))</f>
        <v/>
      </c>
      <c r="J147" s="38">
        <f>IF($A147="","",SUMIFS(Donations!$D:$D,Donations!$G:$G,$A147,Donations!$F:$F,"&lt;="&amp;'Daily Challenges'!$D$12))</f>
        <v/>
      </c>
    </row>
    <row r="148">
      <c r="A148" s="32" t="inlineStr">
        <is>
          <t>Emma Williams</t>
        </is>
      </c>
      <c r="B148" s="32" t="inlineStr">
        <is>
          <t>Ms. Ingram</t>
        </is>
      </c>
      <c r="C148" s="36" t="inlineStr">
        <is>
          <t>2</t>
        </is>
      </c>
      <c r="D148" s="37">
        <f>IF(A148="","",SUMIFS(Donations!$D:$D,Donations!$G:$G,A148))</f>
        <v/>
      </c>
      <c r="E148" s="35">
        <f>IF(A148="","",IF(D148&gt;0,"Yes",""))</f>
        <v/>
      </c>
      <c r="F148" s="38">
        <f>IF($A148="","",SUMIFS(Donations!$D:$D,Donations!$G:$G,$A148,Donations!$F:$F,"&gt;="&amp;'Daily Challenges'!$C$7,Donations!$F:$F,"&lt;="&amp;'Daily Challenges'!$D$7))</f>
        <v/>
      </c>
      <c r="G148" s="38">
        <f>IF($A148="","",SUMIFS(Donations!$D:$D,Donations!$G:$G,$A148,Donations!$F:$F,"&gt;="&amp;'Daily Challenges'!$C$8,Donations!$F:$F,"&lt;="&amp;'Daily Challenges'!$D$8))</f>
        <v/>
      </c>
      <c r="H148" s="38">
        <f>IF($A148="","",SUMIFS(Donations!$D:$D,Donations!$G:$G,$A148,Donations!$F:$F,"&lt;="&amp;'Daily Challenges'!$D$9))</f>
        <v/>
      </c>
      <c r="I148" s="38">
        <f>IF($A148="","",SUMIFS(Donations!$D:$D,Donations!$G:$G,$A148,Donations!$F:$F,"&gt;="&amp;'Daily Challenges'!$C$10,Donations!$F:$F,"&lt;="&amp;'Daily Challenges'!$D$10))</f>
        <v/>
      </c>
      <c r="J148" s="38">
        <f>IF($A148="","",SUMIFS(Donations!$D:$D,Donations!$G:$G,$A148,Donations!$F:$F,"&lt;="&amp;'Daily Challenges'!$D$12))</f>
        <v/>
      </c>
    </row>
    <row r="149">
      <c r="A149" s="32" t="inlineStr">
        <is>
          <t>Amelia Williams</t>
        </is>
      </c>
      <c r="B149" s="32" t="inlineStr">
        <is>
          <t>Ms. Ingram</t>
        </is>
      </c>
      <c r="C149" s="36" t="inlineStr">
        <is>
          <t>2</t>
        </is>
      </c>
      <c r="D149" s="37">
        <f>IF(A149="","",SUMIFS(Donations!$D:$D,Donations!$G:$G,A149))</f>
        <v/>
      </c>
      <c r="E149" s="35">
        <f>IF(A149="","",IF(D149&gt;0,"Yes",""))</f>
        <v/>
      </c>
      <c r="F149" s="38">
        <f>IF($A149="","",SUMIFS(Donations!$D:$D,Donations!$G:$G,$A149,Donations!$F:$F,"&gt;="&amp;'Daily Challenges'!$C$7,Donations!$F:$F,"&lt;="&amp;'Daily Challenges'!$D$7))</f>
        <v/>
      </c>
      <c r="G149" s="38">
        <f>IF($A149="","",SUMIFS(Donations!$D:$D,Donations!$G:$G,$A149,Donations!$F:$F,"&gt;="&amp;'Daily Challenges'!$C$8,Donations!$F:$F,"&lt;="&amp;'Daily Challenges'!$D$8))</f>
        <v/>
      </c>
      <c r="H149" s="38">
        <f>IF($A149="","",SUMIFS(Donations!$D:$D,Donations!$G:$G,$A149,Donations!$F:$F,"&lt;="&amp;'Daily Challenges'!$D$9))</f>
        <v/>
      </c>
      <c r="I149" s="38">
        <f>IF($A149="","",SUMIFS(Donations!$D:$D,Donations!$G:$G,$A149,Donations!$F:$F,"&gt;="&amp;'Daily Challenges'!$C$10,Donations!$F:$F,"&lt;="&amp;'Daily Challenges'!$D$10))</f>
        <v/>
      </c>
      <c r="J149" s="38">
        <f>IF($A149="","",SUMIFS(Donations!$D:$D,Donations!$G:$G,$A149,Donations!$F:$F,"&lt;="&amp;'Daily Challenges'!$D$12))</f>
        <v/>
      </c>
    </row>
    <row r="150">
      <c r="A150" s="32" t="inlineStr">
        <is>
          <t>Samuel Perez</t>
        </is>
      </c>
      <c r="B150" s="32" t="inlineStr">
        <is>
          <t>Ms. Ingram</t>
        </is>
      </c>
      <c r="C150" s="36" t="inlineStr">
        <is>
          <t>2</t>
        </is>
      </c>
      <c r="D150" s="37">
        <f>IF(A150="","",SUMIFS(Donations!$D:$D,Donations!$G:$G,A150))</f>
        <v/>
      </c>
      <c r="E150" s="35">
        <f>IF(A150="","",IF(D150&gt;0,"Yes",""))</f>
        <v/>
      </c>
      <c r="F150" s="38">
        <f>IF($A150="","",SUMIFS(Donations!$D:$D,Donations!$G:$G,$A150,Donations!$F:$F,"&gt;="&amp;'Daily Challenges'!$C$7,Donations!$F:$F,"&lt;="&amp;'Daily Challenges'!$D$7))</f>
        <v/>
      </c>
      <c r="G150" s="38">
        <f>IF($A150="","",SUMIFS(Donations!$D:$D,Donations!$G:$G,$A150,Donations!$F:$F,"&gt;="&amp;'Daily Challenges'!$C$8,Donations!$F:$F,"&lt;="&amp;'Daily Challenges'!$D$8))</f>
        <v/>
      </c>
      <c r="H150" s="38">
        <f>IF($A150="","",SUMIFS(Donations!$D:$D,Donations!$G:$G,$A150,Donations!$F:$F,"&lt;="&amp;'Daily Challenges'!$D$9))</f>
        <v/>
      </c>
      <c r="I150" s="38">
        <f>IF($A150="","",SUMIFS(Donations!$D:$D,Donations!$G:$G,$A150,Donations!$F:$F,"&gt;="&amp;'Daily Challenges'!$C$10,Donations!$F:$F,"&lt;="&amp;'Daily Challenges'!$D$10))</f>
        <v/>
      </c>
      <c r="J150" s="38">
        <f>IF($A150="","",SUMIFS(Donations!$D:$D,Donations!$G:$G,$A150,Donations!$F:$F,"&lt;="&amp;'Daily Challenges'!$D$12))</f>
        <v/>
      </c>
    </row>
    <row r="151">
      <c r="A151" s="32" t="inlineStr">
        <is>
          <t>Valentina Hernandez</t>
        </is>
      </c>
      <c r="B151" s="32" t="inlineStr">
        <is>
          <t>Ms. Ingram</t>
        </is>
      </c>
      <c r="C151" s="36" t="inlineStr">
        <is>
          <t>2</t>
        </is>
      </c>
      <c r="D151" s="37">
        <f>IF(A151="","",SUMIFS(Donations!$D:$D,Donations!$G:$G,A151))</f>
        <v/>
      </c>
      <c r="E151" s="35">
        <f>IF(A151="","",IF(D151&gt;0,"Yes",""))</f>
        <v/>
      </c>
      <c r="F151" s="38">
        <f>IF($A151="","",SUMIFS(Donations!$D:$D,Donations!$G:$G,$A151,Donations!$F:$F,"&gt;="&amp;'Daily Challenges'!$C$7,Donations!$F:$F,"&lt;="&amp;'Daily Challenges'!$D$7))</f>
        <v/>
      </c>
      <c r="G151" s="38">
        <f>IF($A151="","",SUMIFS(Donations!$D:$D,Donations!$G:$G,$A151,Donations!$F:$F,"&gt;="&amp;'Daily Challenges'!$C$8,Donations!$F:$F,"&lt;="&amp;'Daily Challenges'!$D$8))</f>
        <v/>
      </c>
      <c r="H151" s="38">
        <f>IF($A151="","",SUMIFS(Donations!$D:$D,Donations!$G:$G,$A151,Donations!$F:$F,"&lt;="&amp;'Daily Challenges'!$D$9))</f>
        <v/>
      </c>
      <c r="I151" s="38">
        <f>IF($A151="","",SUMIFS(Donations!$D:$D,Donations!$G:$G,$A151,Donations!$F:$F,"&gt;="&amp;'Daily Challenges'!$C$10,Donations!$F:$F,"&lt;="&amp;'Daily Challenges'!$D$10))</f>
        <v/>
      </c>
      <c r="J151" s="38">
        <f>IF($A151="","",SUMIFS(Donations!$D:$D,Donations!$G:$G,$A151,Donations!$F:$F,"&lt;="&amp;'Daily Challenges'!$D$12))</f>
        <v/>
      </c>
    </row>
    <row r="152">
      <c r="A152" s="32" t="inlineStr">
        <is>
          <t>Luna Sanchez</t>
        </is>
      </c>
      <c r="B152" s="32" t="inlineStr">
        <is>
          <t>Ms. Ingram</t>
        </is>
      </c>
      <c r="C152" s="36" t="inlineStr">
        <is>
          <t>2</t>
        </is>
      </c>
      <c r="D152" s="37">
        <f>IF(A152="","",SUMIFS(Donations!$D:$D,Donations!$G:$G,A152))</f>
        <v/>
      </c>
      <c r="E152" s="35">
        <f>IF(A152="","",IF(D152&gt;0,"Yes",""))</f>
        <v/>
      </c>
      <c r="F152" s="38">
        <f>IF($A152="","",SUMIFS(Donations!$D:$D,Donations!$G:$G,$A152,Donations!$F:$F,"&gt;="&amp;'Daily Challenges'!$C$7,Donations!$F:$F,"&lt;="&amp;'Daily Challenges'!$D$7))</f>
        <v/>
      </c>
      <c r="G152" s="38">
        <f>IF($A152="","",SUMIFS(Donations!$D:$D,Donations!$G:$G,$A152,Donations!$F:$F,"&gt;="&amp;'Daily Challenges'!$C$8,Donations!$F:$F,"&lt;="&amp;'Daily Challenges'!$D$8))</f>
        <v/>
      </c>
      <c r="H152" s="38">
        <f>IF($A152="","",SUMIFS(Donations!$D:$D,Donations!$G:$G,$A152,Donations!$F:$F,"&lt;="&amp;'Daily Challenges'!$D$9))</f>
        <v/>
      </c>
      <c r="I152" s="38">
        <f>IF($A152="","",SUMIFS(Donations!$D:$D,Donations!$G:$G,$A152,Donations!$F:$F,"&gt;="&amp;'Daily Challenges'!$C$10,Donations!$F:$F,"&lt;="&amp;'Daily Challenges'!$D$10))</f>
        <v/>
      </c>
      <c r="J152" s="38">
        <f>IF($A152="","",SUMIFS(Donations!$D:$D,Donations!$G:$G,$A152,Donations!$F:$F,"&lt;="&amp;'Daily Challenges'!$D$12))</f>
        <v/>
      </c>
    </row>
    <row r="153">
      <c r="A153" s="32" t="inlineStr">
        <is>
          <t>Nora Morales</t>
        </is>
      </c>
      <c r="B153" s="32" t="inlineStr">
        <is>
          <t>Ms. Ingram</t>
        </is>
      </c>
      <c r="C153" s="36" t="inlineStr">
        <is>
          <t>2</t>
        </is>
      </c>
      <c r="D153" s="37">
        <f>IF(A153="","",SUMIFS(Donations!$D:$D,Donations!$G:$G,A153))</f>
        <v/>
      </c>
      <c r="E153" s="35">
        <f>IF(A153="","",IF(D153&gt;0,"Yes",""))</f>
        <v/>
      </c>
      <c r="F153" s="38">
        <f>IF($A153="","",SUMIFS(Donations!$D:$D,Donations!$G:$G,$A153,Donations!$F:$F,"&gt;="&amp;'Daily Challenges'!$C$7,Donations!$F:$F,"&lt;="&amp;'Daily Challenges'!$D$7))</f>
        <v/>
      </c>
      <c r="G153" s="38">
        <f>IF($A153="","",SUMIFS(Donations!$D:$D,Donations!$G:$G,$A153,Donations!$F:$F,"&gt;="&amp;'Daily Challenges'!$C$8,Donations!$F:$F,"&lt;="&amp;'Daily Challenges'!$D$8))</f>
        <v/>
      </c>
      <c r="H153" s="38">
        <f>IF($A153="","",SUMIFS(Donations!$D:$D,Donations!$G:$G,$A153,Donations!$F:$F,"&lt;="&amp;'Daily Challenges'!$D$9))</f>
        <v/>
      </c>
      <c r="I153" s="38">
        <f>IF($A153="","",SUMIFS(Donations!$D:$D,Donations!$G:$G,$A153,Donations!$F:$F,"&gt;="&amp;'Daily Challenges'!$C$10,Donations!$F:$F,"&lt;="&amp;'Daily Challenges'!$D$10))</f>
        <v/>
      </c>
      <c r="J153" s="38">
        <f>IF($A153="","",SUMIFS(Donations!$D:$D,Donations!$G:$G,$A153,Donations!$F:$F,"&lt;="&amp;'Daily Challenges'!$D$12))</f>
        <v/>
      </c>
    </row>
    <row r="154">
      <c r="A154" s="32" t="inlineStr">
        <is>
          <t>Benjamin Walsh</t>
        </is>
      </c>
      <c r="B154" s="32" t="inlineStr">
        <is>
          <t>Ms. Ingram</t>
        </is>
      </c>
      <c r="C154" s="36" t="inlineStr">
        <is>
          <t>2</t>
        </is>
      </c>
      <c r="D154" s="37">
        <f>IF(A154="","",SUMIFS(Donations!$D:$D,Donations!$G:$G,A154))</f>
        <v/>
      </c>
      <c r="E154" s="35">
        <f>IF(A154="","",IF(D154&gt;0,"Yes",""))</f>
        <v/>
      </c>
      <c r="F154" s="38">
        <f>IF($A154="","",SUMIFS(Donations!$D:$D,Donations!$G:$G,$A154,Donations!$F:$F,"&gt;="&amp;'Daily Challenges'!$C$7,Donations!$F:$F,"&lt;="&amp;'Daily Challenges'!$D$7))</f>
        <v/>
      </c>
      <c r="G154" s="38">
        <f>IF($A154="","",SUMIFS(Donations!$D:$D,Donations!$G:$G,$A154,Donations!$F:$F,"&gt;="&amp;'Daily Challenges'!$C$8,Donations!$F:$F,"&lt;="&amp;'Daily Challenges'!$D$8))</f>
        <v/>
      </c>
      <c r="H154" s="38">
        <f>IF($A154="","",SUMIFS(Donations!$D:$D,Donations!$G:$G,$A154,Donations!$F:$F,"&lt;="&amp;'Daily Challenges'!$D$9))</f>
        <v/>
      </c>
      <c r="I154" s="38">
        <f>IF($A154="","",SUMIFS(Donations!$D:$D,Donations!$G:$G,$A154,Donations!$F:$F,"&gt;="&amp;'Daily Challenges'!$C$10,Donations!$F:$F,"&lt;="&amp;'Daily Challenges'!$D$10))</f>
        <v/>
      </c>
      <c r="J154" s="38">
        <f>IF($A154="","",SUMIFS(Donations!$D:$D,Donations!$G:$G,$A154,Donations!$F:$F,"&lt;="&amp;'Daily Challenges'!$D$12))</f>
        <v/>
      </c>
    </row>
    <row r="155">
      <c r="A155" s="32" t="inlineStr">
        <is>
          <t>Camila Reyes</t>
        </is>
      </c>
      <c r="B155" s="32" t="inlineStr">
        <is>
          <t>Ms. Ingram</t>
        </is>
      </c>
      <c r="C155" s="36" t="inlineStr">
        <is>
          <t>2</t>
        </is>
      </c>
      <c r="D155" s="37">
        <f>IF(A155="","",SUMIFS(Donations!$D:$D,Donations!$G:$G,A155))</f>
        <v/>
      </c>
      <c r="E155" s="35">
        <f>IF(A155="","",IF(D155&gt;0,"Yes",""))</f>
        <v/>
      </c>
      <c r="F155" s="38">
        <f>IF($A155="","",SUMIFS(Donations!$D:$D,Donations!$G:$G,$A155,Donations!$F:$F,"&gt;="&amp;'Daily Challenges'!$C$7,Donations!$F:$F,"&lt;="&amp;'Daily Challenges'!$D$7))</f>
        <v/>
      </c>
      <c r="G155" s="38">
        <f>IF($A155="","",SUMIFS(Donations!$D:$D,Donations!$G:$G,$A155,Donations!$F:$F,"&gt;="&amp;'Daily Challenges'!$C$8,Donations!$F:$F,"&lt;="&amp;'Daily Challenges'!$D$8))</f>
        <v/>
      </c>
      <c r="H155" s="38">
        <f>IF($A155="","",SUMIFS(Donations!$D:$D,Donations!$G:$G,$A155,Donations!$F:$F,"&lt;="&amp;'Daily Challenges'!$D$9))</f>
        <v/>
      </c>
      <c r="I155" s="38">
        <f>IF($A155="","",SUMIFS(Donations!$D:$D,Donations!$G:$G,$A155,Donations!$F:$F,"&gt;="&amp;'Daily Challenges'!$C$10,Donations!$F:$F,"&lt;="&amp;'Daily Challenges'!$D$10))</f>
        <v/>
      </c>
      <c r="J155" s="38">
        <f>IF($A155="","",SUMIFS(Donations!$D:$D,Donations!$G:$G,$A155,Donations!$F:$F,"&lt;="&amp;'Daily Challenges'!$D$12))</f>
        <v/>
      </c>
    </row>
    <row r="156">
      <c r="A156" s="32" t="inlineStr">
        <is>
          <t>Evelyn Perez</t>
        </is>
      </c>
      <c r="B156" s="32" t="inlineStr">
        <is>
          <t>Ms. Ingram</t>
        </is>
      </c>
      <c r="C156" s="36" t="inlineStr">
        <is>
          <t>2</t>
        </is>
      </c>
      <c r="D156" s="37">
        <f>IF(A156="","",SUMIFS(Donations!$D:$D,Donations!$G:$G,A156))</f>
        <v/>
      </c>
      <c r="E156" s="35">
        <f>IF(A156="","",IF(D156&gt;0,"Yes",""))</f>
        <v/>
      </c>
      <c r="F156" s="38">
        <f>IF($A156="","",SUMIFS(Donations!$D:$D,Donations!$G:$G,$A156,Donations!$F:$F,"&gt;="&amp;'Daily Challenges'!$C$7,Donations!$F:$F,"&lt;="&amp;'Daily Challenges'!$D$7))</f>
        <v/>
      </c>
      <c r="G156" s="38">
        <f>IF($A156="","",SUMIFS(Donations!$D:$D,Donations!$G:$G,$A156,Donations!$F:$F,"&gt;="&amp;'Daily Challenges'!$C$8,Donations!$F:$F,"&lt;="&amp;'Daily Challenges'!$D$8))</f>
        <v/>
      </c>
      <c r="H156" s="38">
        <f>IF($A156="","",SUMIFS(Donations!$D:$D,Donations!$G:$G,$A156,Donations!$F:$F,"&lt;="&amp;'Daily Challenges'!$D$9))</f>
        <v/>
      </c>
      <c r="I156" s="38">
        <f>IF($A156="","",SUMIFS(Donations!$D:$D,Donations!$G:$G,$A156,Donations!$F:$F,"&gt;="&amp;'Daily Challenges'!$C$10,Donations!$F:$F,"&lt;="&amp;'Daily Challenges'!$D$10))</f>
        <v/>
      </c>
      <c r="J156" s="38">
        <f>IF($A156="","",SUMIFS(Donations!$D:$D,Donations!$G:$G,$A156,Donations!$F:$F,"&lt;="&amp;'Daily Challenges'!$D$12))</f>
        <v/>
      </c>
    </row>
    <row r="157">
      <c r="A157" s="32" t="inlineStr">
        <is>
          <t>Amelia Gomez</t>
        </is>
      </c>
      <c r="B157" s="32" t="inlineStr">
        <is>
          <t>Ms. Ingram</t>
        </is>
      </c>
      <c r="C157" s="36" t="inlineStr">
        <is>
          <t>2</t>
        </is>
      </c>
      <c r="D157" s="37">
        <f>IF(A157="","",SUMIFS(Donations!$D:$D,Donations!$G:$G,A157))</f>
        <v/>
      </c>
      <c r="E157" s="35">
        <f>IF(A157="","",IF(D157&gt;0,"Yes",""))</f>
        <v/>
      </c>
      <c r="F157" s="38">
        <f>IF($A157="","",SUMIFS(Donations!$D:$D,Donations!$G:$G,$A157,Donations!$F:$F,"&gt;="&amp;'Daily Challenges'!$C$7,Donations!$F:$F,"&lt;="&amp;'Daily Challenges'!$D$7))</f>
        <v/>
      </c>
      <c r="G157" s="38">
        <f>IF($A157="","",SUMIFS(Donations!$D:$D,Donations!$G:$G,$A157,Donations!$F:$F,"&gt;="&amp;'Daily Challenges'!$C$8,Donations!$F:$F,"&lt;="&amp;'Daily Challenges'!$D$8))</f>
        <v/>
      </c>
      <c r="H157" s="38">
        <f>IF($A157="","",SUMIFS(Donations!$D:$D,Donations!$G:$G,$A157,Donations!$F:$F,"&lt;="&amp;'Daily Challenges'!$D$9))</f>
        <v/>
      </c>
      <c r="I157" s="38">
        <f>IF($A157="","",SUMIFS(Donations!$D:$D,Donations!$G:$G,$A157,Donations!$F:$F,"&gt;="&amp;'Daily Challenges'!$C$10,Donations!$F:$F,"&lt;="&amp;'Daily Challenges'!$D$10))</f>
        <v/>
      </c>
      <c r="J157" s="38">
        <f>IF($A157="","",SUMIFS(Donations!$D:$D,Donations!$G:$G,$A157,Donations!$F:$F,"&lt;="&amp;'Daily Challenges'!$D$12))</f>
        <v/>
      </c>
    </row>
    <row r="158">
      <c r="A158" s="32" t="inlineStr">
        <is>
          <t>Camila Garcia</t>
        </is>
      </c>
      <c r="B158" s="32" t="inlineStr">
        <is>
          <t>Ms. Ingram</t>
        </is>
      </c>
      <c r="C158" s="36" t="inlineStr">
        <is>
          <t>2</t>
        </is>
      </c>
      <c r="D158" s="37">
        <f>IF(A158="","",SUMIFS(Donations!$D:$D,Donations!$G:$G,A158))</f>
        <v/>
      </c>
      <c r="E158" s="35">
        <f>IF(A158="","",IF(D158&gt;0,"Yes",""))</f>
        <v/>
      </c>
      <c r="F158" s="38">
        <f>IF($A158="","",SUMIFS(Donations!$D:$D,Donations!$G:$G,$A158,Donations!$F:$F,"&gt;="&amp;'Daily Challenges'!$C$7,Donations!$F:$F,"&lt;="&amp;'Daily Challenges'!$D$7))</f>
        <v/>
      </c>
      <c r="G158" s="38">
        <f>IF($A158="","",SUMIFS(Donations!$D:$D,Donations!$G:$G,$A158,Donations!$F:$F,"&gt;="&amp;'Daily Challenges'!$C$8,Donations!$F:$F,"&lt;="&amp;'Daily Challenges'!$D$8))</f>
        <v/>
      </c>
      <c r="H158" s="38">
        <f>IF($A158="","",SUMIFS(Donations!$D:$D,Donations!$G:$G,$A158,Donations!$F:$F,"&lt;="&amp;'Daily Challenges'!$D$9))</f>
        <v/>
      </c>
      <c r="I158" s="38">
        <f>IF($A158="","",SUMIFS(Donations!$D:$D,Donations!$G:$G,$A158,Donations!$F:$F,"&gt;="&amp;'Daily Challenges'!$C$10,Donations!$F:$F,"&lt;="&amp;'Daily Challenges'!$D$10))</f>
        <v/>
      </c>
      <c r="J158" s="38">
        <f>IF($A158="","",SUMIFS(Donations!$D:$D,Donations!$G:$G,$A158,Donations!$F:$F,"&lt;="&amp;'Daily Challenges'!$D$12))</f>
        <v/>
      </c>
    </row>
    <row r="159">
      <c r="A159" s="32" t="inlineStr">
        <is>
          <t>Grace Gomez</t>
        </is>
      </c>
      <c r="B159" s="32" t="inlineStr">
        <is>
          <t>Ms. Ingram</t>
        </is>
      </c>
      <c r="C159" s="36" t="inlineStr">
        <is>
          <t>2</t>
        </is>
      </c>
      <c r="D159" s="37">
        <f>IF(A159="","",SUMIFS(Donations!$D:$D,Donations!$G:$G,A159))</f>
        <v/>
      </c>
      <c r="E159" s="35">
        <f>IF(A159="","",IF(D159&gt;0,"Yes",""))</f>
        <v/>
      </c>
      <c r="F159" s="38">
        <f>IF($A159="","",SUMIFS(Donations!$D:$D,Donations!$G:$G,$A159,Donations!$F:$F,"&gt;="&amp;'Daily Challenges'!$C$7,Donations!$F:$F,"&lt;="&amp;'Daily Challenges'!$D$7))</f>
        <v/>
      </c>
      <c r="G159" s="38">
        <f>IF($A159="","",SUMIFS(Donations!$D:$D,Donations!$G:$G,$A159,Donations!$F:$F,"&gt;="&amp;'Daily Challenges'!$C$8,Donations!$F:$F,"&lt;="&amp;'Daily Challenges'!$D$8))</f>
        <v/>
      </c>
      <c r="H159" s="38">
        <f>IF($A159="","",SUMIFS(Donations!$D:$D,Donations!$G:$G,$A159,Donations!$F:$F,"&lt;="&amp;'Daily Challenges'!$D$9))</f>
        <v/>
      </c>
      <c r="I159" s="38">
        <f>IF($A159="","",SUMIFS(Donations!$D:$D,Donations!$G:$G,$A159,Donations!$F:$F,"&gt;="&amp;'Daily Challenges'!$C$10,Donations!$F:$F,"&lt;="&amp;'Daily Challenges'!$D$10))</f>
        <v/>
      </c>
      <c r="J159" s="38">
        <f>IF($A159="","",SUMIFS(Donations!$D:$D,Donations!$G:$G,$A159,Donations!$F:$F,"&lt;="&amp;'Daily Challenges'!$D$12))</f>
        <v/>
      </c>
    </row>
    <row r="160">
      <c r="A160" s="32" t="inlineStr">
        <is>
          <t>Grace Garcia</t>
        </is>
      </c>
      <c r="B160" s="32" t="inlineStr">
        <is>
          <t>Ms. Ingram</t>
        </is>
      </c>
      <c r="C160" s="36" t="inlineStr">
        <is>
          <t>2</t>
        </is>
      </c>
      <c r="D160" s="37">
        <f>IF(A160="","",SUMIFS(Donations!$D:$D,Donations!$G:$G,A160))</f>
        <v/>
      </c>
      <c r="E160" s="35">
        <f>IF(A160="","",IF(D160&gt;0,"Yes",""))</f>
        <v/>
      </c>
      <c r="F160" s="38">
        <f>IF($A160="","",SUMIFS(Donations!$D:$D,Donations!$G:$G,$A160,Donations!$F:$F,"&gt;="&amp;'Daily Challenges'!$C$7,Donations!$F:$F,"&lt;="&amp;'Daily Challenges'!$D$7))</f>
        <v/>
      </c>
      <c r="G160" s="38">
        <f>IF($A160="","",SUMIFS(Donations!$D:$D,Donations!$G:$G,$A160,Donations!$F:$F,"&gt;="&amp;'Daily Challenges'!$C$8,Donations!$F:$F,"&lt;="&amp;'Daily Challenges'!$D$8))</f>
        <v/>
      </c>
      <c r="H160" s="38">
        <f>IF($A160="","",SUMIFS(Donations!$D:$D,Donations!$G:$G,$A160,Donations!$F:$F,"&lt;="&amp;'Daily Challenges'!$D$9))</f>
        <v/>
      </c>
      <c r="I160" s="38">
        <f>IF($A160="","",SUMIFS(Donations!$D:$D,Donations!$G:$G,$A160,Donations!$F:$F,"&gt;="&amp;'Daily Challenges'!$C$10,Donations!$F:$F,"&lt;="&amp;'Daily Challenges'!$D$10))</f>
        <v/>
      </c>
      <c r="J160" s="38">
        <f>IF($A160="","",SUMIFS(Donations!$D:$D,Donations!$G:$G,$A160,Donations!$F:$F,"&lt;="&amp;'Daily Challenges'!$D$12))</f>
        <v/>
      </c>
    </row>
    <row r="161">
      <c r="A161" s="32" t="inlineStr">
        <is>
          <t>Santiago Williams</t>
        </is>
      </c>
      <c r="B161" s="32" t="inlineStr">
        <is>
          <t>Ms. Ingram</t>
        </is>
      </c>
      <c r="C161" s="36" t="inlineStr">
        <is>
          <t>2</t>
        </is>
      </c>
      <c r="D161" s="37">
        <f>IF(A161="","",SUMIFS(Donations!$D:$D,Donations!$G:$G,A161))</f>
        <v/>
      </c>
      <c r="E161" s="35">
        <f>IF(A161="","",IF(D161&gt;0,"Yes",""))</f>
        <v/>
      </c>
      <c r="F161" s="38">
        <f>IF($A161="","",SUMIFS(Donations!$D:$D,Donations!$G:$G,$A161,Donations!$F:$F,"&gt;="&amp;'Daily Challenges'!$C$7,Donations!$F:$F,"&lt;="&amp;'Daily Challenges'!$D$7))</f>
        <v/>
      </c>
      <c r="G161" s="38">
        <f>IF($A161="","",SUMIFS(Donations!$D:$D,Donations!$G:$G,$A161,Donations!$F:$F,"&gt;="&amp;'Daily Challenges'!$C$8,Donations!$F:$F,"&lt;="&amp;'Daily Challenges'!$D$8))</f>
        <v/>
      </c>
      <c r="H161" s="38">
        <f>IF($A161="","",SUMIFS(Donations!$D:$D,Donations!$G:$G,$A161,Donations!$F:$F,"&lt;="&amp;'Daily Challenges'!$D$9))</f>
        <v/>
      </c>
      <c r="I161" s="38">
        <f>IF($A161="","",SUMIFS(Donations!$D:$D,Donations!$G:$G,$A161,Donations!$F:$F,"&gt;="&amp;'Daily Challenges'!$C$10,Donations!$F:$F,"&lt;="&amp;'Daily Challenges'!$D$10))</f>
        <v/>
      </c>
      <c r="J161" s="38">
        <f>IF($A161="","",SUMIFS(Donations!$D:$D,Donations!$G:$G,$A161,Donations!$F:$F,"&lt;="&amp;'Daily Challenges'!$D$12))</f>
        <v/>
      </c>
    </row>
    <row r="162">
      <c r="A162" s="32" t="inlineStr">
        <is>
          <t>James Martinez</t>
        </is>
      </c>
      <c r="B162" s="32" t="inlineStr">
        <is>
          <t>Ms. Ingram</t>
        </is>
      </c>
      <c r="C162" s="36" t="inlineStr">
        <is>
          <t>2</t>
        </is>
      </c>
      <c r="D162" s="37">
        <f>IF(A162="","",SUMIFS(Donations!$D:$D,Donations!$G:$G,A162))</f>
        <v/>
      </c>
      <c r="E162" s="35">
        <f>IF(A162="","",IF(D162&gt;0,"Yes",""))</f>
        <v/>
      </c>
      <c r="F162" s="38">
        <f>IF($A162="","",SUMIFS(Donations!$D:$D,Donations!$G:$G,$A162,Donations!$F:$F,"&gt;="&amp;'Daily Challenges'!$C$7,Donations!$F:$F,"&lt;="&amp;'Daily Challenges'!$D$7))</f>
        <v/>
      </c>
      <c r="G162" s="38">
        <f>IF($A162="","",SUMIFS(Donations!$D:$D,Donations!$G:$G,$A162,Donations!$F:$F,"&gt;="&amp;'Daily Challenges'!$C$8,Donations!$F:$F,"&lt;="&amp;'Daily Challenges'!$D$8))</f>
        <v/>
      </c>
      <c r="H162" s="38">
        <f>IF($A162="","",SUMIFS(Donations!$D:$D,Donations!$G:$G,$A162,Donations!$F:$F,"&lt;="&amp;'Daily Challenges'!$D$9))</f>
        <v/>
      </c>
      <c r="I162" s="38">
        <f>IF($A162="","",SUMIFS(Donations!$D:$D,Donations!$G:$G,$A162,Donations!$F:$F,"&gt;="&amp;'Daily Challenges'!$C$10,Donations!$F:$F,"&lt;="&amp;'Daily Challenges'!$D$10))</f>
        <v/>
      </c>
      <c r="J162" s="38">
        <f>IF($A162="","",SUMIFS(Donations!$D:$D,Donations!$G:$G,$A162,Donations!$F:$F,"&lt;="&amp;'Daily Challenges'!$D$12))</f>
        <v/>
      </c>
    </row>
    <row r="163">
      <c r="A163" s="32" t="inlineStr">
        <is>
          <t>Henry Brown</t>
        </is>
      </c>
      <c r="B163" s="32" t="inlineStr">
        <is>
          <t>Ms. Ingram</t>
        </is>
      </c>
      <c r="C163" s="36" t="inlineStr">
        <is>
          <t>2</t>
        </is>
      </c>
      <c r="D163" s="37">
        <f>IF(A163="","",SUMIFS(Donations!$D:$D,Donations!$G:$G,A163))</f>
        <v/>
      </c>
      <c r="E163" s="35">
        <f>IF(A163="","",IF(D163&gt;0,"Yes",""))</f>
        <v/>
      </c>
      <c r="F163" s="38">
        <f>IF($A163="","",SUMIFS(Donations!$D:$D,Donations!$G:$G,$A163,Donations!$F:$F,"&gt;="&amp;'Daily Challenges'!$C$7,Donations!$F:$F,"&lt;="&amp;'Daily Challenges'!$D$7))</f>
        <v/>
      </c>
      <c r="G163" s="38">
        <f>IF($A163="","",SUMIFS(Donations!$D:$D,Donations!$G:$G,$A163,Donations!$F:$F,"&gt;="&amp;'Daily Challenges'!$C$8,Donations!$F:$F,"&lt;="&amp;'Daily Challenges'!$D$8))</f>
        <v/>
      </c>
      <c r="H163" s="38">
        <f>IF($A163="","",SUMIFS(Donations!$D:$D,Donations!$G:$G,$A163,Donations!$F:$F,"&lt;="&amp;'Daily Challenges'!$D$9))</f>
        <v/>
      </c>
      <c r="I163" s="38">
        <f>IF($A163="","",SUMIFS(Donations!$D:$D,Donations!$G:$G,$A163,Donations!$F:$F,"&gt;="&amp;'Daily Challenges'!$C$10,Donations!$F:$F,"&lt;="&amp;'Daily Challenges'!$D$10))</f>
        <v/>
      </c>
      <c r="J163" s="38">
        <f>IF($A163="","",SUMIFS(Donations!$D:$D,Donations!$G:$G,$A163,Donations!$F:$F,"&lt;="&amp;'Daily Challenges'!$D$12))</f>
        <v/>
      </c>
    </row>
    <row r="164">
      <c r="A164" s="32" t="inlineStr">
        <is>
          <t>Valentina Sullivan</t>
        </is>
      </c>
      <c r="B164" s="32" t="inlineStr">
        <is>
          <t>Ms. Ingram</t>
        </is>
      </c>
      <c r="C164" s="36" t="inlineStr">
        <is>
          <t>2</t>
        </is>
      </c>
      <c r="D164" s="37">
        <f>IF(A164="","",SUMIFS(Donations!$D:$D,Donations!$G:$G,A164))</f>
        <v/>
      </c>
      <c r="E164" s="35">
        <f>IF(A164="","",IF(D164&gt;0,"Yes",""))</f>
        <v/>
      </c>
      <c r="F164" s="38">
        <f>IF($A164="","",SUMIFS(Donations!$D:$D,Donations!$G:$G,$A164,Donations!$F:$F,"&gt;="&amp;'Daily Challenges'!$C$7,Donations!$F:$F,"&lt;="&amp;'Daily Challenges'!$D$7))</f>
        <v/>
      </c>
      <c r="G164" s="38">
        <f>IF($A164="","",SUMIFS(Donations!$D:$D,Donations!$G:$G,$A164,Donations!$F:$F,"&gt;="&amp;'Daily Challenges'!$C$8,Donations!$F:$F,"&lt;="&amp;'Daily Challenges'!$D$8))</f>
        <v/>
      </c>
      <c r="H164" s="38">
        <f>IF($A164="","",SUMIFS(Donations!$D:$D,Donations!$G:$G,$A164,Donations!$F:$F,"&lt;="&amp;'Daily Challenges'!$D$9))</f>
        <v/>
      </c>
      <c r="I164" s="38">
        <f>IF($A164="","",SUMIFS(Donations!$D:$D,Donations!$G:$G,$A164,Donations!$F:$F,"&gt;="&amp;'Daily Challenges'!$C$10,Donations!$F:$F,"&lt;="&amp;'Daily Challenges'!$D$10))</f>
        <v/>
      </c>
      <c r="J164" s="38">
        <f>IF($A164="","",SUMIFS(Donations!$D:$D,Donations!$G:$G,$A164,Donations!$F:$F,"&lt;="&amp;'Daily Challenges'!$D$12))</f>
        <v/>
      </c>
    </row>
    <row r="165">
      <c r="A165" s="32" t="inlineStr">
        <is>
          <t>Ella Gutierrez</t>
        </is>
      </c>
      <c r="B165" s="32" t="inlineStr">
        <is>
          <t>Ms. Ingram</t>
        </is>
      </c>
      <c r="C165" s="36" t="inlineStr">
        <is>
          <t>2</t>
        </is>
      </c>
      <c r="D165" s="37">
        <f>IF(A165="","",SUMIFS(Donations!$D:$D,Donations!$G:$G,A165))</f>
        <v/>
      </c>
      <c r="E165" s="35">
        <f>IF(A165="","",IF(D165&gt;0,"Yes",""))</f>
        <v/>
      </c>
      <c r="F165" s="38">
        <f>IF($A165="","",SUMIFS(Donations!$D:$D,Donations!$G:$G,$A165,Donations!$F:$F,"&gt;="&amp;'Daily Challenges'!$C$7,Donations!$F:$F,"&lt;="&amp;'Daily Challenges'!$D$7))</f>
        <v/>
      </c>
      <c r="G165" s="38">
        <f>IF($A165="","",SUMIFS(Donations!$D:$D,Donations!$G:$G,$A165,Donations!$F:$F,"&gt;="&amp;'Daily Challenges'!$C$8,Donations!$F:$F,"&lt;="&amp;'Daily Challenges'!$D$8))</f>
        <v/>
      </c>
      <c r="H165" s="38">
        <f>IF($A165="","",SUMIFS(Donations!$D:$D,Donations!$G:$G,$A165,Donations!$F:$F,"&lt;="&amp;'Daily Challenges'!$D$9))</f>
        <v/>
      </c>
      <c r="I165" s="38">
        <f>IF($A165="","",SUMIFS(Donations!$D:$D,Donations!$G:$G,$A165,Donations!$F:$F,"&gt;="&amp;'Daily Challenges'!$C$10,Donations!$F:$F,"&lt;="&amp;'Daily Challenges'!$D$10))</f>
        <v/>
      </c>
      <c r="J165" s="38">
        <f>IF($A165="","",SUMIFS(Donations!$D:$D,Donations!$G:$G,$A165,Donations!$F:$F,"&lt;="&amp;'Daily Challenges'!$D$12))</f>
        <v/>
      </c>
    </row>
    <row r="166">
      <c r="A166" s="32" t="inlineStr">
        <is>
          <t>Evelyn Vasquez</t>
        </is>
      </c>
      <c r="B166" s="32" t="inlineStr">
        <is>
          <t>Mrs. Jensen</t>
        </is>
      </c>
      <c r="C166" s="36" t="inlineStr">
        <is>
          <t>2</t>
        </is>
      </c>
      <c r="D166" s="37">
        <f>IF(A166="","",SUMIFS(Donations!$D:$D,Donations!$G:$G,A166))</f>
        <v/>
      </c>
      <c r="E166" s="35">
        <f>IF(A166="","",IF(D166&gt;0,"Yes",""))</f>
        <v/>
      </c>
      <c r="F166" s="38">
        <f>IF($A166="","",SUMIFS(Donations!$D:$D,Donations!$G:$G,$A166,Donations!$F:$F,"&gt;="&amp;'Daily Challenges'!$C$7,Donations!$F:$F,"&lt;="&amp;'Daily Challenges'!$D$7))</f>
        <v/>
      </c>
      <c r="G166" s="38">
        <f>IF($A166="","",SUMIFS(Donations!$D:$D,Donations!$G:$G,$A166,Donations!$F:$F,"&gt;="&amp;'Daily Challenges'!$C$8,Donations!$F:$F,"&lt;="&amp;'Daily Challenges'!$D$8))</f>
        <v/>
      </c>
      <c r="H166" s="38">
        <f>IF($A166="","",SUMIFS(Donations!$D:$D,Donations!$G:$G,$A166,Donations!$F:$F,"&lt;="&amp;'Daily Challenges'!$D$9))</f>
        <v/>
      </c>
      <c r="I166" s="38">
        <f>IF($A166="","",SUMIFS(Donations!$D:$D,Donations!$G:$G,$A166,Donations!$F:$F,"&gt;="&amp;'Daily Challenges'!$C$10,Donations!$F:$F,"&lt;="&amp;'Daily Challenges'!$D$10))</f>
        <v/>
      </c>
      <c r="J166" s="38">
        <f>IF($A166="","",SUMIFS(Donations!$D:$D,Donations!$G:$G,$A166,Donations!$F:$F,"&lt;="&amp;'Daily Challenges'!$D$12))</f>
        <v/>
      </c>
    </row>
    <row r="167">
      <c r="A167" s="32" t="inlineStr">
        <is>
          <t>Maya Ryan</t>
        </is>
      </c>
      <c r="B167" s="32" t="inlineStr">
        <is>
          <t>Mrs. Jensen</t>
        </is>
      </c>
      <c r="C167" s="36" t="inlineStr">
        <is>
          <t>2</t>
        </is>
      </c>
      <c r="D167" s="37">
        <f>IF(A167="","",SUMIFS(Donations!$D:$D,Donations!$G:$G,A167))</f>
        <v/>
      </c>
      <c r="E167" s="35">
        <f>IF(A167="","",IF(D167&gt;0,"Yes",""))</f>
        <v/>
      </c>
      <c r="F167" s="38">
        <f>IF($A167="","",SUMIFS(Donations!$D:$D,Donations!$G:$G,$A167,Donations!$F:$F,"&gt;="&amp;'Daily Challenges'!$C$7,Donations!$F:$F,"&lt;="&amp;'Daily Challenges'!$D$7))</f>
        <v/>
      </c>
      <c r="G167" s="38">
        <f>IF($A167="","",SUMIFS(Donations!$D:$D,Donations!$G:$G,$A167,Donations!$F:$F,"&gt;="&amp;'Daily Challenges'!$C$8,Donations!$F:$F,"&lt;="&amp;'Daily Challenges'!$D$8))</f>
        <v/>
      </c>
      <c r="H167" s="38">
        <f>IF($A167="","",SUMIFS(Donations!$D:$D,Donations!$G:$G,$A167,Donations!$F:$F,"&lt;="&amp;'Daily Challenges'!$D$9))</f>
        <v/>
      </c>
      <c r="I167" s="38">
        <f>IF($A167="","",SUMIFS(Donations!$D:$D,Donations!$G:$G,$A167,Donations!$F:$F,"&gt;="&amp;'Daily Challenges'!$C$10,Donations!$F:$F,"&lt;="&amp;'Daily Challenges'!$D$10))</f>
        <v/>
      </c>
      <c r="J167" s="38">
        <f>IF($A167="","",SUMIFS(Donations!$D:$D,Donations!$G:$G,$A167,Donations!$F:$F,"&lt;="&amp;'Daily Challenges'!$D$12))</f>
        <v/>
      </c>
    </row>
    <row r="168">
      <c r="A168" s="32" t="inlineStr">
        <is>
          <t>Isabella Ruiz</t>
        </is>
      </c>
      <c r="B168" s="32" t="inlineStr">
        <is>
          <t>Mrs. Jensen</t>
        </is>
      </c>
      <c r="C168" s="36" t="inlineStr">
        <is>
          <t>2</t>
        </is>
      </c>
      <c r="D168" s="37">
        <f>IF(A168="","",SUMIFS(Donations!$D:$D,Donations!$G:$G,A168))</f>
        <v/>
      </c>
      <c r="E168" s="35">
        <f>IF(A168="","",IF(D168&gt;0,"Yes",""))</f>
        <v/>
      </c>
      <c r="F168" s="38">
        <f>IF($A168="","",SUMIFS(Donations!$D:$D,Donations!$G:$G,$A168,Donations!$F:$F,"&gt;="&amp;'Daily Challenges'!$C$7,Donations!$F:$F,"&lt;="&amp;'Daily Challenges'!$D$7))</f>
        <v/>
      </c>
      <c r="G168" s="38">
        <f>IF($A168="","",SUMIFS(Donations!$D:$D,Donations!$G:$G,$A168,Donations!$F:$F,"&gt;="&amp;'Daily Challenges'!$C$8,Donations!$F:$F,"&lt;="&amp;'Daily Challenges'!$D$8))</f>
        <v/>
      </c>
      <c r="H168" s="38">
        <f>IF($A168="","",SUMIFS(Donations!$D:$D,Donations!$G:$G,$A168,Donations!$F:$F,"&lt;="&amp;'Daily Challenges'!$D$9))</f>
        <v/>
      </c>
      <c r="I168" s="38">
        <f>IF($A168="","",SUMIFS(Donations!$D:$D,Donations!$G:$G,$A168,Donations!$F:$F,"&gt;="&amp;'Daily Challenges'!$C$10,Donations!$F:$F,"&lt;="&amp;'Daily Challenges'!$D$10))</f>
        <v/>
      </c>
      <c r="J168" s="38">
        <f>IF($A168="","",SUMIFS(Donations!$D:$D,Donations!$G:$G,$A168,Donations!$F:$F,"&lt;="&amp;'Daily Challenges'!$D$12))</f>
        <v/>
      </c>
    </row>
    <row r="169">
      <c r="A169" s="32" t="inlineStr">
        <is>
          <t>Evelyn Byrne</t>
        </is>
      </c>
      <c r="B169" s="32" t="inlineStr">
        <is>
          <t>Mrs. Jensen</t>
        </is>
      </c>
      <c r="C169" s="36" t="inlineStr">
        <is>
          <t>2</t>
        </is>
      </c>
      <c r="D169" s="37">
        <f>IF(A169="","",SUMIFS(Donations!$D:$D,Donations!$G:$G,A169))</f>
        <v/>
      </c>
      <c r="E169" s="35">
        <f>IF(A169="","",IF(D169&gt;0,"Yes",""))</f>
        <v/>
      </c>
      <c r="F169" s="38">
        <f>IF($A169="","",SUMIFS(Donations!$D:$D,Donations!$G:$G,$A169,Donations!$F:$F,"&gt;="&amp;'Daily Challenges'!$C$7,Donations!$F:$F,"&lt;="&amp;'Daily Challenges'!$D$7))</f>
        <v/>
      </c>
      <c r="G169" s="38">
        <f>IF($A169="","",SUMIFS(Donations!$D:$D,Donations!$G:$G,$A169,Donations!$F:$F,"&gt;="&amp;'Daily Challenges'!$C$8,Donations!$F:$F,"&lt;="&amp;'Daily Challenges'!$D$8))</f>
        <v/>
      </c>
      <c r="H169" s="38">
        <f>IF($A169="","",SUMIFS(Donations!$D:$D,Donations!$G:$G,$A169,Donations!$F:$F,"&lt;="&amp;'Daily Challenges'!$D$9))</f>
        <v/>
      </c>
      <c r="I169" s="38">
        <f>IF($A169="","",SUMIFS(Donations!$D:$D,Donations!$G:$G,$A169,Donations!$F:$F,"&gt;="&amp;'Daily Challenges'!$C$10,Donations!$F:$F,"&lt;="&amp;'Daily Challenges'!$D$10))</f>
        <v/>
      </c>
      <c r="J169" s="38">
        <f>IF($A169="","",SUMIFS(Donations!$D:$D,Donations!$G:$G,$A169,Donations!$F:$F,"&lt;="&amp;'Daily Challenges'!$D$12))</f>
        <v/>
      </c>
    </row>
    <row r="170">
      <c r="A170" s="32" t="inlineStr">
        <is>
          <t>Elijah Byrne</t>
        </is>
      </c>
      <c r="B170" s="32" t="inlineStr">
        <is>
          <t>Mrs. Jensen</t>
        </is>
      </c>
      <c r="C170" s="36" t="inlineStr">
        <is>
          <t>2</t>
        </is>
      </c>
      <c r="D170" s="37">
        <f>IF(A170="","",SUMIFS(Donations!$D:$D,Donations!$G:$G,A170))</f>
        <v/>
      </c>
      <c r="E170" s="35">
        <f>IF(A170="","",IF(D170&gt;0,"Yes",""))</f>
        <v/>
      </c>
      <c r="F170" s="38">
        <f>IF($A170="","",SUMIFS(Donations!$D:$D,Donations!$G:$G,$A170,Donations!$F:$F,"&gt;="&amp;'Daily Challenges'!$C$7,Donations!$F:$F,"&lt;="&amp;'Daily Challenges'!$D$7))</f>
        <v/>
      </c>
      <c r="G170" s="38">
        <f>IF($A170="","",SUMIFS(Donations!$D:$D,Donations!$G:$G,$A170,Donations!$F:$F,"&gt;="&amp;'Daily Challenges'!$C$8,Donations!$F:$F,"&lt;="&amp;'Daily Challenges'!$D$8))</f>
        <v/>
      </c>
      <c r="H170" s="38">
        <f>IF($A170="","",SUMIFS(Donations!$D:$D,Donations!$G:$G,$A170,Donations!$F:$F,"&lt;="&amp;'Daily Challenges'!$D$9))</f>
        <v/>
      </c>
      <c r="I170" s="38">
        <f>IF($A170="","",SUMIFS(Donations!$D:$D,Donations!$G:$G,$A170,Donations!$F:$F,"&gt;="&amp;'Daily Challenges'!$C$10,Donations!$F:$F,"&lt;="&amp;'Daily Challenges'!$D$10))</f>
        <v/>
      </c>
      <c r="J170" s="38">
        <f>IF($A170="","",SUMIFS(Donations!$D:$D,Donations!$G:$G,$A170,Donations!$F:$F,"&lt;="&amp;'Daily Challenges'!$D$12))</f>
        <v/>
      </c>
    </row>
    <row r="171">
      <c r="A171" s="32" t="inlineStr">
        <is>
          <t>Diego Chavez</t>
        </is>
      </c>
      <c r="B171" s="32" t="inlineStr">
        <is>
          <t>Mrs. Jensen</t>
        </is>
      </c>
      <c r="C171" s="36" t="inlineStr">
        <is>
          <t>2</t>
        </is>
      </c>
      <c r="D171" s="37">
        <f>IF(A171="","",SUMIFS(Donations!$D:$D,Donations!$G:$G,A171))</f>
        <v/>
      </c>
      <c r="E171" s="35">
        <f>IF(A171="","",IF(D171&gt;0,"Yes",""))</f>
        <v/>
      </c>
      <c r="F171" s="38">
        <f>IF($A171="","",SUMIFS(Donations!$D:$D,Donations!$G:$G,$A171,Donations!$F:$F,"&gt;="&amp;'Daily Challenges'!$C$7,Donations!$F:$F,"&lt;="&amp;'Daily Challenges'!$D$7))</f>
        <v/>
      </c>
      <c r="G171" s="38">
        <f>IF($A171="","",SUMIFS(Donations!$D:$D,Donations!$G:$G,$A171,Donations!$F:$F,"&gt;="&amp;'Daily Challenges'!$C$8,Donations!$F:$F,"&lt;="&amp;'Daily Challenges'!$D$8))</f>
        <v/>
      </c>
      <c r="H171" s="38">
        <f>IF($A171="","",SUMIFS(Donations!$D:$D,Donations!$G:$G,$A171,Donations!$F:$F,"&lt;="&amp;'Daily Challenges'!$D$9))</f>
        <v/>
      </c>
      <c r="I171" s="38">
        <f>IF($A171="","",SUMIFS(Donations!$D:$D,Donations!$G:$G,$A171,Donations!$F:$F,"&gt;="&amp;'Daily Challenges'!$C$10,Donations!$F:$F,"&lt;="&amp;'Daily Challenges'!$D$10))</f>
        <v/>
      </c>
      <c r="J171" s="38">
        <f>IF($A171="","",SUMIFS(Donations!$D:$D,Donations!$G:$G,$A171,Donations!$F:$F,"&lt;="&amp;'Daily Challenges'!$D$12))</f>
        <v/>
      </c>
    </row>
    <row r="172">
      <c r="A172" s="32" t="inlineStr">
        <is>
          <t>Nora Gomez</t>
        </is>
      </c>
      <c r="B172" s="32" t="inlineStr">
        <is>
          <t>Mrs. Jensen</t>
        </is>
      </c>
      <c r="C172" s="36" t="inlineStr">
        <is>
          <t>2</t>
        </is>
      </c>
      <c r="D172" s="37">
        <f>IF(A172="","",SUMIFS(Donations!$D:$D,Donations!$G:$G,A172))</f>
        <v/>
      </c>
      <c r="E172" s="35">
        <f>IF(A172="","",IF(D172&gt;0,"Yes",""))</f>
        <v/>
      </c>
      <c r="F172" s="38">
        <f>IF($A172="","",SUMIFS(Donations!$D:$D,Donations!$G:$G,$A172,Donations!$F:$F,"&gt;="&amp;'Daily Challenges'!$C$7,Donations!$F:$F,"&lt;="&amp;'Daily Challenges'!$D$7))</f>
        <v/>
      </c>
      <c r="G172" s="38">
        <f>IF($A172="","",SUMIFS(Donations!$D:$D,Donations!$G:$G,$A172,Donations!$F:$F,"&gt;="&amp;'Daily Challenges'!$C$8,Donations!$F:$F,"&lt;="&amp;'Daily Challenges'!$D$8))</f>
        <v/>
      </c>
      <c r="H172" s="38">
        <f>IF($A172="","",SUMIFS(Donations!$D:$D,Donations!$G:$G,$A172,Donations!$F:$F,"&lt;="&amp;'Daily Challenges'!$D$9))</f>
        <v/>
      </c>
      <c r="I172" s="38">
        <f>IF($A172="","",SUMIFS(Donations!$D:$D,Donations!$G:$G,$A172,Donations!$F:$F,"&gt;="&amp;'Daily Challenges'!$C$10,Donations!$F:$F,"&lt;="&amp;'Daily Challenges'!$D$10))</f>
        <v/>
      </c>
      <c r="J172" s="38">
        <f>IF($A172="","",SUMIFS(Donations!$D:$D,Donations!$G:$G,$A172,Donations!$F:$F,"&lt;="&amp;'Daily Challenges'!$D$12))</f>
        <v/>
      </c>
    </row>
    <row r="173">
      <c r="A173" s="32" t="inlineStr">
        <is>
          <t>Chloe Reyes</t>
        </is>
      </c>
      <c r="B173" s="32" t="inlineStr">
        <is>
          <t>Mrs. Jensen</t>
        </is>
      </c>
      <c r="C173" s="36" t="inlineStr">
        <is>
          <t>2</t>
        </is>
      </c>
      <c r="D173" s="37">
        <f>IF(A173="","",SUMIFS(Donations!$D:$D,Donations!$G:$G,A173))</f>
        <v/>
      </c>
      <c r="E173" s="35">
        <f>IF(A173="","",IF(D173&gt;0,"Yes",""))</f>
        <v/>
      </c>
      <c r="F173" s="38">
        <f>IF($A173="","",SUMIFS(Donations!$D:$D,Donations!$G:$G,$A173,Donations!$F:$F,"&gt;="&amp;'Daily Challenges'!$C$7,Donations!$F:$F,"&lt;="&amp;'Daily Challenges'!$D$7))</f>
        <v/>
      </c>
      <c r="G173" s="38">
        <f>IF($A173="","",SUMIFS(Donations!$D:$D,Donations!$G:$G,$A173,Donations!$F:$F,"&gt;="&amp;'Daily Challenges'!$C$8,Donations!$F:$F,"&lt;="&amp;'Daily Challenges'!$D$8))</f>
        <v/>
      </c>
      <c r="H173" s="38">
        <f>IF($A173="","",SUMIFS(Donations!$D:$D,Donations!$G:$G,$A173,Donations!$F:$F,"&lt;="&amp;'Daily Challenges'!$D$9))</f>
        <v/>
      </c>
      <c r="I173" s="38">
        <f>IF($A173="","",SUMIFS(Donations!$D:$D,Donations!$G:$G,$A173,Donations!$F:$F,"&gt;="&amp;'Daily Challenges'!$C$10,Donations!$F:$F,"&lt;="&amp;'Daily Challenges'!$D$10))</f>
        <v/>
      </c>
      <c r="J173" s="38">
        <f>IF($A173="","",SUMIFS(Donations!$D:$D,Donations!$G:$G,$A173,Donations!$F:$F,"&lt;="&amp;'Daily Challenges'!$D$12))</f>
        <v/>
      </c>
    </row>
    <row r="174">
      <c r="A174" s="32" t="inlineStr">
        <is>
          <t>Luna Hernandez</t>
        </is>
      </c>
      <c r="B174" s="32" t="inlineStr">
        <is>
          <t>Mrs. Jensen</t>
        </is>
      </c>
      <c r="C174" s="36" t="inlineStr">
        <is>
          <t>2</t>
        </is>
      </c>
      <c r="D174" s="37">
        <f>IF(A174="","",SUMIFS(Donations!$D:$D,Donations!$G:$G,A174))</f>
        <v/>
      </c>
      <c r="E174" s="35">
        <f>IF(A174="","",IF(D174&gt;0,"Yes",""))</f>
        <v/>
      </c>
      <c r="F174" s="38">
        <f>IF($A174="","",SUMIFS(Donations!$D:$D,Donations!$G:$G,$A174,Donations!$F:$F,"&gt;="&amp;'Daily Challenges'!$C$7,Donations!$F:$F,"&lt;="&amp;'Daily Challenges'!$D$7))</f>
        <v/>
      </c>
      <c r="G174" s="38">
        <f>IF($A174="","",SUMIFS(Donations!$D:$D,Donations!$G:$G,$A174,Donations!$F:$F,"&gt;="&amp;'Daily Challenges'!$C$8,Donations!$F:$F,"&lt;="&amp;'Daily Challenges'!$D$8))</f>
        <v/>
      </c>
      <c r="H174" s="38">
        <f>IF($A174="","",SUMIFS(Donations!$D:$D,Donations!$G:$G,$A174,Donations!$F:$F,"&lt;="&amp;'Daily Challenges'!$D$9))</f>
        <v/>
      </c>
      <c r="I174" s="38">
        <f>IF($A174="","",SUMIFS(Donations!$D:$D,Donations!$G:$G,$A174,Donations!$F:$F,"&gt;="&amp;'Daily Challenges'!$C$10,Donations!$F:$F,"&lt;="&amp;'Daily Challenges'!$D$10))</f>
        <v/>
      </c>
      <c r="J174" s="38">
        <f>IF($A174="","",SUMIFS(Donations!$D:$D,Donations!$G:$G,$A174,Donations!$F:$F,"&lt;="&amp;'Daily Challenges'!$D$12))</f>
        <v/>
      </c>
    </row>
    <row r="175">
      <c r="A175" s="32" t="inlineStr">
        <is>
          <t>Samuel Martinez</t>
        </is>
      </c>
      <c r="B175" s="32" t="inlineStr">
        <is>
          <t>Mrs. Jensen</t>
        </is>
      </c>
      <c r="C175" s="36" t="inlineStr">
        <is>
          <t>2</t>
        </is>
      </c>
      <c r="D175" s="37">
        <f>IF(A175="","",SUMIFS(Donations!$D:$D,Donations!$G:$G,A175))</f>
        <v/>
      </c>
      <c r="E175" s="35">
        <f>IF(A175="","",IF(D175&gt;0,"Yes",""))</f>
        <v/>
      </c>
      <c r="F175" s="38">
        <f>IF($A175="","",SUMIFS(Donations!$D:$D,Donations!$G:$G,$A175,Donations!$F:$F,"&gt;="&amp;'Daily Challenges'!$C$7,Donations!$F:$F,"&lt;="&amp;'Daily Challenges'!$D$7))</f>
        <v/>
      </c>
      <c r="G175" s="38">
        <f>IF($A175="","",SUMIFS(Donations!$D:$D,Donations!$G:$G,$A175,Donations!$F:$F,"&gt;="&amp;'Daily Challenges'!$C$8,Donations!$F:$F,"&lt;="&amp;'Daily Challenges'!$D$8))</f>
        <v/>
      </c>
      <c r="H175" s="38">
        <f>IF($A175="","",SUMIFS(Donations!$D:$D,Donations!$G:$G,$A175,Donations!$F:$F,"&lt;="&amp;'Daily Challenges'!$D$9))</f>
        <v/>
      </c>
      <c r="I175" s="38">
        <f>IF($A175="","",SUMIFS(Donations!$D:$D,Donations!$G:$G,$A175,Donations!$F:$F,"&gt;="&amp;'Daily Challenges'!$C$10,Donations!$F:$F,"&lt;="&amp;'Daily Challenges'!$D$10))</f>
        <v/>
      </c>
      <c r="J175" s="38">
        <f>IF($A175="","",SUMIFS(Donations!$D:$D,Donations!$G:$G,$A175,Donations!$F:$F,"&lt;="&amp;'Daily Challenges'!$D$12))</f>
        <v/>
      </c>
    </row>
    <row r="176">
      <c r="A176" s="32" t="inlineStr">
        <is>
          <t>Harper Ortiz</t>
        </is>
      </c>
      <c r="B176" s="32" t="inlineStr">
        <is>
          <t>Mrs. Jensen</t>
        </is>
      </c>
      <c r="C176" s="36" t="inlineStr">
        <is>
          <t>2</t>
        </is>
      </c>
      <c r="D176" s="37">
        <f>IF(A176="","",SUMIFS(Donations!$D:$D,Donations!$G:$G,A176))</f>
        <v/>
      </c>
      <c r="E176" s="35">
        <f>IF(A176="","",IF(D176&gt;0,"Yes",""))</f>
        <v/>
      </c>
      <c r="F176" s="38">
        <f>IF($A176="","",SUMIFS(Donations!$D:$D,Donations!$G:$G,$A176,Donations!$F:$F,"&gt;="&amp;'Daily Challenges'!$C$7,Donations!$F:$F,"&lt;="&amp;'Daily Challenges'!$D$7))</f>
        <v/>
      </c>
      <c r="G176" s="38">
        <f>IF($A176="","",SUMIFS(Donations!$D:$D,Donations!$G:$G,$A176,Donations!$F:$F,"&gt;="&amp;'Daily Challenges'!$C$8,Donations!$F:$F,"&lt;="&amp;'Daily Challenges'!$D$8))</f>
        <v/>
      </c>
      <c r="H176" s="38">
        <f>IF($A176="","",SUMIFS(Donations!$D:$D,Donations!$G:$G,$A176,Donations!$F:$F,"&lt;="&amp;'Daily Challenges'!$D$9))</f>
        <v/>
      </c>
      <c r="I176" s="38">
        <f>IF($A176="","",SUMIFS(Donations!$D:$D,Donations!$G:$G,$A176,Donations!$F:$F,"&gt;="&amp;'Daily Challenges'!$C$10,Donations!$F:$F,"&lt;="&amp;'Daily Challenges'!$D$10))</f>
        <v/>
      </c>
      <c r="J176" s="38">
        <f>IF($A176="","",SUMIFS(Donations!$D:$D,Donations!$G:$G,$A176,Donations!$F:$F,"&lt;="&amp;'Daily Challenges'!$D$12))</f>
        <v/>
      </c>
    </row>
    <row r="177">
      <c r="A177" s="32" t="inlineStr">
        <is>
          <t>Harper Brown</t>
        </is>
      </c>
      <c r="B177" s="32" t="inlineStr">
        <is>
          <t>Mrs. Jensen</t>
        </is>
      </c>
      <c r="C177" s="36" t="inlineStr">
        <is>
          <t>2</t>
        </is>
      </c>
      <c r="D177" s="37">
        <f>IF(A177="","",SUMIFS(Donations!$D:$D,Donations!$G:$G,A177))</f>
        <v/>
      </c>
      <c r="E177" s="35">
        <f>IF(A177="","",IF(D177&gt;0,"Yes",""))</f>
        <v/>
      </c>
      <c r="F177" s="38">
        <f>IF($A177="","",SUMIFS(Donations!$D:$D,Donations!$G:$G,$A177,Donations!$F:$F,"&gt;="&amp;'Daily Challenges'!$C$7,Donations!$F:$F,"&lt;="&amp;'Daily Challenges'!$D$7))</f>
        <v/>
      </c>
      <c r="G177" s="38">
        <f>IF($A177="","",SUMIFS(Donations!$D:$D,Donations!$G:$G,$A177,Donations!$F:$F,"&gt;="&amp;'Daily Challenges'!$C$8,Donations!$F:$F,"&lt;="&amp;'Daily Challenges'!$D$8))</f>
        <v/>
      </c>
      <c r="H177" s="38">
        <f>IF($A177="","",SUMIFS(Donations!$D:$D,Donations!$G:$G,$A177,Donations!$F:$F,"&lt;="&amp;'Daily Challenges'!$D$9))</f>
        <v/>
      </c>
      <c r="I177" s="38">
        <f>IF($A177="","",SUMIFS(Donations!$D:$D,Donations!$G:$G,$A177,Donations!$F:$F,"&gt;="&amp;'Daily Challenges'!$C$10,Donations!$F:$F,"&lt;="&amp;'Daily Challenges'!$D$10))</f>
        <v/>
      </c>
      <c r="J177" s="38">
        <f>IF($A177="","",SUMIFS(Donations!$D:$D,Donations!$G:$G,$A177,Donations!$F:$F,"&lt;="&amp;'Daily Challenges'!$D$12))</f>
        <v/>
      </c>
    </row>
    <row r="178">
      <c r="A178" s="32" t="inlineStr">
        <is>
          <t>Henry Alvarez</t>
        </is>
      </c>
      <c r="B178" s="32" t="inlineStr">
        <is>
          <t>Mrs. Jensen</t>
        </is>
      </c>
      <c r="C178" s="36" t="inlineStr">
        <is>
          <t>2</t>
        </is>
      </c>
      <c r="D178" s="37">
        <f>IF(A178="","",SUMIFS(Donations!$D:$D,Donations!$G:$G,A178))</f>
        <v/>
      </c>
      <c r="E178" s="35">
        <f>IF(A178="","",IF(D178&gt;0,"Yes",""))</f>
        <v/>
      </c>
      <c r="F178" s="38">
        <f>IF($A178="","",SUMIFS(Donations!$D:$D,Donations!$G:$G,$A178,Donations!$F:$F,"&gt;="&amp;'Daily Challenges'!$C$7,Donations!$F:$F,"&lt;="&amp;'Daily Challenges'!$D$7))</f>
        <v/>
      </c>
      <c r="G178" s="38">
        <f>IF($A178="","",SUMIFS(Donations!$D:$D,Donations!$G:$G,$A178,Donations!$F:$F,"&gt;="&amp;'Daily Challenges'!$C$8,Donations!$F:$F,"&lt;="&amp;'Daily Challenges'!$D$8))</f>
        <v/>
      </c>
      <c r="H178" s="38">
        <f>IF($A178="","",SUMIFS(Donations!$D:$D,Donations!$G:$G,$A178,Donations!$F:$F,"&lt;="&amp;'Daily Challenges'!$D$9))</f>
        <v/>
      </c>
      <c r="I178" s="38">
        <f>IF($A178="","",SUMIFS(Donations!$D:$D,Donations!$G:$G,$A178,Donations!$F:$F,"&gt;="&amp;'Daily Challenges'!$C$10,Donations!$F:$F,"&lt;="&amp;'Daily Challenges'!$D$10))</f>
        <v/>
      </c>
      <c r="J178" s="38">
        <f>IF($A178="","",SUMIFS(Donations!$D:$D,Donations!$G:$G,$A178,Donations!$F:$F,"&lt;="&amp;'Daily Challenges'!$D$12))</f>
        <v/>
      </c>
    </row>
    <row r="179">
      <c r="A179" s="32" t="inlineStr">
        <is>
          <t>Mateo Murphy</t>
        </is>
      </c>
      <c r="B179" s="32" t="inlineStr">
        <is>
          <t>Mrs. Jensen</t>
        </is>
      </c>
      <c r="C179" s="36" t="inlineStr">
        <is>
          <t>2</t>
        </is>
      </c>
      <c r="D179" s="37">
        <f>IF(A179="","",SUMIFS(Donations!$D:$D,Donations!$G:$G,A179))</f>
        <v/>
      </c>
      <c r="E179" s="35">
        <f>IF(A179="","",IF(D179&gt;0,"Yes",""))</f>
        <v/>
      </c>
      <c r="F179" s="38">
        <f>IF($A179="","",SUMIFS(Donations!$D:$D,Donations!$G:$G,$A179,Donations!$F:$F,"&gt;="&amp;'Daily Challenges'!$C$7,Donations!$F:$F,"&lt;="&amp;'Daily Challenges'!$D$7))</f>
        <v/>
      </c>
      <c r="G179" s="38">
        <f>IF($A179="","",SUMIFS(Donations!$D:$D,Donations!$G:$G,$A179,Donations!$F:$F,"&gt;="&amp;'Daily Challenges'!$C$8,Donations!$F:$F,"&lt;="&amp;'Daily Challenges'!$D$8))</f>
        <v/>
      </c>
      <c r="H179" s="38">
        <f>IF($A179="","",SUMIFS(Donations!$D:$D,Donations!$G:$G,$A179,Donations!$F:$F,"&lt;="&amp;'Daily Challenges'!$D$9))</f>
        <v/>
      </c>
      <c r="I179" s="38">
        <f>IF($A179="","",SUMIFS(Donations!$D:$D,Donations!$G:$G,$A179,Donations!$F:$F,"&gt;="&amp;'Daily Challenges'!$C$10,Donations!$F:$F,"&lt;="&amp;'Daily Challenges'!$D$10))</f>
        <v/>
      </c>
      <c r="J179" s="38">
        <f>IF($A179="","",SUMIFS(Donations!$D:$D,Donations!$G:$G,$A179,Donations!$F:$F,"&lt;="&amp;'Daily Challenges'!$D$12))</f>
        <v/>
      </c>
    </row>
    <row r="180">
      <c r="A180" s="32" t="inlineStr">
        <is>
          <t>Leo Ramirez</t>
        </is>
      </c>
      <c r="B180" s="32" t="inlineStr">
        <is>
          <t>Mrs. Jensen</t>
        </is>
      </c>
      <c r="C180" s="36" t="inlineStr">
        <is>
          <t>2</t>
        </is>
      </c>
      <c r="D180" s="37">
        <f>IF(A180="","",SUMIFS(Donations!$D:$D,Donations!$G:$G,A180))</f>
        <v/>
      </c>
      <c r="E180" s="35">
        <f>IF(A180="","",IF(D180&gt;0,"Yes",""))</f>
        <v/>
      </c>
      <c r="F180" s="38">
        <f>IF($A180="","",SUMIFS(Donations!$D:$D,Donations!$G:$G,$A180,Donations!$F:$F,"&gt;="&amp;'Daily Challenges'!$C$7,Donations!$F:$F,"&lt;="&amp;'Daily Challenges'!$D$7))</f>
        <v/>
      </c>
      <c r="G180" s="38">
        <f>IF($A180="","",SUMIFS(Donations!$D:$D,Donations!$G:$G,$A180,Donations!$F:$F,"&gt;="&amp;'Daily Challenges'!$C$8,Donations!$F:$F,"&lt;="&amp;'Daily Challenges'!$D$8))</f>
        <v/>
      </c>
      <c r="H180" s="38">
        <f>IF($A180="","",SUMIFS(Donations!$D:$D,Donations!$G:$G,$A180,Donations!$F:$F,"&lt;="&amp;'Daily Challenges'!$D$9))</f>
        <v/>
      </c>
      <c r="I180" s="38">
        <f>IF($A180="","",SUMIFS(Donations!$D:$D,Donations!$G:$G,$A180,Donations!$F:$F,"&gt;="&amp;'Daily Challenges'!$C$10,Donations!$F:$F,"&lt;="&amp;'Daily Challenges'!$D$10))</f>
        <v/>
      </c>
      <c r="J180" s="38">
        <f>IF($A180="","",SUMIFS(Donations!$D:$D,Donations!$G:$G,$A180,Donations!$F:$F,"&lt;="&amp;'Daily Challenges'!$D$12))</f>
        <v/>
      </c>
    </row>
    <row r="181">
      <c r="A181" s="32" t="inlineStr">
        <is>
          <t>Adrian Hernandez</t>
        </is>
      </c>
      <c r="B181" s="32" t="inlineStr">
        <is>
          <t>Mrs. Jensen</t>
        </is>
      </c>
      <c r="C181" s="36" t="inlineStr">
        <is>
          <t>2</t>
        </is>
      </c>
      <c r="D181" s="37">
        <f>IF(A181="","",SUMIFS(Donations!$D:$D,Donations!$G:$G,A181))</f>
        <v/>
      </c>
      <c r="E181" s="35">
        <f>IF(A181="","",IF(D181&gt;0,"Yes",""))</f>
        <v/>
      </c>
      <c r="F181" s="38">
        <f>IF($A181="","",SUMIFS(Donations!$D:$D,Donations!$G:$G,$A181,Donations!$F:$F,"&gt;="&amp;'Daily Challenges'!$C$7,Donations!$F:$F,"&lt;="&amp;'Daily Challenges'!$D$7))</f>
        <v/>
      </c>
      <c r="G181" s="38">
        <f>IF($A181="","",SUMIFS(Donations!$D:$D,Donations!$G:$G,$A181,Donations!$F:$F,"&gt;="&amp;'Daily Challenges'!$C$8,Donations!$F:$F,"&lt;="&amp;'Daily Challenges'!$D$8))</f>
        <v/>
      </c>
      <c r="H181" s="38">
        <f>IF($A181="","",SUMIFS(Donations!$D:$D,Donations!$G:$G,$A181,Donations!$F:$F,"&lt;="&amp;'Daily Challenges'!$D$9))</f>
        <v/>
      </c>
      <c r="I181" s="38">
        <f>IF($A181="","",SUMIFS(Donations!$D:$D,Donations!$G:$G,$A181,Donations!$F:$F,"&gt;="&amp;'Daily Challenges'!$C$10,Donations!$F:$F,"&lt;="&amp;'Daily Challenges'!$D$10))</f>
        <v/>
      </c>
      <c r="J181" s="38">
        <f>IF($A181="","",SUMIFS(Donations!$D:$D,Donations!$G:$G,$A181,Donations!$F:$F,"&lt;="&amp;'Daily Challenges'!$D$12))</f>
        <v/>
      </c>
    </row>
    <row r="182">
      <c r="A182" s="32" t="inlineStr">
        <is>
          <t>Diego Perez</t>
        </is>
      </c>
      <c r="B182" s="32" t="inlineStr">
        <is>
          <t>Mrs. Jensen</t>
        </is>
      </c>
      <c r="C182" s="36" t="inlineStr">
        <is>
          <t>2</t>
        </is>
      </c>
      <c r="D182" s="37">
        <f>IF(A182="","",SUMIFS(Donations!$D:$D,Donations!$G:$G,A182))</f>
        <v/>
      </c>
      <c r="E182" s="35">
        <f>IF(A182="","",IF(D182&gt;0,"Yes",""))</f>
        <v/>
      </c>
      <c r="F182" s="38">
        <f>IF($A182="","",SUMIFS(Donations!$D:$D,Donations!$G:$G,$A182,Donations!$F:$F,"&gt;="&amp;'Daily Challenges'!$C$7,Donations!$F:$F,"&lt;="&amp;'Daily Challenges'!$D$7))</f>
        <v/>
      </c>
      <c r="G182" s="38">
        <f>IF($A182="","",SUMIFS(Donations!$D:$D,Donations!$G:$G,$A182,Donations!$F:$F,"&gt;="&amp;'Daily Challenges'!$C$8,Donations!$F:$F,"&lt;="&amp;'Daily Challenges'!$D$8))</f>
        <v/>
      </c>
      <c r="H182" s="38">
        <f>IF($A182="","",SUMIFS(Donations!$D:$D,Donations!$G:$G,$A182,Donations!$F:$F,"&lt;="&amp;'Daily Challenges'!$D$9))</f>
        <v/>
      </c>
      <c r="I182" s="38">
        <f>IF($A182="","",SUMIFS(Donations!$D:$D,Donations!$G:$G,$A182,Donations!$F:$F,"&gt;="&amp;'Daily Challenges'!$C$10,Donations!$F:$F,"&lt;="&amp;'Daily Challenges'!$D$10))</f>
        <v/>
      </c>
      <c r="J182" s="38">
        <f>IF($A182="","",SUMIFS(Donations!$D:$D,Donations!$G:$G,$A182,Donations!$F:$F,"&lt;="&amp;'Daily Challenges'!$D$12))</f>
        <v/>
      </c>
    </row>
    <row r="183">
      <c r="A183" s="32" t="inlineStr">
        <is>
          <t>Nicolas Brown</t>
        </is>
      </c>
      <c r="B183" s="32" t="inlineStr">
        <is>
          <t>Mrs. Jensen</t>
        </is>
      </c>
      <c r="C183" s="36" t="inlineStr">
        <is>
          <t>2</t>
        </is>
      </c>
      <c r="D183" s="37">
        <f>IF(A183="","",SUMIFS(Donations!$D:$D,Donations!$G:$G,A183))</f>
        <v/>
      </c>
      <c r="E183" s="35">
        <f>IF(A183="","",IF(D183&gt;0,"Yes",""))</f>
        <v/>
      </c>
      <c r="F183" s="38">
        <f>IF($A183="","",SUMIFS(Donations!$D:$D,Donations!$G:$G,$A183,Donations!$F:$F,"&gt;="&amp;'Daily Challenges'!$C$7,Donations!$F:$F,"&lt;="&amp;'Daily Challenges'!$D$7))</f>
        <v/>
      </c>
      <c r="G183" s="38">
        <f>IF($A183="","",SUMIFS(Donations!$D:$D,Donations!$G:$G,$A183,Donations!$F:$F,"&gt;="&amp;'Daily Challenges'!$C$8,Donations!$F:$F,"&lt;="&amp;'Daily Challenges'!$D$8))</f>
        <v/>
      </c>
      <c r="H183" s="38">
        <f>IF($A183="","",SUMIFS(Donations!$D:$D,Donations!$G:$G,$A183,Donations!$F:$F,"&lt;="&amp;'Daily Challenges'!$D$9))</f>
        <v/>
      </c>
      <c r="I183" s="38">
        <f>IF($A183="","",SUMIFS(Donations!$D:$D,Donations!$G:$G,$A183,Donations!$F:$F,"&gt;="&amp;'Daily Challenges'!$C$10,Donations!$F:$F,"&lt;="&amp;'Daily Challenges'!$D$10))</f>
        <v/>
      </c>
      <c r="J183" s="38">
        <f>IF($A183="","",SUMIFS(Donations!$D:$D,Donations!$G:$G,$A183,Donations!$F:$F,"&lt;="&amp;'Daily Challenges'!$D$12))</f>
        <v/>
      </c>
    </row>
    <row r="184">
      <c r="A184" s="32" t="inlineStr">
        <is>
          <t>Diego Lopez</t>
        </is>
      </c>
      <c r="B184" s="32" t="inlineStr">
        <is>
          <t>Mrs. Jensen</t>
        </is>
      </c>
      <c r="C184" s="36" t="inlineStr">
        <is>
          <t>2</t>
        </is>
      </c>
      <c r="D184" s="37">
        <f>IF(A184="","",SUMIFS(Donations!$D:$D,Donations!$G:$G,A184))</f>
        <v/>
      </c>
      <c r="E184" s="35">
        <f>IF(A184="","",IF(D184&gt;0,"Yes",""))</f>
        <v/>
      </c>
      <c r="F184" s="38">
        <f>IF($A184="","",SUMIFS(Donations!$D:$D,Donations!$G:$G,$A184,Donations!$F:$F,"&gt;="&amp;'Daily Challenges'!$C$7,Donations!$F:$F,"&lt;="&amp;'Daily Challenges'!$D$7))</f>
        <v/>
      </c>
      <c r="G184" s="38">
        <f>IF($A184="","",SUMIFS(Donations!$D:$D,Donations!$G:$G,$A184,Donations!$F:$F,"&gt;="&amp;'Daily Challenges'!$C$8,Donations!$F:$F,"&lt;="&amp;'Daily Challenges'!$D$8))</f>
        <v/>
      </c>
      <c r="H184" s="38">
        <f>IF($A184="","",SUMIFS(Donations!$D:$D,Donations!$G:$G,$A184,Donations!$F:$F,"&lt;="&amp;'Daily Challenges'!$D$9))</f>
        <v/>
      </c>
      <c r="I184" s="38">
        <f>IF($A184="","",SUMIFS(Donations!$D:$D,Donations!$G:$G,$A184,Donations!$F:$F,"&gt;="&amp;'Daily Challenges'!$C$10,Donations!$F:$F,"&lt;="&amp;'Daily Challenges'!$D$10))</f>
        <v/>
      </c>
      <c r="J184" s="38">
        <f>IF($A184="","",SUMIFS(Donations!$D:$D,Donations!$G:$G,$A184,Donations!$F:$F,"&lt;="&amp;'Daily Challenges'!$D$12))</f>
        <v/>
      </c>
    </row>
    <row r="185">
      <c r="A185" s="32" t="inlineStr">
        <is>
          <t>Luna Byrne</t>
        </is>
      </c>
      <c r="B185" s="32" t="inlineStr">
        <is>
          <t>Mrs. Jensen</t>
        </is>
      </c>
      <c r="C185" s="36" t="inlineStr">
        <is>
          <t>2</t>
        </is>
      </c>
      <c r="D185" s="37">
        <f>IF(A185="","",SUMIFS(Donations!$D:$D,Donations!$G:$G,A185))</f>
        <v/>
      </c>
      <c r="E185" s="35">
        <f>IF(A185="","",IF(D185&gt;0,"Yes",""))</f>
        <v/>
      </c>
      <c r="F185" s="38">
        <f>IF($A185="","",SUMIFS(Donations!$D:$D,Donations!$G:$G,$A185,Donations!$F:$F,"&gt;="&amp;'Daily Challenges'!$C$7,Donations!$F:$F,"&lt;="&amp;'Daily Challenges'!$D$7))</f>
        <v/>
      </c>
      <c r="G185" s="38">
        <f>IF($A185="","",SUMIFS(Donations!$D:$D,Donations!$G:$G,$A185,Donations!$F:$F,"&gt;="&amp;'Daily Challenges'!$C$8,Donations!$F:$F,"&lt;="&amp;'Daily Challenges'!$D$8))</f>
        <v/>
      </c>
      <c r="H185" s="38">
        <f>IF($A185="","",SUMIFS(Donations!$D:$D,Donations!$G:$G,$A185,Donations!$F:$F,"&lt;="&amp;'Daily Challenges'!$D$9))</f>
        <v/>
      </c>
      <c r="I185" s="38">
        <f>IF($A185="","",SUMIFS(Donations!$D:$D,Donations!$G:$G,$A185,Donations!$F:$F,"&gt;="&amp;'Daily Challenges'!$C$10,Donations!$F:$F,"&lt;="&amp;'Daily Challenges'!$D$10))</f>
        <v/>
      </c>
      <c r="J185" s="38">
        <f>IF($A185="","",SUMIFS(Donations!$D:$D,Donations!$G:$G,$A185,Donations!$F:$F,"&lt;="&amp;'Daily Challenges'!$D$12))</f>
        <v/>
      </c>
    </row>
    <row r="186">
      <c r="A186" s="32" t="inlineStr">
        <is>
          <t>Thomas Cruz</t>
        </is>
      </c>
      <c r="B186" s="32" t="inlineStr">
        <is>
          <t>Mr. Kowalski</t>
        </is>
      </c>
      <c r="C186" s="36" t="inlineStr">
        <is>
          <t>3</t>
        </is>
      </c>
      <c r="D186" s="37">
        <f>IF(A186="","",SUMIFS(Donations!$D:$D,Donations!$G:$G,A186))</f>
        <v/>
      </c>
      <c r="E186" s="35">
        <f>IF(A186="","",IF(D186&gt;0,"Yes",""))</f>
        <v/>
      </c>
      <c r="F186" s="38">
        <f>IF($A186="","",SUMIFS(Donations!$D:$D,Donations!$G:$G,$A186,Donations!$F:$F,"&gt;="&amp;'Daily Challenges'!$C$7,Donations!$F:$F,"&lt;="&amp;'Daily Challenges'!$D$7))</f>
        <v/>
      </c>
      <c r="G186" s="38">
        <f>IF($A186="","",SUMIFS(Donations!$D:$D,Donations!$G:$G,$A186,Donations!$F:$F,"&gt;="&amp;'Daily Challenges'!$C$8,Donations!$F:$F,"&lt;="&amp;'Daily Challenges'!$D$8))</f>
        <v/>
      </c>
      <c r="H186" s="38">
        <f>IF($A186="","",SUMIFS(Donations!$D:$D,Donations!$G:$G,$A186,Donations!$F:$F,"&lt;="&amp;'Daily Challenges'!$D$9))</f>
        <v/>
      </c>
      <c r="I186" s="38">
        <f>IF($A186="","",SUMIFS(Donations!$D:$D,Donations!$G:$G,$A186,Donations!$F:$F,"&gt;="&amp;'Daily Challenges'!$C$10,Donations!$F:$F,"&lt;="&amp;'Daily Challenges'!$D$10))</f>
        <v/>
      </c>
      <c r="J186" s="38">
        <f>IF($A186="","",SUMIFS(Donations!$D:$D,Donations!$G:$G,$A186,Donations!$F:$F,"&lt;="&amp;'Daily Challenges'!$D$12))</f>
        <v/>
      </c>
    </row>
    <row r="187">
      <c r="A187" s="32" t="inlineStr">
        <is>
          <t>Mateo Mendoza</t>
        </is>
      </c>
      <c r="B187" s="32" t="inlineStr">
        <is>
          <t>Mr. Kowalski</t>
        </is>
      </c>
      <c r="C187" s="36" t="inlineStr">
        <is>
          <t>3</t>
        </is>
      </c>
      <c r="D187" s="37">
        <f>IF(A187="","",SUMIFS(Donations!$D:$D,Donations!$G:$G,A187))</f>
        <v/>
      </c>
      <c r="E187" s="35">
        <f>IF(A187="","",IF(D187&gt;0,"Yes",""))</f>
        <v/>
      </c>
      <c r="F187" s="38">
        <f>IF($A187="","",SUMIFS(Donations!$D:$D,Donations!$G:$G,$A187,Donations!$F:$F,"&gt;="&amp;'Daily Challenges'!$C$7,Donations!$F:$F,"&lt;="&amp;'Daily Challenges'!$D$7))</f>
        <v/>
      </c>
      <c r="G187" s="38">
        <f>IF($A187="","",SUMIFS(Donations!$D:$D,Donations!$G:$G,$A187,Donations!$F:$F,"&gt;="&amp;'Daily Challenges'!$C$8,Donations!$F:$F,"&lt;="&amp;'Daily Challenges'!$D$8))</f>
        <v/>
      </c>
      <c r="H187" s="38">
        <f>IF($A187="","",SUMIFS(Donations!$D:$D,Donations!$G:$G,$A187,Donations!$F:$F,"&lt;="&amp;'Daily Challenges'!$D$9))</f>
        <v/>
      </c>
      <c r="I187" s="38">
        <f>IF($A187="","",SUMIFS(Donations!$D:$D,Donations!$G:$G,$A187,Donations!$F:$F,"&gt;="&amp;'Daily Challenges'!$C$10,Donations!$F:$F,"&lt;="&amp;'Daily Challenges'!$D$10))</f>
        <v/>
      </c>
      <c r="J187" s="38">
        <f>IF($A187="","",SUMIFS(Donations!$D:$D,Donations!$G:$G,$A187,Donations!$F:$F,"&lt;="&amp;'Daily Challenges'!$D$12))</f>
        <v/>
      </c>
    </row>
    <row r="188">
      <c r="A188" s="32" t="inlineStr">
        <is>
          <t>Luna Alvarez</t>
        </is>
      </c>
      <c r="B188" s="32" t="inlineStr">
        <is>
          <t>Mr. Kowalski</t>
        </is>
      </c>
      <c r="C188" s="36" t="inlineStr">
        <is>
          <t>3</t>
        </is>
      </c>
      <c r="D188" s="37">
        <f>IF(A188="","",SUMIFS(Donations!$D:$D,Donations!$G:$G,A188))</f>
        <v/>
      </c>
      <c r="E188" s="35">
        <f>IF(A188="","",IF(D188&gt;0,"Yes",""))</f>
        <v/>
      </c>
      <c r="F188" s="38">
        <f>IF($A188="","",SUMIFS(Donations!$D:$D,Donations!$G:$G,$A188,Donations!$F:$F,"&gt;="&amp;'Daily Challenges'!$C$7,Donations!$F:$F,"&lt;="&amp;'Daily Challenges'!$D$7))</f>
        <v/>
      </c>
      <c r="G188" s="38">
        <f>IF($A188="","",SUMIFS(Donations!$D:$D,Donations!$G:$G,$A188,Donations!$F:$F,"&gt;="&amp;'Daily Challenges'!$C$8,Donations!$F:$F,"&lt;="&amp;'Daily Challenges'!$D$8))</f>
        <v/>
      </c>
      <c r="H188" s="38">
        <f>IF($A188="","",SUMIFS(Donations!$D:$D,Donations!$G:$G,$A188,Donations!$F:$F,"&lt;="&amp;'Daily Challenges'!$D$9))</f>
        <v/>
      </c>
      <c r="I188" s="38">
        <f>IF($A188="","",SUMIFS(Donations!$D:$D,Donations!$G:$G,$A188,Donations!$F:$F,"&gt;="&amp;'Daily Challenges'!$C$10,Donations!$F:$F,"&lt;="&amp;'Daily Challenges'!$D$10))</f>
        <v/>
      </c>
      <c r="J188" s="38">
        <f>IF($A188="","",SUMIFS(Donations!$D:$D,Donations!$G:$G,$A188,Donations!$F:$F,"&lt;="&amp;'Daily Challenges'!$D$12))</f>
        <v/>
      </c>
    </row>
    <row r="189">
      <c r="A189" s="32" t="inlineStr">
        <is>
          <t>Chloe Ramos</t>
        </is>
      </c>
      <c r="B189" s="32" t="inlineStr">
        <is>
          <t>Mr. Kowalski</t>
        </is>
      </c>
      <c r="C189" s="36" t="inlineStr">
        <is>
          <t>3</t>
        </is>
      </c>
      <c r="D189" s="37">
        <f>IF(A189="","",SUMIFS(Donations!$D:$D,Donations!$G:$G,A189))</f>
        <v/>
      </c>
      <c r="E189" s="35">
        <f>IF(A189="","",IF(D189&gt;0,"Yes",""))</f>
        <v/>
      </c>
      <c r="F189" s="38">
        <f>IF($A189="","",SUMIFS(Donations!$D:$D,Donations!$G:$G,$A189,Donations!$F:$F,"&gt;="&amp;'Daily Challenges'!$C$7,Donations!$F:$F,"&lt;="&amp;'Daily Challenges'!$D$7))</f>
        <v/>
      </c>
      <c r="G189" s="38">
        <f>IF($A189="","",SUMIFS(Donations!$D:$D,Donations!$G:$G,$A189,Donations!$F:$F,"&gt;="&amp;'Daily Challenges'!$C$8,Donations!$F:$F,"&lt;="&amp;'Daily Challenges'!$D$8))</f>
        <v/>
      </c>
      <c r="H189" s="38">
        <f>IF($A189="","",SUMIFS(Donations!$D:$D,Donations!$G:$G,$A189,Donations!$F:$F,"&lt;="&amp;'Daily Challenges'!$D$9))</f>
        <v/>
      </c>
      <c r="I189" s="38">
        <f>IF($A189="","",SUMIFS(Donations!$D:$D,Donations!$G:$G,$A189,Donations!$F:$F,"&gt;="&amp;'Daily Challenges'!$C$10,Donations!$F:$F,"&lt;="&amp;'Daily Challenges'!$D$10))</f>
        <v/>
      </c>
      <c r="J189" s="38">
        <f>IF($A189="","",SUMIFS(Donations!$D:$D,Donations!$G:$G,$A189,Donations!$F:$F,"&lt;="&amp;'Daily Challenges'!$D$12))</f>
        <v/>
      </c>
    </row>
    <row r="190">
      <c r="A190" s="32" t="inlineStr">
        <is>
          <t>James Alvarez</t>
        </is>
      </c>
      <c r="B190" s="32" t="inlineStr">
        <is>
          <t>Mr. Kowalski</t>
        </is>
      </c>
      <c r="C190" s="36" t="inlineStr">
        <is>
          <t>3</t>
        </is>
      </c>
      <c r="D190" s="37">
        <f>IF(A190="","",SUMIFS(Donations!$D:$D,Donations!$G:$G,A190))</f>
        <v/>
      </c>
      <c r="E190" s="35">
        <f>IF(A190="","",IF(D190&gt;0,"Yes",""))</f>
        <v/>
      </c>
      <c r="F190" s="38">
        <f>IF($A190="","",SUMIFS(Donations!$D:$D,Donations!$G:$G,$A190,Donations!$F:$F,"&gt;="&amp;'Daily Challenges'!$C$7,Donations!$F:$F,"&lt;="&amp;'Daily Challenges'!$D$7))</f>
        <v/>
      </c>
      <c r="G190" s="38">
        <f>IF($A190="","",SUMIFS(Donations!$D:$D,Donations!$G:$G,$A190,Donations!$F:$F,"&gt;="&amp;'Daily Challenges'!$C$8,Donations!$F:$F,"&lt;="&amp;'Daily Challenges'!$D$8))</f>
        <v/>
      </c>
      <c r="H190" s="38">
        <f>IF($A190="","",SUMIFS(Donations!$D:$D,Donations!$G:$G,$A190,Donations!$F:$F,"&lt;="&amp;'Daily Challenges'!$D$9))</f>
        <v/>
      </c>
      <c r="I190" s="38">
        <f>IF($A190="","",SUMIFS(Donations!$D:$D,Donations!$G:$G,$A190,Donations!$F:$F,"&gt;="&amp;'Daily Challenges'!$C$10,Donations!$F:$F,"&lt;="&amp;'Daily Challenges'!$D$10))</f>
        <v/>
      </c>
      <c r="J190" s="38">
        <f>IF($A190="","",SUMIFS(Donations!$D:$D,Donations!$G:$G,$A190,Donations!$F:$F,"&lt;="&amp;'Daily Challenges'!$D$12))</f>
        <v/>
      </c>
    </row>
    <row r="191">
      <c r="A191" s="32" t="inlineStr">
        <is>
          <t>Clara Flores</t>
        </is>
      </c>
      <c r="B191" s="32" t="inlineStr">
        <is>
          <t>Mr. Kowalski</t>
        </is>
      </c>
      <c r="C191" s="36" t="inlineStr">
        <is>
          <t>3</t>
        </is>
      </c>
      <c r="D191" s="37">
        <f>IF(A191="","",SUMIFS(Donations!$D:$D,Donations!$G:$G,A191))</f>
        <v/>
      </c>
      <c r="E191" s="35">
        <f>IF(A191="","",IF(D191&gt;0,"Yes",""))</f>
        <v/>
      </c>
      <c r="F191" s="38">
        <f>IF($A191="","",SUMIFS(Donations!$D:$D,Donations!$G:$G,$A191,Donations!$F:$F,"&gt;="&amp;'Daily Challenges'!$C$7,Donations!$F:$F,"&lt;="&amp;'Daily Challenges'!$D$7))</f>
        <v/>
      </c>
      <c r="G191" s="38">
        <f>IF($A191="","",SUMIFS(Donations!$D:$D,Donations!$G:$G,$A191,Donations!$F:$F,"&gt;="&amp;'Daily Challenges'!$C$8,Donations!$F:$F,"&lt;="&amp;'Daily Challenges'!$D$8))</f>
        <v/>
      </c>
      <c r="H191" s="38">
        <f>IF($A191="","",SUMIFS(Donations!$D:$D,Donations!$G:$G,$A191,Donations!$F:$F,"&lt;="&amp;'Daily Challenges'!$D$9))</f>
        <v/>
      </c>
      <c r="I191" s="38">
        <f>IF($A191="","",SUMIFS(Donations!$D:$D,Donations!$G:$G,$A191,Donations!$F:$F,"&gt;="&amp;'Daily Challenges'!$C$10,Donations!$F:$F,"&lt;="&amp;'Daily Challenges'!$D$10))</f>
        <v/>
      </c>
      <c r="J191" s="38">
        <f>IF($A191="","",SUMIFS(Donations!$D:$D,Donations!$G:$G,$A191,Donations!$F:$F,"&lt;="&amp;'Daily Challenges'!$D$12))</f>
        <v/>
      </c>
    </row>
    <row r="192">
      <c r="A192" s="32" t="inlineStr">
        <is>
          <t>Emma Sanchez</t>
        </is>
      </c>
      <c r="B192" s="32" t="inlineStr">
        <is>
          <t>Mr. Kowalski</t>
        </is>
      </c>
      <c r="C192" s="36" t="inlineStr">
        <is>
          <t>3</t>
        </is>
      </c>
      <c r="D192" s="37">
        <f>IF(A192="","",SUMIFS(Donations!$D:$D,Donations!$G:$G,A192))</f>
        <v/>
      </c>
      <c r="E192" s="35">
        <f>IF(A192="","",IF(D192&gt;0,"Yes",""))</f>
        <v/>
      </c>
      <c r="F192" s="38">
        <f>IF($A192="","",SUMIFS(Donations!$D:$D,Donations!$G:$G,$A192,Donations!$F:$F,"&gt;="&amp;'Daily Challenges'!$C$7,Donations!$F:$F,"&lt;="&amp;'Daily Challenges'!$D$7))</f>
        <v/>
      </c>
      <c r="G192" s="38">
        <f>IF($A192="","",SUMIFS(Donations!$D:$D,Donations!$G:$G,$A192,Donations!$F:$F,"&gt;="&amp;'Daily Challenges'!$C$8,Donations!$F:$F,"&lt;="&amp;'Daily Challenges'!$D$8))</f>
        <v/>
      </c>
      <c r="H192" s="38">
        <f>IF($A192="","",SUMIFS(Donations!$D:$D,Donations!$G:$G,$A192,Donations!$F:$F,"&lt;="&amp;'Daily Challenges'!$D$9))</f>
        <v/>
      </c>
      <c r="I192" s="38">
        <f>IF($A192="","",SUMIFS(Donations!$D:$D,Donations!$G:$G,$A192,Donations!$F:$F,"&gt;="&amp;'Daily Challenges'!$C$10,Donations!$F:$F,"&lt;="&amp;'Daily Challenges'!$D$10))</f>
        <v/>
      </c>
      <c r="J192" s="38">
        <f>IF($A192="","",SUMIFS(Donations!$D:$D,Donations!$G:$G,$A192,Donations!$F:$F,"&lt;="&amp;'Daily Challenges'!$D$12))</f>
        <v/>
      </c>
    </row>
    <row r="193">
      <c r="A193" s="32" t="inlineStr">
        <is>
          <t>Aria Martinez</t>
        </is>
      </c>
      <c r="B193" s="32" t="inlineStr">
        <is>
          <t>Mr. Kowalski</t>
        </is>
      </c>
      <c r="C193" s="36" t="inlineStr">
        <is>
          <t>3</t>
        </is>
      </c>
      <c r="D193" s="37">
        <f>IF(A193="","",SUMIFS(Donations!$D:$D,Donations!$G:$G,A193))</f>
        <v/>
      </c>
      <c r="E193" s="35">
        <f>IF(A193="","",IF(D193&gt;0,"Yes",""))</f>
        <v/>
      </c>
      <c r="F193" s="38">
        <f>IF($A193="","",SUMIFS(Donations!$D:$D,Donations!$G:$G,$A193,Donations!$F:$F,"&gt;="&amp;'Daily Challenges'!$C$7,Donations!$F:$F,"&lt;="&amp;'Daily Challenges'!$D$7))</f>
        <v/>
      </c>
      <c r="G193" s="38">
        <f>IF($A193="","",SUMIFS(Donations!$D:$D,Donations!$G:$G,$A193,Donations!$F:$F,"&gt;="&amp;'Daily Challenges'!$C$8,Donations!$F:$F,"&lt;="&amp;'Daily Challenges'!$D$8))</f>
        <v/>
      </c>
      <c r="H193" s="38">
        <f>IF($A193="","",SUMIFS(Donations!$D:$D,Donations!$G:$G,$A193,Donations!$F:$F,"&lt;="&amp;'Daily Challenges'!$D$9))</f>
        <v/>
      </c>
      <c r="I193" s="38">
        <f>IF($A193="","",SUMIFS(Donations!$D:$D,Donations!$G:$G,$A193,Donations!$F:$F,"&gt;="&amp;'Daily Challenges'!$C$10,Donations!$F:$F,"&lt;="&amp;'Daily Challenges'!$D$10))</f>
        <v/>
      </c>
      <c r="J193" s="38">
        <f>IF($A193="","",SUMIFS(Donations!$D:$D,Donations!$G:$G,$A193,Donations!$F:$F,"&lt;="&amp;'Daily Challenges'!$D$12))</f>
        <v/>
      </c>
    </row>
    <row r="194">
      <c r="A194" s="32" t="inlineStr">
        <is>
          <t>Clara Murphy</t>
        </is>
      </c>
      <c r="B194" s="32" t="inlineStr">
        <is>
          <t>Mr. Kowalski</t>
        </is>
      </c>
      <c r="C194" s="36" t="inlineStr">
        <is>
          <t>3</t>
        </is>
      </c>
      <c r="D194" s="37">
        <f>IF(A194="","",SUMIFS(Donations!$D:$D,Donations!$G:$G,A194))</f>
        <v/>
      </c>
      <c r="E194" s="35">
        <f>IF(A194="","",IF(D194&gt;0,"Yes",""))</f>
        <v/>
      </c>
      <c r="F194" s="38">
        <f>IF($A194="","",SUMIFS(Donations!$D:$D,Donations!$G:$G,$A194,Donations!$F:$F,"&gt;="&amp;'Daily Challenges'!$C$7,Donations!$F:$F,"&lt;="&amp;'Daily Challenges'!$D$7))</f>
        <v/>
      </c>
      <c r="G194" s="38">
        <f>IF($A194="","",SUMIFS(Donations!$D:$D,Donations!$G:$G,$A194,Donations!$F:$F,"&gt;="&amp;'Daily Challenges'!$C$8,Donations!$F:$F,"&lt;="&amp;'Daily Challenges'!$D$8))</f>
        <v/>
      </c>
      <c r="H194" s="38">
        <f>IF($A194="","",SUMIFS(Donations!$D:$D,Donations!$G:$G,$A194,Donations!$F:$F,"&lt;="&amp;'Daily Challenges'!$D$9))</f>
        <v/>
      </c>
      <c r="I194" s="38">
        <f>IF($A194="","",SUMIFS(Donations!$D:$D,Donations!$G:$G,$A194,Donations!$F:$F,"&gt;="&amp;'Daily Challenges'!$C$10,Donations!$F:$F,"&lt;="&amp;'Daily Challenges'!$D$10))</f>
        <v/>
      </c>
      <c r="J194" s="38">
        <f>IF($A194="","",SUMIFS(Donations!$D:$D,Donations!$G:$G,$A194,Donations!$F:$F,"&lt;="&amp;'Daily Challenges'!$D$12))</f>
        <v/>
      </c>
    </row>
    <row r="195">
      <c r="A195" s="32" t="inlineStr">
        <is>
          <t>Adrian Ruiz</t>
        </is>
      </c>
      <c r="B195" s="32" t="inlineStr">
        <is>
          <t>Mr. Kowalski</t>
        </is>
      </c>
      <c r="C195" s="36" t="inlineStr">
        <is>
          <t>3</t>
        </is>
      </c>
      <c r="D195" s="37">
        <f>IF(A195="","",SUMIFS(Donations!$D:$D,Donations!$G:$G,A195))</f>
        <v/>
      </c>
      <c r="E195" s="35">
        <f>IF(A195="","",IF(D195&gt;0,"Yes",""))</f>
        <v/>
      </c>
      <c r="F195" s="38">
        <f>IF($A195="","",SUMIFS(Donations!$D:$D,Donations!$G:$G,$A195,Donations!$F:$F,"&gt;="&amp;'Daily Challenges'!$C$7,Donations!$F:$F,"&lt;="&amp;'Daily Challenges'!$D$7))</f>
        <v/>
      </c>
      <c r="G195" s="38">
        <f>IF($A195="","",SUMIFS(Donations!$D:$D,Donations!$G:$G,$A195,Donations!$F:$F,"&gt;="&amp;'Daily Challenges'!$C$8,Donations!$F:$F,"&lt;="&amp;'Daily Challenges'!$D$8))</f>
        <v/>
      </c>
      <c r="H195" s="38">
        <f>IF($A195="","",SUMIFS(Donations!$D:$D,Donations!$G:$G,$A195,Donations!$F:$F,"&lt;="&amp;'Daily Challenges'!$D$9))</f>
        <v/>
      </c>
      <c r="I195" s="38">
        <f>IF($A195="","",SUMIFS(Donations!$D:$D,Donations!$G:$G,$A195,Donations!$F:$F,"&gt;="&amp;'Daily Challenges'!$C$10,Donations!$F:$F,"&lt;="&amp;'Daily Challenges'!$D$10))</f>
        <v/>
      </c>
      <c r="J195" s="38">
        <f>IF($A195="","",SUMIFS(Donations!$D:$D,Donations!$G:$G,$A195,Donations!$F:$F,"&lt;="&amp;'Daily Challenges'!$D$12))</f>
        <v/>
      </c>
    </row>
    <row r="196">
      <c r="A196" s="32" t="inlineStr">
        <is>
          <t>Amelia Gonzalez</t>
        </is>
      </c>
      <c r="B196" s="32" t="inlineStr">
        <is>
          <t>Mr. Kowalski</t>
        </is>
      </c>
      <c r="C196" s="36" t="inlineStr">
        <is>
          <t>3</t>
        </is>
      </c>
      <c r="D196" s="37">
        <f>IF(A196="","",SUMIFS(Donations!$D:$D,Donations!$G:$G,A196))</f>
        <v/>
      </c>
      <c r="E196" s="35">
        <f>IF(A196="","",IF(D196&gt;0,"Yes",""))</f>
        <v/>
      </c>
      <c r="F196" s="38">
        <f>IF($A196="","",SUMIFS(Donations!$D:$D,Donations!$G:$G,$A196,Donations!$F:$F,"&gt;="&amp;'Daily Challenges'!$C$7,Donations!$F:$F,"&lt;="&amp;'Daily Challenges'!$D$7))</f>
        <v/>
      </c>
      <c r="G196" s="38">
        <f>IF($A196="","",SUMIFS(Donations!$D:$D,Donations!$G:$G,$A196,Donations!$F:$F,"&gt;="&amp;'Daily Challenges'!$C$8,Donations!$F:$F,"&lt;="&amp;'Daily Challenges'!$D$8))</f>
        <v/>
      </c>
      <c r="H196" s="38">
        <f>IF($A196="","",SUMIFS(Donations!$D:$D,Donations!$G:$G,$A196,Donations!$F:$F,"&lt;="&amp;'Daily Challenges'!$D$9))</f>
        <v/>
      </c>
      <c r="I196" s="38">
        <f>IF($A196="","",SUMIFS(Donations!$D:$D,Donations!$G:$G,$A196,Donations!$F:$F,"&gt;="&amp;'Daily Challenges'!$C$10,Donations!$F:$F,"&lt;="&amp;'Daily Challenges'!$D$10))</f>
        <v/>
      </c>
      <c r="J196" s="38">
        <f>IF($A196="","",SUMIFS(Donations!$D:$D,Donations!$G:$G,$A196,Donations!$F:$F,"&lt;="&amp;'Daily Challenges'!$D$12))</f>
        <v/>
      </c>
    </row>
    <row r="197">
      <c r="A197" s="32" t="inlineStr">
        <is>
          <t>Mia Martinez</t>
        </is>
      </c>
      <c r="B197" s="32" t="inlineStr">
        <is>
          <t>Mr. Kowalski</t>
        </is>
      </c>
      <c r="C197" s="36" t="inlineStr">
        <is>
          <t>3</t>
        </is>
      </c>
      <c r="D197" s="37">
        <f>IF(A197="","",SUMIFS(Donations!$D:$D,Donations!$G:$G,A197))</f>
        <v/>
      </c>
      <c r="E197" s="35">
        <f>IF(A197="","",IF(D197&gt;0,"Yes",""))</f>
        <v/>
      </c>
      <c r="F197" s="38">
        <f>IF($A197="","",SUMIFS(Donations!$D:$D,Donations!$G:$G,$A197,Donations!$F:$F,"&gt;="&amp;'Daily Challenges'!$C$7,Donations!$F:$F,"&lt;="&amp;'Daily Challenges'!$D$7))</f>
        <v/>
      </c>
      <c r="G197" s="38">
        <f>IF($A197="","",SUMIFS(Donations!$D:$D,Donations!$G:$G,$A197,Donations!$F:$F,"&gt;="&amp;'Daily Challenges'!$C$8,Donations!$F:$F,"&lt;="&amp;'Daily Challenges'!$D$8))</f>
        <v/>
      </c>
      <c r="H197" s="38">
        <f>IF($A197="","",SUMIFS(Donations!$D:$D,Donations!$G:$G,$A197,Donations!$F:$F,"&lt;="&amp;'Daily Challenges'!$D$9))</f>
        <v/>
      </c>
      <c r="I197" s="38">
        <f>IF($A197="","",SUMIFS(Donations!$D:$D,Donations!$G:$G,$A197,Donations!$F:$F,"&gt;="&amp;'Daily Challenges'!$C$10,Donations!$F:$F,"&lt;="&amp;'Daily Challenges'!$D$10))</f>
        <v/>
      </c>
      <c r="J197" s="38">
        <f>IF($A197="","",SUMIFS(Donations!$D:$D,Donations!$G:$G,$A197,Donations!$F:$F,"&lt;="&amp;'Daily Challenges'!$D$12))</f>
        <v/>
      </c>
    </row>
    <row r="198">
      <c r="A198" s="32" t="inlineStr">
        <is>
          <t>Mateo Diaz</t>
        </is>
      </c>
      <c r="B198" s="32" t="inlineStr">
        <is>
          <t>Mr. Kowalski</t>
        </is>
      </c>
      <c r="C198" s="36" t="inlineStr">
        <is>
          <t>3</t>
        </is>
      </c>
      <c r="D198" s="37">
        <f>IF(A198="","",SUMIFS(Donations!$D:$D,Donations!$G:$G,A198))</f>
        <v/>
      </c>
      <c r="E198" s="35">
        <f>IF(A198="","",IF(D198&gt;0,"Yes",""))</f>
        <v/>
      </c>
      <c r="F198" s="38">
        <f>IF($A198="","",SUMIFS(Donations!$D:$D,Donations!$G:$G,$A198,Donations!$F:$F,"&gt;="&amp;'Daily Challenges'!$C$7,Donations!$F:$F,"&lt;="&amp;'Daily Challenges'!$D$7))</f>
        <v/>
      </c>
      <c r="G198" s="38">
        <f>IF($A198="","",SUMIFS(Donations!$D:$D,Donations!$G:$G,$A198,Donations!$F:$F,"&gt;="&amp;'Daily Challenges'!$C$8,Donations!$F:$F,"&lt;="&amp;'Daily Challenges'!$D$8))</f>
        <v/>
      </c>
      <c r="H198" s="38">
        <f>IF($A198="","",SUMIFS(Donations!$D:$D,Donations!$G:$G,$A198,Donations!$F:$F,"&lt;="&amp;'Daily Challenges'!$D$9))</f>
        <v/>
      </c>
      <c r="I198" s="38">
        <f>IF($A198="","",SUMIFS(Donations!$D:$D,Donations!$G:$G,$A198,Donations!$F:$F,"&gt;="&amp;'Daily Challenges'!$C$10,Donations!$F:$F,"&lt;="&amp;'Daily Challenges'!$D$10))</f>
        <v/>
      </c>
      <c r="J198" s="38">
        <f>IF($A198="","",SUMIFS(Donations!$D:$D,Donations!$G:$G,$A198,Donations!$F:$F,"&lt;="&amp;'Daily Challenges'!$D$12))</f>
        <v/>
      </c>
    </row>
    <row r="199">
      <c r="A199" s="32" t="inlineStr">
        <is>
          <t>Aria Kim</t>
        </is>
      </c>
      <c r="B199" s="32" t="inlineStr">
        <is>
          <t>Mr. Kowalski</t>
        </is>
      </c>
      <c r="C199" s="36" t="inlineStr">
        <is>
          <t>3</t>
        </is>
      </c>
      <c r="D199" s="37">
        <f>IF(A199="","",SUMIFS(Donations!$D:$D,Donations!$G:$G,A199))</f>
        <v/>
      </c>
      <c r="E199" s="35">
        <f>IF(A199="","",IF(D199&gt;0,"Yes",""))</f>
        <v/>
      </c>
      <c r="F199" s="38">
        <f>IF($A199="","",SUMIFS(Donations!$D:$D,Donations!$G:$G,$A199,Donations!$F:$F,"&gt;="&amp;'Daily Challenges'!$C$7,Donations!$F:$F,"&lt;="&amp;'Daily Challenges'!$D$7))</f>
        <v/>
      </c>
      <c r="G199" s="38">
        <f>IF($A199="","",SUMIFS(Donations!$D:$D,Donations!$G:$G,$A199,Donations!$F:$F,"&gt;="&amp;'Daily Challenges'!$C$8,Donations!$F:$F,"&lt;="&amp;'Daily Challenges'!$D$8))</f>
        <v/>
      </c>
      <c r="H199" s="38">
        <f>IF($A199="","",SUMIFS(Donations!$D:$D,Donations!$G:$G,$A199,Donations!$F:$F,"&lt;="&amp;'Daily Challenges'!$D$9))</f>
        <v/>
      </c>
      <c r="I199" s="38">
        <f>IF($A199="","",SUMIFS(Donations!$D:$D,Donations!$G:$G,$A199,Donations!$F:$F,"&gt;="&amp;'Daily Challenges'!$C$10,Donations!$F:$F,"&lt;="&amp;'Daily Challenges'!$D$10))</f>
        <v/>
      </c>
      <c r="J199" s="38">
        <f>IF($A199="","",SUMIFS(Donations!$D:$D,Donations!$G:$G,$A199,Donations!$F:$F,"&lt;="&amp;'Daily Challenges'!$D$12))</f>
        <v/>
      </c>
    </row>
    <row r="200">
      <c r="A200" s="32" t="inlineStr">
        <is>
          <t>Evelyn Rodriguez</t>
        </is>
      </c>
      <c r="B200" s="32" t="inlineStr">
        <is>
          <t>Mr. Kowalski</t>
        </is>
      </c>
      <c r="C200" s="36" t="inlineStr">
        <is>
          <t>3</t>
        </is>
      </c>
      <c r="D200" s="37">
        <f>IF(A200="","",SUMIFS(Donations!$D:$D,Donations!$G:$G,A200))</f>
        <v/>
      </c>
      <c r="E200" s="35">
        <f>IF(A200="","",IF(D200&gt;0,"Yes",""))</f>
        <v/>
      </c>
      <c r="F200" s="38">
        <f>IF($A200="","",SUMIFS(Donations!$D:$D,Donations!$G:$G,$A200,Donations!$F:$F,"&gt;="&amp;'Daily Challenges'!$C$7,Donations!$F:$F,"&lt;="&amp;'Daily Challenges'!$D$7))</f>
        <v/>
      </c>
      <c r="G200" s="38">
        <f>IF($A200="","",SUMIFS(Donations!$D:$D,Donations!$G:$G,$A200,Donations!$F:$F,"&gt;="&amp;'Daily Challenges'!$C$8,Donations!$F:$F,"&lt;="&amp;'Daily Challenges'!$D$8))</f>
        <v/>
      </c>
      <c r="H200" s="38">
        <f>IF($A200="","",SUMIFS(Donations!$D:$D,Donations!$G:$G,$A200,Donations!$F:$F,"&lt;="&amp;'Daily Challenges'!$D$9))</f>
        <v/>
      </c>
      <c r="I200" s="38">
        <f>IF($A200="","",SUMIFS(Donations!$D:$D,Donations!$G:$G,$A200,Donations!$F:$F,"&gt;="&amp;'Daily Challenges'!$C$10,Donations!$F:$F,"&lt;="&amp;'Daily Challenges'!$D$10))</f>
        <v/>
      </c>
      <c r="J200" s="38">
        <f>IF($A200="","",SUMIFS(Donations!$D:$D,Donations!$G:$G,$A200,Donations!$F:$F,"&lt;="&amp;'Daily Challenges'!$D$12))</f>
        <v/>
      </c>
    </row>
    <row r="201">
      <c r="A201" s="32" t="inlineStr">
        <is>
          <t>Elena Walsh</t>
        </is>
      </c>
      <c r="B201" s="32" t="inlineStr">
        <is>
          <t>Mr. Kowalski</t>
        </is>
      </c>
      <c r="C201" s="36" t="inlineStr">
        <is>
          <t>3</t>
        </is>
      </c>
      <c r="D201" s="37">
        <f>IF(A201="","",SUMIFS(Donations!$D:$D,Donations!$G:$G,A201))</f>
        <v/>
      </c>
      <c r="E201" s="35">
        <f>IF(A201="","",IF(D201&gt;0,"Yes",""))</f>
        <v/>
      </c>
      <c r="F201" s="38">
        <f>IF($A201="","",SUMIFS(Donations!$D:$D,Donations!$G:$G,$A201,Donations!$F:$F,"&gt;="&amp;'Daily Challenges'!$C$7,Donations!$F:$F,"&lt;="&amp;'Daily Challenges'!$D$7))</f>
        <v/>
      </c>
      <c r="G201" s="38">
        <f>IF($A201="","",SUMIFS(Donations!$D:$D,Donations!$G:$G,$A201,Donations!$F:$F,"&gt;="&amp;'Daily Challenges'!$C$8,Donations!$F:$F,"&lt;="&amp;'Daily Challenges'!$D$8))</f>
        <v/>
      </c>
      <c r="H201" s="38">
        <f>IF($A201="","",SUMIFS(Donations!$D:$D,Donations!$G:$G,$A201,Donations!$F:$F,"&lt;="&amp;'Daily Challenges'!$D$9))</f>
        <v/>
      </c>
      <c r="I201" s="38">
        <f>IF($A201="","",SUMIFS(Donations!$D:$D,Donations!$G:$G,$A201,Donations!$F:$F,"&gt;="&amp;'Daily Challenges'!$C$10,Donations!$F:$F,"&lt;="&amp;'Daily Challenges'!$D$10))</f>
        <v/>
      </c>
      <c r="J201" s="38">
        <f>IF($A201="","",SUMIFS(Donations!$D:$D,Donations!$G:$G,$A201,Donations!$F:$F,"&lt;="&amp;'Daily Challenges'!$D$12))</f>
        <v/>
      </c>
    </row>
    <row r="202">
      <c r="A202" s="32" t="inlineStr">
        <is>
          <t>Lucas Sanchez</t>
        </is>
      </c>
      <c r="B202" s="32" t="inlineStr">
        <is>
          <t>Mr. Kowalski</t>
        </is>
      </c>
      <c r="C202" s="36" t="inlineStr">
        <is>
          <t>3</t>
        </is>
      </c>
      <c r="D202" s="37">
        <f>IF(A202="","",SUMIFS(Donations!$D:$D,Donations!$G:$G,A202))</f>
        <v/>
      </c>
      <c r="E202" s="35">
        <f>IF(A202="","",IF(D202&gt;0,"Yes",""))</f>
        <v/>
      </c>
      <c r="F202" s="38">
        <f>IF($A202="","",SUMIFS(Donations!$D:$D,Donations!$G:$G,$A202,Donations!$F:$F,"&gt;="&amp;'Daily Challenges'!$C$7,Donations!$F:$F,"&lt;="&amp;'Daily Challenges'!$D$7))</f>
        <v/>
      </c>
      <c r="G202" s="38">
        <f>IF($A202="","",SUMIFS(Donations!$D:$D,Donations!$G:$G,$A202,Donations!$F:$F,"&gt;="&amp;'Daily Challenges'!$C$8,Donations!$F:$F,"&lt;="&amp;'Daily Challenges'!$D$8))</f>
        <v/>
      </c>
      <c r="H202" s="38">
        <f>IF($A202="","",SUMIFS(Donations!$D:$D,Donations!$G:$G,$A202,Donations!$F:$F,"&lt;="&amp;'Daily Challenges'!$D$9))</f>
        <v/>
      </c>
      <c r="I202" s="38">
        <f>IF($A202="","",SUMIFS(Donations!$D:$D,Donations!$G:$G,$A202,Donations!$F:$F,"&gt;="&amp;'Daily Challenges'!$C$10,Donations!$F:$F,"&lt;="&amp;'Daily Challenges'!$D$10))</f>
        <v/>
      </c>
      <c r="J202" s="38">
        <f>IF($A202="","",SUMIFS(Donations!$D:$D,Donations!$G:$G,$A202,Donations!$F:$F,"&lt;="&amp;'Daily Challenges'!$D$12))</f>
        <v/>
      </c>
    </row>
    <row r="203">
      <c r="A203" s="32" t="inlineStr">
        <is>
          <t>Adrian Lopez</t>
        </is>
      </c>
      <c r="B203" s="32" t="inlineStr">
        <is>
          <t>Mr. Kowalski</t>
        </is>
      </c>
      <c r="C203" s="36" t="inlineStr">
        <is>
          <t>3</t>
        </is>
      </c>
      <c r="D203" s="37">
        <f>IF(A203="","",SUMIFS(Donations!$D:$D,Donations!$G:$G,A203))</f>
        <v/>
      </c>
      <c r="E203" s="35">
        <f>IF(A203="","",IF(D203&gt;0,"Yes",""))</f>
        <v/>
      </c>
      <c r="F203" s="38">
        <f>IF($A203="","",SUMIFS(Donations!$D:$D,Donations!$G:$G,$A203,Donations!$F:$F,"&gt;="&amp;'Daily Challenges'!$C$7,Donations!$F:$F,"&lt;="&amp;'Daily Challenges'!$D$7))</f>
        <v/>
      </c>
      <c r="G203" s="38">
        <f>IF($A203="","",SUMIFS(Donations!$D:$D,Donations!$G:$G,$A203,Donations!$F:$F,"&gt;="&amp;'Daily Challenges'!$C$8,Donations!$F:$F,"&lt;="&amp;'Daily Challenges'!$D$8))</f>
        <v/>
      </c>
      <c r="H203" s="38">
        <f>IF($A203="","",SUMIFS(Donations!$D:$D,Donations!$G:$G,$A203,Donations!$F:$F,"&lt;="&amp;'Daily Challenges'!$D$9))</f>
        <v/>
      </c>
      <c r="I203" s="38">
        <f>IF($A203="","",SUMIFS(Donations!$D:$D,Donations!$G:$G,$A203,Donations!$F:$F,"&gt;="&amp;'Daily Challenges'!$C$10,Donations!$F:$F,"&lt;="&amp;'Daily Challenges'!$D$10))</f>
        <v/>
      </c>
      <c r="J203" s="38">
        <f>IF($A203="","",SUMIFS(Donations!$D:$D,Donations!$G:$G,$A203,Donations!$F:$F,"&lt;="&amp;'Daily Challenges'!$D$12))</f>
        <v/>
      </c>
    </row>
    <row r="204">
      <c r="A204" s="32" t="inlineStr">
        <is>
          <t>Thomas Patel</t>
        </is>
      </c>
      <c r="B204" s="32" t="inlineStr">
        <is>
          <t>Mr. Kowalski</t>
        </is>
      </c>
      <c r="C204" s="36" t="inlineStr">
        <is>
          <t>3</t>
        </is>
      </c>
      <c r="D204" s="37">
        <f>IF(A204="","",SUMIFS(Donations!$D:$D,Donations!$G:$G,A204))</f>
        <v/>
      </c>
      <c r="E204" s="35">
        <f>IF(A204="","",IF(D204&gt;0,"Yes",""))</f>
        <v/>
      </c>
      <c r="F204" s="38">
        <f>IF($A204="","",SUMIFS(Donations!$D:$D,Donations!$G:$G,$A204,Donations!$F:$F,"&gt;="&amp;'Daily Challenges'!$C$7,Donations!$F:$F,"&lt;="&amp;'Daily Challenges'!$D$7))</f>
        <v/>
      </c>
      <c r="G204" s="38">
        <f>IF($A204="","",SUMIFS(Donations!$D:$D,Donations!$G:$G,$A204,Donations!$F:$F,"&gt;="&amp;'Daily Challenges'!$C$8,Donations!$F:$F,"&lt;="&amp;'Daily Challenges'!$D$8))</f>
        <v/>
      </c>
      <c r="H204" s="38">
        <f>IF($A204="","",SUMIFS(Donations!$D:$D,Donations!$G:$G,$A204,Donations!$F:$F,"&lt;="&amp;'Daily Challenges'!$D$9))</f>
        <v/>
      </c>
      <c r="I204" s="38">
        <f>IF($A204="","",SUMIFS(Donations!$D:$D,Donations!$G:$G,$A204,Donations!$F:$F,"&gt;="&amp;'Daily Challenges'!$C$10,Donations!$F:$F,"&lt;="&amp;'Daily Challenges'!$D$10))</f>
        <v/>
      </c>
      <c r="J204" s="38">
        <f>IF($A204="","",SUMIFS(Donations!$D:$D,Donations!$G:$G,$A204,Donations!$F:$F,"&lt;="&amp;'Daily Challenges'!$D$12))</f>
        <v/>
      </c>
    </row>
    <row r="205">
      <c r="A205" s="32" t="inlineStr">
        <is>
          <t>Amelia Ortiz</t>
        </is>
      </c>
      <c r="B205" s="32" t="inlineStr">
        <is>
          <t>Mr. Kowalski</t>
        </is>
      </c>
      <c r="C205" s="36" t="inlineStr">
        <is>
          <t>3</t>
        </is>
      </c>
      <c r="D205" s="37">
        <f>IF(A205="","",SUMIFS(Donations!$D:$D,Donations!$G:$G,A205))</f>
        <v/>
      </c>
      <c r="E205" s="35">
        <f>IF(A205="","",IF(D205&gt;0,"Yes",""))</f>
        <v/>
      </c>
      <c r="F205" s="38">
        <f>IF($A205="","",SUMIFS(Donations!$D:$D,Donations!$G:$G,$A205,Donations!$F:$F,"&gt;="&amp;'Daily Challenges'!$C$7,Donations!$F:$F,"&lt;="&amp;'Daily Challenges'!$D$7))</f>
        <v/>
      </c>
      <c r="G205" s="38">
        <f>IF($A205="","",SUMIFS(Donations!$D:$D,Donations!$G:$G,$A205,Donations!$F:$F,"&gt;="&amp;'Daily Challenges'!$C$8,Donations!$F:$F,"&lt;="&amp;'Daily Challenges'!$D$8))</f>
        <v/>
      </c>
      <c r="H205" s="38">
        <f>IF($A205="","",SUMIFS(Donations!$D:$D,Donations!$G:$G,$A205,Donations!$F:$F,"&lt;="&amp;'Daily Challenges'!$D$9))</f>
        <v/>
      </c>
      <c r="I205" s="38">
        <f>IF($A205="","",SUMIFS(Donations!$D:$D,Donations!$G:$G,$A205,Donations!$F:$F,"&gt;="&amp;'Daily Challenges'!$C$10,Donations!$F:$F,"&lt;="&amp;'Daily Challenges'!$D$10))</f>
        <v/>
      </c>
      <c r="J205" s="38">
        <f>IF($A205="","",SUMIFS(Donations!$D:$D,Donations!$G:$G,$A205,Donations!$F:$F,"&lt;="&amp;'Daily Challenges'!$D$12))</f>
        <v/>
      </c>
    </row>
    <row r="206">
      <c r="A206" s="32" t="inlineStr">
        <is>
          <t>Elena O'Brien</t>
        </is>
      </c>
      <c r="B206" s="32" t="inlineStr">
        <is>
          <t>Mrs. Lindqvist</t>
        </is>
      </c>
      <c r="C206" s="36" t="inlineStr">
        <is>
          <t>3</t>
        </is>
      </c>
      <c r="D206" s="37">
        <f>IF(A206="","",SUMIFS(Donations!$D:$D,Donations!$G:$G,A206))</f>
        <v/>
      </c>
      <c r="E206" s="35">
        <f>IF(A206="","",IF(D206&gt;0,"Yes",""))</f>
        <v/>
      </c>
      <c r="F206" s="38">
        <f>IF($A206="","",SUMIFS(Donations!$D:$D,Donations!$G:$G,$A206,Donations!$F:$F,"&gt;="&amp;'Daily Challenges'!$C$7,Donations!$F:$F,"&lt;="&amp;'Daily Challenges'!$D$7))</f>
        <v/>
      </c>
      <c r="G206" s="38">
        <f>IF($A206="","",SUMIFS(Donations!$D:$D,Donations!$G:$G,$A206,Donations!$F:$F,"&gt;="&amp;'Daily Challenges'!$C$8,Donations!$F:$F,"&lt;="&amp;'Daily Challenges'!$D$8))</f>
        <v/>
      </c>
      <c r="H206" s="38">
        <f>IF($A206="","",SUMIFS(Donations!$D:$D,Donations!$G:$G,$A206,Donations!$F:$F,"&lt;="&amp;'Daily Challenges'!$D$9))</f>
        <v/>
      </c>
      <c r="I206" s="38">
        <f>IF($A206="","",SUMIFS(Donations!$D:$D,Donations!$G:$G,$A206,Donations!$F:$F,"&gt;="&amp;'Daily Challenges'!$C$10,Donations!$F:$F,"&lt;="&amp;'Daily Challenges'!$D$10))</f>
        <v/>
      </c>
      <c r="J206" s="38">
        <f>IF($A206="","",SUMIFS(Donations!$D:$D,Donations!$G:$G,$A206,Donations!$F:$F,"&lt;="&amp;'Daily Challenges'!$D$12))</f>
        <v/>
      </c>
    </row>
    <row r="207">
      <c r="A207" s="32" t="inlineStr">
        <is>
          <t>Evelyn Hernandez</t>
        </is>
      </c>
      <c r="B207" s="32" t="inlineStr">
        <is>
          <t>Mrs. Lindqvist</t>
        </is>
      </c>
      <c r="C207" s="36" t="inlineStr">
        <is>
          <t>3</t>
        </is>
      </c>
      <c r="D207" s="37">
        <f>IF(A207="","",SUMIFS(Donations!$D:$D,Donations!$G:$G,A207))</f>
        <v/>
      </c>
      <c r="E207" s="35">
        <f>IF(A207="","",IF(D207&gt;0,"Yes",""))</f>
        <v/>
      </c>
      <c r="F207" s="38">
        <f>IF($A207="","",SUMIFS(Donations!$D:$D,Donations!$G:$G,$A207,Donations!$F:$F,"&gt;="&amp;'Daily Challenges'!$C$7,Donations!$F:$F,"&lt;="&amp;'Daily Challenges'!$D$7))</f>
        <v/>
      </c>
      <c r="G207" s="38">
        <f>IF($A207="","",SUMIFS(Donations!$D:$D,Donations!$G:$G,$A207,Donations!$F:$F,"&gt;="&amp;'Daily Challenges'!$C$8,Donations!$F:$F,"&lt;="&amp;'Daily Challenges'!$D$8))</f>
        <v/>
      </c>
      <c r="H207" s="38">
        <f>IF($A207="","",SUMIFS(Donations!$D:$D,Donations!$G:$G,$A207,Donations!$F:$F,"&lt;="&amp;'Daily Challenges'!$D$9))</f>
        <v/>
      </c>
      <c r="I207" s="38">
        <f>IF($A207="","",SUMIFS(Donations!$D:$D,Donations!$G:$G,$A207,Donations!$F:$F,"&gt;="&amp;'Daily Challenges'!$C$10,Donations!$F:$F,"&lt;="&amp;'Daily Challenges'!$D$10))</f>
        <v/>
      </c>
      <c r="J207" s="38">
        <f>IF($A207="","",SUMIFS(Donations!$D:$D,Donations!$G:$G,$A207,Donations!$F:$F,"&lt;="&amp;'Daily Challenges'!$D$12))</f>
        <v/>
      </c>
    </row>
    <row r="208">
      <c r="A208" s="32" t="inlineStr">
        <is>
          <t>Clara Garcia</t>
        </is>
      </c>
      <c r="B208" s="32" t="inlineStr">
        <is>
          <t>Mrs. Lindqvist</t>
        </is>
      </c>
      <c r="C208" s="36" t="inlineStr">
        <is>
          <t>3</t>
        </is>
      </c>
      <c r="D208" s="37">
        <f>IF(A208="","",SUMIFS(Donations!$D:$D,Donations!$G:$G,A208))</f>
        <v/>
      </c>
      <c r="E208" s="35">
        <f>IF(A208="","",IF(D208&gt;0,"Yes",""))</f>
        <v/>
      </c>
      <c r="F208" s="38">
        <f>IF($A208="","",SUMIFS(Donations!$D:$D,Donations!$G:$G,$A208,Donations!$F:$F,"&gt;="&amp;'Daily Challenges'!$C$7,Donations!$F:$F,"&lt;="&amp;'Daily Challenges'!$D$7))</f>
        <v/>
      </c>
      <c r="G208" s="38">
        <f>IF($A208="","",SUMIFS(Donations!$D:$D,Donations!$G:$G,$A208,Donations!$F:$F,"&gt;="&amp;'Daily Challenges'!$C$8,Donations!$F:$F,"&lt;="&amp;'Daily Challenges'!$D$8))</f>
        <v/>
      </c>
      <c r="H208" s="38">
        <f>IF($A208="","",SUMIFS(Donations!$D:$D,Donations!$G:$G,$A208,Donations!$F:$F,"&lt;="&amp;'Daily Challenges'!$D$9))</f>
        <v/>
      </c>
      <c r="I208" s="38">
        <f>IF($A208="","",SUMIFS(Donations!$D:$D,Donations!$G:$G,$A208,Donations!$F:$F,"&gt;="&amp;'Daily Challenges'!$C$10,Donations!$F:$F,"&lt;="&amp;'Daily Challenges'!$D$10))</f>
        <v/>
      </c>
      <c r="J208" s="38">
        <f>IF($A208="","",SUMIFS(Donations!$D:$D,Donations!$G:$G,$A208,Donations!$F:$F,"&lt;="&amp;'Daily Challenges'!$D$12))</f>
        <v/>
      </c>
    </row>
    <row r="209">
      <c r="A209" s="32" t="inlineStr">
        <is>
          <t>Elena Rivera</t>
        </is>
      </c>
      <c r="B209" s="32" t="inlineStr">
        <is>
          <t>Mrs. Lindqvist</t>
        </is>
      </c>
      <c r="C209" s="36" t="inlineStr">
        <is>
          <t>3</t>
        </is>
      </c>
      <c r="D209" s="37">
        <f>IF(A209="","",SUMIFS(Donations!$D:$D,Donations!$G:$G,A209))</f>
        <v/>
      </c>
      <c r="E209" s="35">
        <f>IF(A209="","",IF(D209&gt;0,"Yes",""))</f>
        <v/>
      </c>
      <c r="F209" s="38">
        <f>IF($A209="","",SUMIFS(Donations!$D:$D,Donations!$G:$G,$A209,Donations!$F:$F,"&gt;="&amp;'Daily Challenges'!$C$7,Donations!$F:$F,"&lt;="&amp;'Daily Challenges'!$D$7))</f>
        <v/>
      </c>
      <c r="G209" s="38">
        <f>IF($A209="","",SUMIFS(Donations!$D:$D,Donations!$G:$G,$A209,Donations!$F:$F,"&gt;="&amp;'Daily Challenges'!$C$8,Donations!$F:$F,"&lt;="&amp;'Daily Challenges'!$D$8))</f>
        <v/>
      </c>
      <c r="H209" s="38">
        <f>IF($A209="","",SUMIFS(Donations!$D:$D,Donations!$G:$G,$A209,Donations!$F:$F,"&lt;="&amp;'Daily Challenges'!$D$9))</f>
        <v/>
      </c>
      <c r="I209" s="38">
        <f>IF($A209="","",SUMIFS(Donations!$D:$D,Donations!$G:$G,$A209,Donations!$F:$F,"&gt;="&amp;'Daily Challenges'!$C$10,Donations!$F:$F,"&lt;="&amp;'Daily Challenges'!$D$10))</f>
        <v/>
      </c>
      <c r="J209" s="38">
        <f>IF($A209="","",SUMIFS(Donations!$D:$D,Donations!$G:$G,$A209,Donations!$F:$F,"&lt;="&amp;'Daily Challenges'!$D$12))</f>
        <v/>
      </c>
    </row>
    <row r="210">
      <c r="A210" s="32" t="inlineStr">
        <is>
          <t>Zoe Hernandez</t>
        </is>
      </c>
      <c r="B210" s="32" t="inlineStr">
        <is>
          <t>Mrs. Lindqvist</t>
        </is>
      </c>
      <c r="C210" s="36" t="inlineStr">
        <is>
          <t>3</t>
        </is>
      </c>
      <c r="D210" s="37">
        <f>IF(A210="","",SUMIFS(Donations!$D:$D,Donations!$G:$G,A210))</f>
        <v/>
      </c>
      <c r="E210" s="35">
        <f>IF(A210="","",IF(D210&gt;0,"Yes",""))</f>
        <v/>
      </c>
      <c r="F210" s="38">
        <f>IF($A210="","",SUMIFS(Donations!$D:$D,Donations!$G:$G,$A210,Donations!$F:$F,"&gt;="&amp;'Daily Challenges'!$C$7,Donations!$F:$F,"&lt;="&amp;'Daily Challenges'!$D$7))</f>
        <v/>
      </c>
      <c r="G210" s="38">
        <f>IF($A210="","",SUMIFS(Donations!$D:$D,Donations!$G:$G,$A210,Donations!$F:$F,"&gt;="&amp;'Daily Challenges'!$C$8,Donations!$F:$F,"&lt;="&amp;'Daily Challenges'!$D$8))</f>
        <v/>
      </c>
      <c r="H210" s="38">
        <f>IF($A210="","",SUMIFS(Donations!$D:$D,Donations!$G:$G,$A210,Donations!$F:$F,"&lt;="&amp;'Daily Challenges'!$D$9))</f>
        <v/>
      </c>
      <c r="I210" s="38">
        <f>IF($A210="","",SUMIFS(Donations!$D:$D,Donations!$G:$G,$A210,Donations!$F:$F,"&gt;="&amp;'Daily Challenges'!$C$10,Donations!$F:$F,"&lt;="&amp;'Daily Challenges'!$D$10))</f>
        <v/>
      </c>
      <c r="J210" s="38">
        <f>IF($A210="","",SUMIFS(Donations!$D:$D,Donations!$G:$G,$A210,Donations!$F:$F,"&lt;="&amp;'Daily Challenges'!$D$12))</f>
        <v/>
      </c>
    </row>
    <row r="211">
      <c r="A211" s="32" t="inlineStr">
        <is>
          <t>Mia Patel</t>
        </is>
      </c>
      <c r="B211" s="32" t="inlineStr">
        <is>
          <t>Mrs. Lindqvist</t>
        </is>
      </c>
      <c r="C211" s="36" t="inlineStr">
        <is>
          <t>3</t>
        </is>
      </c>
      <c r="D211" s="37">
        <f>IF(A211="","",SUMIFS(Donations!$D:$D,Donations!$G:$G,A211))</f>
        <v/>
      </c>
      <c r="E211" s="35">
        <f>IF(A211="","",IF(D211&gt;0,"Yes",""))</f>
        <v/>
      </c>
      <c r="F211" s="38">
        <f>IF($A211="","",SUMIFS(Donations!$D:$D,Donations!$G:$G,$A211,Donations!$F:$F,"&gt;="&amp;'Daily Challenges'!$C$7,Donations!$F:$F,"&lt;="&amp;'Daily Challenges'!$D$7))</f>
        <v/>
      </c>
      <c r="G211" s="38">
        <f>IF($A211="","",SUMIFS(Donations!$D:$D,Donations!$G:$G,$A211,Donations!$F:$F,"&gt;="&amp;'Daily Challenges'!$C$8,Donations!$F:$F,"&lt;="&amp;'Daily Challenges'!$D$8))</f>
        <v/>
      </c>
      <c r="H211" s="38">
        <f>IF($A211="","",SUMIFS(Donations!$D:$D,Donations!$G:$G,$A211,Donations!$F:$F,"&lt;="&amp;'Daily Challenges'!$D$9))</f>
        <v/>
      </c>
      <c r="I211" s="38">
        <f>IF($A211="","",SUMIFS(Donations!$D:$D,Donations!$G:$G,$A211,Donations!$F:$F,"&gt;="&amp;'Daily Challenges'!$C$10,Donations!$F:$F,"&lt;="&amp;'Daily Challenges'!$D$10))</f>
        <v/>
      </c>
      <c r="J211" s="38">
        <f>IF($A211="","",SUMIFS(Donations!$D:$D,Donations!$G:$G,$A211,Donations!$F:$F,"&lt;="&amp;'Daily Challenges'!$D$12))</f>
        <v/>
      </c>
    </row>
    <row r="212">
      <c r="A212" s="32" t="inlineStr">
        <is>
          <t>Liam Ruiz</t>
        </is>
      </c>
      <c r="B212" s="32" t="inlineStr">
        <is>
          <t>Mrs. Lindqvist</t>
        </is>
      </c>
      <c r="C212" s="36" t="inlineStr">
        <is>
          <t>3</t>
        </is>
      </c>
      <c r="D212" s="37">
        <f>IF(A212="","",SUMIFS(Donations!$D:$D,Donations!$G:$G,A212))</f>
        <v/>
      </c>
      <c r="E212" s="35">
        <f>IF(A212="","",IF(D212&gt;0,"Yes",""))</f>
        <v/>
      </c>
      <c r="F212" s="38">
        <f>IF($A212="","",SUMIFS(Donations!$D:$D,Donations!$G:$G,$A212,Donations!$F:$F,"&gt;="&amp;'Daily Challenges'!$C$7,Donations!$F:$F,"&lt;="&amp;'Daily Challenges'!$D$7))</f>
        <v/>
      </c>
      <c r="G212" s="38">
        <f>IF($A212="","",SUMIFS(Donations!$D:$D,Donations!$G:$G,$A212,Donations!$F:$F,"&gt;="&amp;'Daily Challenges'!$C$8,Donations!$F:$F,"&lt;="&amp;'Daily Challenges'!$D$8))</f>
        <v/>
      </c>
      <c r="H212" s="38">
        <f>IF($A212="","",SUMIFS(Donations!$D:$D,Donations!$G:$G,$A212,Donations!$F:$F,"&lt;="&amp;'Daily Challenges'!$D$9))</f>
        <v/>
      </c>
      <c r="I212" s="38">
        <f>IF($A212="","",SUMIFS(Donations!$D:$D,Donations!$G:$G,$A212,Donations!$F:$F,"&gt;="&amp;'Daily Challenges'!$C$10,Donations!$F:$F,"&lt;="&amp;'Daily Challenges'!$D$10))</f>
        <v/>
      </c>
      <c r="J212" s="38">
        <f>IF($A212="","",SUMIFS(Donations!$D:$D,Donations!$G:$G,$A212,Donations!$F:$F,"&lt;="&amp;'Daily Challenges'!$D$12))</f>
        <v/>
      </c>
    </row>
    <row r="213">
      <c r="A213" s="32" t="inlineStr">
        <is>
          <t>Gabriel Flores</t>
        </is>
      </c>
      <c r="B213" s="32" t="inlineStr">
        <is>
          <t>Mrs. Lindqvist</t>
        </is>
      </c>
      <c r="C213" s="36" t="inlineStr">
        <is>
          <t>3</t>
        </is>
      </c>
      <c r="D213" s="37">
        <f>IF(A213="","",SUMIFS(Donations!$D:$D,Donations!$G:$G,A213))</f>
        <v/>
      </c>
      <c r="E213" s="35">
        <f>IF(A213="","",IF(D213&gt;0,"Yes",""))</f>
        <v/>
      </c>
      <c r="F213" s="38">
        <f>IF($A213="","",SUMIFS(Donations!$D:$D,Donations!$G:$G,$A213,Donations!$F:$F,"&gt;="&amp;'Daily Challenges'!$C$7,Donations!$F:$F,"&lt;="&amp;'Daily Challenges'!$D$7))</f>
        <v/>
      </c>
      <c r="G213" s="38">
        <f>IF($A213="","",SUMIFS(Donations!$D:$D,Donations!$G:$G,$A213,Donations!$F:$F,"&gt;="&amp;'Daily Challenges'!$C$8,Donations!$F:$F,"&lt;="&amp;'Daily Challenges'!$D$8))</f>
        <v/>
      </c>
      <c r="H213" s="38">
        <f>IF($A213="","",SUMIFS(Donations!$D:$D,Donations!$G:$G,$A213,Donations!$F:$F,"&lt;="&amp;'Daily Challenges'!$D$9))</f>
        <v/>
      </c>
      <c r="I213" s="38">
        <f>IF($A213="","",SUMIFS(Donations!$D:$D,Donations!$G:$G,$A213,Donations!$F:$F,"&gt;="&amp;'Daily Challenges'!$C$10,Donations!$F:$F,"&lt;="&amp;'Daily Challenges'!$D$10))</f>
        <v/>
      </c>
      <c r="J213" s="38">
        <f>IF($A213="","",SUMIFS(Donations!$D:$D,Donations!$G:$G,$A213,Donations!$F:$F,"&lt;="&amp;'Daily Challenges'!$D$12))</f>
        <v/>
      </c>
    </row>
    <row r="214">
      <c r="A214" s="32" t="inlineStr">
        <is>
          <t>Adrian Diaz</t>
        </is>
      </c>
      <c r="B214" s="32" t="inlineStr">
        <is>
          <t>Mrs. Lindqvist</t>
        </is>
      </c>
      <c r="C214" s="36" t="inlineStr">
        <is>
          <t>3</t>
        </is>
      </c>
      <c r="D214" s="37">
        <f>IF(A214="","",SUMIFS(Donations!$D:$D,Donations!$G:$G,A214))</f>
        <v/>
      </c>
      <c r="E214" s="35">
        <f>IF(A214="","",IF(D214&gt;0,"Yes",""))</f>
        <v/>
      </c>
      <c r="F214" s="38">
        <f>IF($A214="","",SUMIFS(Donations!$D:$D,Donations!$G:$G,$A214,Donations!$F:$F,"&gt;="&amp;'Daily Challenges'!$C$7,Donations!$F:$F,"&lt;="&amp;'Daily Challenges'!$D$7))</f>
        <v/>
      </c>
      <c r="G214" s="38">
        <f>IF($A214="","",SUMIFS(Donations!$D:$D,Donations!$G:$G,$A214,Donations!$F:$F,"&gt;="&amp;'Daily Challenges'!$C$8,Donations!$F:$F,"&lt;="&amp;'Daily Challenges'!$D$8))</f>
        <v/>
      </c>
      <c r="H214" s="38">
        <f>IF($A214="","",SUMIFS(Donations!$D:$D,Donations!$G:$G,$A214,Donations!$F:$F,"&lt;="&amp;'Daily Challenges'!$D$9))</f>
        <v/>
      </c>
      <c r="I214" s="38">
        <f>IF($A214="","",SUMIFS(Donations!$D:$D,Donations!$G:$G,$A214,Donations!$F:$F,"&gt;="&amp;'Daily Challenges'!$C$10,Donations!$F:$F,"&lt;="&amp;'Daily Challenges'!$D$10))</f>
        <v/>
      </c>
      <c r="J214" s="38">
        <f>IF($A214="","",SUMIFS(Donations!$D:$D,Donations!$G:$G,$A214,Donations!$F:$F,"&lt;="&amp;'Daily Challenges'!$D$12))</f>
        <v/>
      </c>
    </row>
    <row r="215">
      <c r="A215" s="32" t="inlineStr">
        <is>
          <t>Gabriel Gutierrez</t>
        </is>
      </c>
      <c r="B215" s="32" t="inlineStr">
        <is>
          <t>Mrs. Lindqvist</t>
        </is>
      </c>
      <c r="C215" s="36" t="inlineStr">
        <is>
          <t>3</t>
        </is>
      </c>
      <c r="D215" s="37">
        <f>IF(A215="","",SUMIFS(Donations!$D:$D,Donations!$G:$G,A215))</f>
        <v/>
      </c>
      <c r="E215" s="35">
        <f>IF(A215="","",IF(D215&gt;0,"Yes",""))</f>
        <v/>
      </c>
      <c r="F215" s="38">
        <f>IF($A215="","",SUMIFS(Donations!$D:$D,Donations!$G:$G,$A215,Donations!$F:$F,"&gt;="&amp;'Daily Challenges'!$C$7,Donations!$F:$F,"&lt;="&amp;'Daily Challenges'!$D$7))</f>
        <v/>
      </c>
      <c r="G215" s="38">
        <f>IF($A215="","",SUMIFS(Donations!$D:$D,Donations!$G:$G,$A215,Donations!$F:$F,"&gt;="&amp;'Daily Challenges'!$C$8,Donations!$F:$F,"&lt;="&amp;'Daily Challenges'!$D$8))</f>
        <v/>
      </c>
      <c r="H215" s="38">
        <f>IF($A215="","",SUMIFS(Donations!$D:$D,Donations!$G:$G,$A215,Donations!$F:$F,"&lt;="&amp;'Daily Challenges'!$D$9))</f>
        <v/>
      </c>
      <c r="I215" s="38">
        <f>IF($A215="","",SUMIFS(Donations!$D:$D,Donations!$G:$G,$A215,Donations!$F:$F,"&gt;="&amp;'Daily Challenges'!$C$10,Donations!$F:$F,"&lt;="&amp;'Daily Challenges'!$D$10))</f>
        <v/>
      </c>
      <c r="J215" s="38">
        <f>IF($A215="","",SUMIFS(Donations!$D:$D,Donations!$G:$G,$A215,Donations!$F:$F,"&lt;="&amp;'Daily Challenges'!$D$12))</f>
        <v/>
      </c>
    </row>
    <row r="216">
      <c r="A216" s="32" t="inlineStr">
        <is>
          <t>Joseph Vasquez</t>
        </is>
      </c>
      <c r="B216" s="32" t="inlineStr">
        <is>
          <t>Mrs. Lindqvist</t>
        </is>
      </c>
      <c r="C216" s="36" t="inlineStr">
        <is>
          <t>3</t>
        </is>
      </c>
      <c r="D216" s="37">
        <f>IF(A216="","",SUMIFS(Donations!$D:$D,Donations!$G:$G,A216))</f>
        <v/>
      </c>
      <c r="E216" s="35">
        <f>IF(A216="","",IF(D216&gt;0,"Yes",""))</f>
        <v/>
      </c>
      <c r="F216" s="38">
        <f>IF($A216="","",SUMIFS(Donations!$D:$D,Donations!$G:$G,$A216,Donations!$F:$F,"&gt;="&amp;'Daily Challenges'!$C$7,Donations!$F:$F,"&lt;="&amp;'Daily Challenges'!$D$7))</f>
        <v/>
      </c>
      <c r="G216" s="38">
        <f>IF($A216="","",SUMIFS(Donations!$D:$D,Donations!$G:$G,$A216,Donations!$F:$F,"&gt;="&amp;'Daily Challenges'!$C$8,Donations!$F:$F,"&lt;="&amp;'Daily Challenges'!$D$8))</f>
        <v/>
      </c>
      <c r="H216" s="38">
        <f>IF($A216="","",SUMIFS(Donations!$D:$D,Donations!$G:$G,$A216,Donations!$F:$F,"&lt;="&amp;'Daily Challenges'!$D$9))</f>
        <v/>
      </c>
      <c r="I216" s="38">
        <f>IF($A216="","",SUMIFS(Donations!$D:$D,Donations!$G:$G,$A216,Donations!$F:$F,"&gt;="&amp;'Daily Challenges'!$C$10,Donations!$F:$F,"&lt;="&amp;'Daily Challenges'!$D$10))</f>
        <v/>
      </c>
      <c r="J216" s="38">
        <f>IF($A216="","",SUMIFS(Donations!$D:$D,Donations!$G:$G,$A216,Donations!$F:$F,"&lt;="&amp;'Daily Challenges'!$D$12))</f>
        <v/>
      </c>
    </row>
    <row r="217">
      <c r="A217" s="32" t="inlineStr">
        <is>
          <t>Adrian Kim</t>
        </is>
      </c>
      <c r="B217" s="32" t="inlineStr">
        <is>
          <t>Mrs. Lindqvist</t>
        </is>
      </c>
      <c r="C217" s="36" t="inlineStr">
        <is>
          <t>3</t>
        </is>
      </c>
      <c r="D217" s="37">
        <f>IF(A217="","",SUMIFS(Donations!$D:$D,Donations!$G:$G,A217))</f>
        <v/>
      </c>
      <c r="E217" s="35">
        <f>IF(A217="","",IF(D217&gt;0,"Yes",""))</f>
        <v/>
      </c>
      <c r="F217" s="38">
        <f>IF($A217="","",SUMIFS(Donations!$D:$D,Donations!$G:$G,$A217,Donations!$F:$F,"&gt;="&amp;'Daily Challenges'!$C$7,Donations!$F:$F,"&lt;="&amp;'Daily Challenges'!$D$7))</f>
        <v/>
      </c>
      <c r="G217" s="38">
        <f>IF($A217="","",SUMIFS(Donations!$D:$D,Donations!$G:$G,$A217,Donations!$F:$F,"&gt;="&amp;'Daily Challenges'!$C$8,Donations!$F:$F,"&lt;="&amp;'Daily Challenges'!$D$8))</f>
        <v/>
      </c>
      <c r="H217" s="38">
        <f>IF($A217="","",SUMIFS(Donations!$D:$D,Donations!$G:$G,$A217,Donations!$F:$F,"&lt;="&amp;'Daily Challenges'!$D$9))</f>
        <v/>
      </c>
      <c r="I217" s="38">
        <f>IF($A217="","",SUMIFS(Donations!$D:$D,Donations!$G:$G,$A217,Donations!$F:$F,"&gt;="&amp;'Daily Challenges'!$C$10,Donations!$F:$F,"&lt;="&amp;'Daily Challenges'!$D$10))</f>
        <v/>
      </c>
      <c r="J217" s="38">
        <f>IF($A217="","",SUMIFS(Donations!$D:$D,Donations!$G:$G,$A217,Donations!$F:$F,"&lt;="&amp;'Daily Challenges'!$D$12))</f>
        <v/>
      </c>
    </row>
    <row r="218">
      <c r="A218" s="32" t="inlineStr">
        <is>
          <t>Julian Cruz</t>
        </is>
      </c>
      <c r="B218" s="32" t="inlineStr">
        <is>
          <t>Mrs. Lindqvist</t>
        </is>
      </c>
      <c r="C218" s="36" t="inlineStr">
        <is>
          <t>3</t>
        </is>
      </c>
      <c r="D218" s="37">
        <f>IF(A218="","",SUMIFS(Donations!$D:$D,Donations!$G:$G,A218))</f>
        <v/>
      </c>
      <c r="E218" s="35">
        <f>IF(A218="","",IF(D218&gt;0,"Yes",""))</f>
        <v/>
      </c>
      <c r="F218" s="38">
        <f>IF($A218="","",SUMIFS(Donations!$D:$D,Donations!$G:$G,$A218,Donations!$F:$F,"&gt;="&amp;'Daily Challenges'!$C$7,Donations!$F:$F,"&lt;="&amp;'Daily Challenges'!$D$7))</f>
        <v/>
      </c>
      <c r="G218" s="38">
        <f>IF($A218="","",SUMIFS(Donations!$D:$D,Donations!$G:$G,$A218,Donations!$F:$F,"&gt;="&amp;'Daily Challenges'!$C$8,Donations!$F:$F,"&lt;="&amp;'Daily Challenges'!$D$8))</f>
        <v/>
      </c>
      <c r="H218" s="38">
        <f>IF($A218="","",SUMIFS(Donations!$D:$D,Donations!$G:$G,$A218,Donations!$F:$F,"&lt;="&amp;'Daily Challenges'!$D$9))</f>
        <v/>
      </c>
      <c r="I218" s="38">
        <f>IF($A218="","",SUMIFS(Donations!$D:$D,Donations!$G:$G,$A218,Donations!$F:$F,"&gt;="&amp;'Daily Challenges'!$C$10,Donations!$F:$F,"&lt;="&amp;'Daily Challenges'!$D$10))</f>
        <v/>
      </c>
      <c r="J218" s="38">
        <f>IF($A218="","",SUMIFS(Donations!$D:$D,Donations!$G:$G,$A218,Donations!$F:$F,"&lt;="&amp;'Daily Challenges'!$D$12))</f>
        <v/>
      </c>
    </row>
    <row r="219">
      <c r="A219" s="32" t="inlineStr">
        <is>
          <t>Ava Perez</t>
        </is>
      </c>
      <c r="B219" s="32" t="inlineStr">
        <is>
          <t>Mrs. Lindqvist</t>
        </is>
      </c>
      <c r="C219" s="36" t="inlineStr">
        <is>
          <t>3</t>
        </is>
      </c>
      <c r="D219" s="37">
        <f>IF(A219="","",SUMIFS(Donations!$D:$D,Donations!$G:$G,A219))</f>
        <v/>
      </c>
      <c r="E219" s="35">
        <f>IF(A219="","",IF(D219&gt;0,"Yes",""))</f>
        <v/>
      </c>
      <c r="F219" s="38">
        <f>IF($A219="","",SUMIFS(Donations!$D:$D,Donations!$G:$G,$A219,Donations!$F:$F,"&gt;="&amp;'Daily Challenges'!$C$7,Donations!$F:$F,"&lt;="&amp;'Daily Challenges'!$D$7))</f>
        <v/>
      </c>
      <c r="G219" s="38">
        <f>IF($A219="","",SUMIFS(Donations!$D:$D,Donations!$G:$G,$A219,Donations!$F:$F,"&gt;="&amp;'Daily Challenges'!$C$8,Donations!$F:$F,"&lt;="&amp;'Daily Challenges'!$D$8))</f>
        <v/>
      </c>
      <c r="H219" s="38">
        <f>IF($A219="","",SUMIFS(Donations!$D:$D,Donations!$G:$G,$A219,Donations!$F:$F,"&lt;="&amp;'Daily Challenges'!$D$9))</f>
        <v/>
      </c>
      <c r="I219" s="38">
        <f>IF($A219="","",SUMIFS(Donations!$D:$D,Donations!$G:$G,$A219,Donations!$F:$F,"&gt;="&amp;'Daily Challenges'!$C$10,Donations!$F:$F,"&lt;="&amp;'Daily Challenges'!$D$10))</f>
        <v/>
      </c>
      <c r="J219" s="38">
        <f>IF($A219="","",SUMIFS(Donations!$D:$D,Donations!$G:$G,$A219,Donations!$F:$F,"&lt;="&amp;'Daily Challenges'!$D$12))</f>
        <v/>
      </c>
    </row>
    <row r="220">
      <c r="A220" s="32" t="inlineStr">
        <is>
          <t>Elena Alvarez</t>
        </is>
      </c>
      <c r="B220" s="32" t="inlineStr">
        <is>
          <t>Mrs. Lindqvist</t>
        </is>
      </c>
      <c r="C220" s="36" t="inlineStr">
        <is>
          <t>3</t>
        </is>
      </c>
      <c r="D220" s="37">
        <f>IF(A220="","",SUMIFS(Donations!$D:$D,Donations!$G:$G,A220))</f>
        <v/>
      </c>
      <c r="E220" s="35">
        <f>IF(A220="","",IF(D220&gt;0,"Yes",""))</f>
        <v/>
      </c>
      <c r="F220" s="38">
        <f>IF($A220="","",SUMIFS(Donations!$D:$D,Donations!$G:$G,$A220,Donations!$F:$F,"&gt;="&amp;'Daily Challenges'!$C$7,Donations!$F:$F,"&lt;="&amp;'Daily Challenges'!$D$7))</f>
        <v/>
      </c>
      <c r="G220" s="38">
        <f>IF($A220="","",SUMIFS(Donations!$D:$D,Donations!$G:$G,$A220,Donations!$F:$F,"&gt;="&amp;'Daily Challenges'!$C$8,Donations!$F:$F,"&lt;="&amp;'Daily Challenges'!$D$8))</f>
        <v/>
      </c>
      <c r="H220" s="38">
        <f>IF($A220="","",SUMIFS(Donations!$D:$D,Donations!$G:$G,$A220,Donations!$F:$F,"&lt;="&amp;'Daily Challenges'!$D$9))</f>
        <v/>
      </c>
      <c r="I220" s="38">
        <f>IF($A220="","",SUMIFS(Donations!$D:$D,Donations!$G:$G,$A220,Donations!$F:$F,"&gt;="&amp;'Daily Challenges'!$C$10,Donations!$F:$F,"&lt;="&amp;'Daily Challenges'!$D$10))</f>
        <v/>
      </c>
      <c r="J220" s="38">
        <f>IF($A220="","",SUMIFS(Donations!$D:$D,Donations!$G:$G,$A220,Donations!$F:$F,"&lt;="&amp;'Daily Challenges'!$D$12))</f>
        <v/>
      </c>
    </row>
    <row r="221">
      <c r="A221" s="32" t="inlineStr">
        <is>
          <t>Liam Nguyen</t>
        </is>
      </c>
      <c r="B221" s="32" t="inlineStr">
        <is>
          <t>Mrs. Lindqvist</t>
        </is>
      </c>
      <c r="C221" s="36" t="inlineStr">
        <is>
          <t>3</t>
        </is>
      </c>
      <c r="D221" s="37">
        <f>IF(A221="","",SUMIFS(Donations!$D:$D,Donations!$G:$G,A221))</f>
        <v/>
      </c>
      <c r="E221" s="35">
        <f>IF(A221="","",IF(D221&gt;0,"Yes",""))</f>
        <v/>
      </c>
      <c r="F221" s="38">
        <f>IF($A221="","",SUMIFS(Donations!$D:$D,Donations!$G:$G,$A221,Donations!$F:$F,"&gt;="&amp;'Daily Challenges'!$C$7,Donations!$F:$F,"&lt;="&amp;'Daily Challenges'!$D$7))</f>
        <v/>
      </c>
      <c r="G221" s="38">
        <f>IF($A221="","",SUMIFS(Donations!$D:$D,Donations!$G:$G,$A221,Donations!$F:$F,"&gt;="&amp;'Daily Challenges'!$C$8,Donations!$F:$F,"&lt;="&amp;'Daily Challenges'!$D$8))</f>
        <v/>
      </c>
      <c r="H221" s="38">
        <f>IF($A221="","",SUMIFS(Donations!$D:$D,Donations!$G:$G,$A221,Donations!$F:$F,"&lt;="&amp;'Daily Challenges'!$D$9))</f>
        <v/>
      </c>
      <c r="I221" s="38">
        <f>IF($A221="","",SUMIFS(Donations!$D:$D,Donations!$G:$G,$A221,Donations!$F:$F,"&gt;="&amp;'Daily Challenges'!$C$10,Donations!$F:$F,"&lt;="&amp;'Daily Challenges'!$D$10))</f>
        <v/>
      </c>
      <c r="J221" s="38">
        <f>IF($A221="","",SUMIFS(Donations!$D:$D,Donations!$G:$G,$A221,Donations!$F:$F,"&lt;="&amp;'Daily Challenges'!$D$12))</f>
        <v/>
      </c>
    </row>
    <row r="222">
      <c r="A222" s="32" t="inlineStr">
        <is>
          <t>Sofia Gutierrez</t>
        </is>
      </c>
      <c r="B222" s="32" t="inlineStr">
        <is>
          <t>Mrs. Lindqvist</t>
        </is>
      </c>
      <c r="C222" s="36" t="inlineStr">
        <is>
          <t>3</t>
        </is>
      </c>
      <c r="D222" s="37">
        <f>IF(A222="","",SUMIFS(Donations!$D:$D,Donations!$G:$G,A222))</f>
        <v/>
      </c>
      <c r="E222" s="35">
        <f>IF(A222="","",IF(D222&gt;0,"Yes",""))</f>
        <v/>
      </c>
      <c r="F222" s="38">
        <f>IF($A222="","",SUMIFS(Donations!$D:$D,Donations!$G:$G,$A222,Donations!$F:$F,"&gt;="&amp;'Daily Challenges'!$C$7,Donations!$F:$F,"&lt;="&amp;'Daily Challenges'!$D$7))</f>
        <v/>
      </c>
      <c r="G222" s="38">
        <f>IF($A222="","",SUMIFS(Donations!$D:$D,Donations!$G:$G,$A222,Donations!$F:$F,"&gt;="&amp;'Daily Challenges'!$C$8,Donations!$F:$F,"&lt;="&amp;'Daily Challenges'!$D$8))</f>
        <v/>
      </c>
      <c r="H222" s="38">
        <f>IF($A222="","",SUMIFS(Donations!$D:$D,Donations!$G:$G,$A222,Donations!$F:$F,"&lt;="&amp;'Daily Challenges'!$D$9))</f>
        <v/>
      </c>
      <c r="I222" s="38">
        <f>IF($A222="","",SUMIFS(Donations!$D:$D,Donations!$G:$G,$A222,Donations!$F:$F,"&gt;="&amp;'Daily Challenges'!$C$10,Donations!$F:$F,"&lt;="&amp;'Daily Challenges'!$D$10))</f>
        <v/>
      </c>
      <c r="J222" s="38">
        <f>IF($A222="","",SUMIFS(Donations!$D:$D,Donations!$G:$G,$A222,Donations!$F:$F,"&lt;="&amp;'Daily Challenges'!$D$12))</f>
        <v/>
      </c>
    </row>
    <row r="223">
      <c r="A223" s="32" t="inlineStr">
        <is>
          <t>Isaac Alvarez</t>
        </is>
      </c>
      <c r="B223" s="32" t="inlineStr">
        <is>
          <t>Mrs. Lindqvist</t>
        </is>
      </c>
      <c r="C223" s="36" t="inlineStr">
        <is>
          <t>3</t>
        </is>
      </c>
      <c r="D223" s="37">
        <f>IF(A223="","",SUMIFS(Donations!$D:$D,Donations!$G:$G,A223))</f>
        <v/>
      </c>
      <c r="E223" s="35">
        <f>IF(A223="","",IF(D223&gt;0,"Yes",""))</f>
        <v/>
      </c>
      <c r="F223" s="38">
        <f>IF($A223="","",SUMIFS(Donations!$D:$D,Donations!$G:$G,$A223,Donations!$F:$F,"&gt;="&amp;'Daily Challenges'!$C$7,Donations!$F:$F,"&lt;="&amp;'Daily Challenges'!$D$7))</f>
        <v/>
      </c>
      <c r="G223" s="38">
        <f>IF($A223="","",SUMIFS(Donations!$D:$D,Donations!$G:$G,$A223,Donations!$F:$F,"&gt;="&amp;'Daily Challenges'!$C$8,Donations!$F:$F,"&lt;="&amp;'Daily Challenges'!$D$8))</f>
        <v/>
      </c>
      <c r="H223" s="38">
        <f>IF($A223="","",SUMIFS(Donations!$D:$D,Donations!$G:$G,$A223,Donations!$F:$F,"&lt;="&amp;'Daily Challenges'!$D$9))</f>
        <v/>
      </c>
      <c r="I223" s="38">
        <f>IF($A223="","",SUMIFS(Donations!$D:$D,Donations!$G:$G,$A223,Donations!$F:$F,"&gt;="&amp;'Daily Challenges'!$C$10,Donations!$F:$F,"&lt;="&amp;'Daily Challenges'!$D$10))</f>
        <v/>
      </c>
      <c r="J223" s="38">
        <f>IF($A223="","",SUMIFS(Donations!$D:$D,Donations!$G:$G,$A223,Donations!$F:$F,"&lt;="&amp;'Daily Challenges'!$D$12))</f>
        <v/>
      </c>
    </row>
    <row r="224">
      <c r="A224" s="32" t="inlineStr">
        <is>
          <t>Isabella Sanchez</t>
        </is>
      </c>
      <c r="B224" s="32" t="inlineStr">
        <is>
          <t>Mrs. Lindqvist</t>
        </is>
      </c>
      <c r="C224" s="36" t="inlineStr">
        <is>
          <t>3</t>
        </is>
      </c>
      <c r="D224" s="37">
        <f>IF(A224="","",SUMIFS(Donations!$D:$D,Donations!$G:$G,A224))</f>
        <v/>
      </c>
      <c r="E224" s="35">
        <f>IF(A224="","",IF(D224&gt;0,"Yes",""))</f>
        <v/>
      </c>
      <c r="F224" s="38">
        <f>IF($A224="","",SUMIFS(Donations!$D:$D,Donations!$G:$G,$A224,Donations!$F:$F,"&gt;="&amp;'Daily Challenges'!$C$7,Donations!$F:$F,"&lt;="&amp;'Daily Challenges'!$D$7))</f>
        <v/>
      </c>
      <c r="G224" s="38">
        <f>IF($A224="","",SUMIFS(Donations!$D:$D,Donations!$G:$G,$A224,Donations!$F:$F,"&gt;="&amp;'Daily Challenges'!$C$8,Donations!$F:$F,"&lt;="&amp;'Daily Challenges'!$D$8))</f>
        <v/>
      </c>
      <c r="H224" s="38">
        <f>IF($A224="","",SUMIFS(Donations!$D:$D,Donations!$G:$G,$A224,Donations!$F:$F,"&lt;="&amp;'Daily Challenges'!$D$9))</f>
        <v/>
      </c>
      <c r="I224" s="38">
        <f>IF($A224="","",SUMIFS(Donations!$D:$D,Donations!$G:$G,$A224,Donations!$F:$F,"&gt;="&amp;'Daily Challenges'!$C$10,Donations!$F:$F,"&lt;="&amp;'Daily Challenges'!$D$10))</f>
        <v/>
      </c>
      <c r="J224" s="38">
        <f>IF($A224="","",SUMIFS(Donations!$D:$D,Donations!$G:$G,$A224,Donations!$F:$F,"&lt;="&amp;'Daily Challenges'!$D$12))</f>
        <v/>
      </c>
    </row>
    <row r="225">
      <c r="A225" s="32" t="inlineStr">
        <is>
          <t>Lucas Cruz</t>
        </is>
      </c>
      <c r="B225" s="32" t="inlineStr">
        <is>
          <t>Mrs. Lindqvist</t>
        </is>
      </c>
      <c r="C225" s="36" t="inlineStr">
        <is>
          <t>3</t>
        </is>
      </c>
      <c r="D225" s="37">
        <f>IF(A225="","",SUMIFS(Donations!$D:$D,Donations!$G:$G,A225))</f>
        <v/>
      </c>
      <c r="E225" s="35">
        <f>IF(A225="","",IF(D225&gt;0,"Yes",""))</f>
        <v/>
      </c>
      <c r="F225" s="38">
        <f>IF($A225="","",SUMIFS(Donations!$D:$D,Donations!$G:$G,$A225,Donations!$F:$F,"&gt;="&amp;'Daily Challenges'!$C$7,Donations!$F:$F,"&lt;="&amp;'Daily Challenges'!$D$7))</f>
        <v/>
      </c>
      <c r="G225" s="38">
        <f>IF($A225="","",SUMIFS(Donations!$D:$D,Donations!$G:$G,$A225,Donations!$F:$F,"&gt;="&amp;'Daily Challenges'!$C$8,Donations!$F:$F,"&lt;="&amp;'Daily Challenges'!$D$8))</f>
        <v/>
      </c>
      <c r="H225" s="38">
        <f>IF($A225="","",SUMIFS(Donations!$D:$D,Donations!$G:$G,$A225,Donations!$F:$F,"&lt;="&amp;'Daily Challenges'!$D$9))</f>
        <v/>
      </c>
      <c r="I225" s="38">
        <f>IF($A225="","",SUMIFS(Donations!$D:$D,Donations!$G:$G,$A225,Donations!$F:$F,"&gt;="&amp;'Daily Challenges'!$C$10,Donations!$F:$F,"&lt;="&amp;'Daily Challenges'!$D$10))</f>
        <v/>
      </c>
      <c r="J225" s="38">
        <f>IF($A225="","",SUMIFS(Donations!$D:$D,Donations!$G:$G,$A225,Donations!$F:$F,"&lt;="&amp;'Daily Challenges'!$D$12))</f>
        <v/>
      </c>
    </row>
    <row r="226">
      <c r="A226" s="32" t="inlineStr">
        <is>
          <t>Gabriel Murphy</t>
        </is>
      </c>
      <c r="B226" s="32" t="inlineStr">
        <is>
          <t>Ms. Moreau</t>
        </is>
      </c>
      <c r="C226" s="36" t="inlineStr">
        <is>
          <t>4</t>
        </is>
      </c>
      <c r="D226" s="37">
        <f>IF(A226="","",SUMIFS(Donations!$D:$D,Donations!$G:$G,A226))</f>
        <v/>
      </c>
      <c r="E226" s="35">
        <f>IF(A226="","",IF(D226&gt;0,"Yes",""))</f>
        <v/>
      </c>
      <c r="F226" s="38">
        <f>IF($A226="","",SUMIFS(Donations!$D:$D,Donations!$G:$G,$A226,Donations!$F:$F,"&gt;="&amp;'Daily Challenges'!$C$7,Donations!$F:$F,"&lt;="&amp;'Daily Challenges'!$D$7))</f>
        <v/>
      </c>
      <c r="G226" s="38">
        <f>IF($A226="","",SUMIFS(Donations!$D:$D,Donations!$G:$G,$A226,Donations!$F:$F,"&gt;="&amp;'Daily Challenges'!$C$8,Donations!$F:$F,"&lt;="&amp;'Daily Challenges'!$D$8))</f>
        <v/>
      </c>
      <c r="H226" s="38">
        <f>IF($A226="","",SUMIFS(Donations!$D:$D,Donations!$G:$G,$A226,Donations!$F:$F,"&lt;="&amp;'Daily Challenges'!$D$9))</f>
        <v/>
      </c>
      <c r="I226" s="38">
        <f>IF($A226="","",SUMIFS(Donations!$D:$D,Donations!$G:$G,$A226,Donations!$F:$F,"&gt;="&amp;'Daily Challenges'!$C$10,Donations!$F:$F,"&lt;="&amp;'Daily Challenges'!$D$10))</f>
        <v/>
      </c>
      <c r="J226" s="38">
        <f>IF($A226="","",SUMIFS(Donations!$D:$D,Donations!$G:$G,$A226,Donations!$F:$F,"&lt;="&amp;'Daily Challenges'!$D$12))</f>
        <v/>
      </c>
    </row>
    <row r="227">
      <c r="A227" s="32" t="inlineStr">
        <is>
          <t>Amelia Rodriguez</t>
        </is>
      </c>
      <c r="B227" s="32" t="inlineStr">
        <is>
          <t>Ms. Moreau</t>
        </is>
      </c>
      <c r="C227" s="36" t="inlineStr">
        <is>
          <t>4</t>
        </is>
      </c>
      <c r="D227" s="37">
        <f>IF(A227="","",SUMIFS(Donations!$D:$D,Donations!$G:$G,A227))</f>
        <v/>
      </c>
      <c r="E227" s="35">
        <f>IF(A227="","",IF(D227&gt;0,"Yes",""))</f>
        <v/>
      </c>
      <c r="F227" s="38">
        <f>IF($A227="","",SUMIFS(Donations!$D:$D,Donations!$G:$G,$A227,Donations!$F:$F,"&gt;="&amp;'Daily Challenges'!$C$7,Donations!$F:$F,"&lt;="&amp;'Daily Challenges'!$D$7))</f>
        <v/>
      </c>
      <c r="G227" s="38">
        <f>IF($A227="","",SUMIFS(Donations!$D:$D,Donations!$G:$G,$A227,Donations!$F:$F,"&gt;="&amp;'Daily Challenges'!$C$8,Donations!$F:$F,"&lt;="&amp;'Daily Challenges'!$D$8))</f>
        <v/>
      </c>
      <c r="H227" s="38">
        <f>IF($A227="","",SUMIFS(Donations!$D:$D,Donations!$G:$G,$A227,Donations!$F:$F,"&lt;="&amp;'Daily Challenges'!$D$9))</f>
        <v/>
      </c>
      <c r="I227" s="38">
        <f>IF($A227="","",SUMIFS(Donations!$D:$D,Donations!$G:$G,$A227,Donations!$F:$F,"&gt;="&amp;'Daily Challenges'!$C$10,Donations!$F:$F,"&lt;="&amp;'Daily Challenges'!$D$10))</f>
        <v/>
      </c>
      <c r="J227" s="38">
        <f>IF($A227="","",SUMIFS(Donations!$D:$D,Donations!$G:$G,$A227,Donations!$F:$F,"&lt;="&amp;'Daily Challenges'!$D$12))</f>
        <v/>
      </c>
    </row>
    <row r="228">
      <c r="A228" s="32" t="inlineStr">
        <is>
          <t>Valentina Martinez</t>
        </is>
      </c>
      <c r="B228" s="32" t="inlineStr">
        <is>
          <t>Ms. Moreau</t>
        </is>
      </c>
      <c r="C228" s="36" t="inlineStr">
        <is>
          <t>4</t>
        </is>
      </c>
      <c r="D228" s="37">
        <f>IF(A228="","",SUMIFS(Donations!$D:$D,Donations!$G:$G,A228))</f>
        <v/>
      </c>
      <c r="E228" s="35">
        <f>IF(A228="","",IF(D228&gt;0,"Yes",""))</f>
        <v/>
      </c>
      <c r="F228" s="38">
        <f>IF($A228="","",SUMIFS(Donations!$D:$D,Donations!$G:$G,$A228,Donations!$F:$F,"&gt;="&amp;'Daily Challenges'!$C$7,Donations!$F:$F,"&lt;="&amp;'Daily Challenges'!$D$7))</f>
        <v/>
      </c>
      <c r="G228" s="38">
        <f>IF($A228="","",SUMIFS(Donations!$D:$D,Donations!$G:$G,$A228,Donations!$F:$F,"&gt;="&amp;'Daily Challenges'!$C$8,Donations!$F:$F,"&lt;="&amp;'Daily Challenges'!$D$8))</f>
        <v/>
      </c>
      <c r="H228" s="38">
        <f>IF($A228="","",SUMIFS(Donations!$D:$D,Donations!$G:$G,$A228,Donations!$F:$F,"&lt;="&amp;'Daily Challenges'!$D$9))</f>
        <v/>
      </c>
      <c r="I228" s="38">
        <f>IF($A228="","",SUMIFS(Donations!$D:$D,Donations!$G:$G,$A228,Donations!$F:$F,"&gt;="&amp;'Daily Challenges'!$C$10,Donations!$F:$F,"&lt;="&amp;'Daily Challenges'!$D$10))</f>
        <v/>
      </c>
      <c r="J228" s="38">
        <f>IF($A228="","",SUMIFS(Donations!$D:$D,Donations!$G:$G,$A228,Donations!$F:$F,"&lt;="&amp;'Daily Challenges'!$D$12))</f>
        <v/>
      </c>
    </row>
    <row r="229">
      <c r="A229" s="32" t="inlineStr">
        <is>
          <t>Ella Lopez</t>
        </is>
      </c>
      <c r="B229" s="32" t="inlineStr">
        <is>
          <t>Ms. Moreau</t>
        </is>
      </c>
      <c r="C229" s="36" t="inlineStr">
        <is>
          <t>4</t>
        </is>
      </c>
      <c r="D229" s="37">
        <f>IF(A229="","",SUMIFS(Donations!$D:$D,Donations!$G:$G,A229))</f>
        <v/>
      </c>
      <c r="E229" s="35">
        <f>IF(A229="","",IF(D229&gt;0,"Yes",""))</f>
        <v/>
      </c>
      <c r="F229" s="38">
        <f>IF($A229="","",SUMIFS(Donations!$D:$D,Donations!$G:$G,$A229,Donations!$F:$F,"&gt;="&amp;'Daily Challenges'!$C$7,Donations!$F:$F,"&lt;="&amp;'Daily Challenges'!$D$7))</f>
        <v/>
      </c>
      <c r="G229" s="38">
        <f>IF($A229="","",SUMIFS(Donations!$D:$D,Donations!$G:$G,$A229,Donations!$F:$F,"&gt;="&amp;'Daily Challenges'!$C$8,Donations!$F:$F,"&lt;="&amp;'Daily Challenges'!$D$8))</f>
        <v/>
      </c>
      <c r="H229" s="38">
        <f>IF($A229="","",SUMIFS(Donations!$D:$D,Donations!$G:$G,$A229,Donations!$F:$F,"&lt;="&amp;'Daily Challenges'!$D$9))</f>
        <v/>
      </c>
      <c r="I229" s="38">
        <f>IF($A229="","",SUMIFS(Donations!$D:$D,Donations!$G:$G,$A229,Donations!$F:$F,"&gt;="&amp;'Daily Challenges'!$C$10,Donations!$F:$F,"&lt;="&amp;'Daily Challenges'!$D$10))</f>
        <v/>
      </c>
      <c r="J229" s="38">
        <f>IF($A229="","",SUMIFS(Donations!$D:$D,Donations!$G:$G,$A229,Donations!$F:$F,"&lt;="&amp;'Daily Challenges'!$D$12))</f>
        <v/>
      </c>
    </row>
    <row r="230">
      <c r="A230" s="32" t="inlineStr">
        <is>
          <t>Daniel Ramos</t>
        </is>
      </c>
      <c r="B230" s="32" t="inlineStr">
        <is>
          <t>Ms. Moreau</t>
        </is>
      </c>
      <c r="C230" s="36" t="inlineStr">
        <is>
          <t>4</t>
        </is>
      </c>
      <c r="D230" s="37">
        <f>IF(A230="","",SUMIFS(Donations!$D:$D,Donations!$G:$G,A230))</f>
        <v/>
      </c>
      <c r="E230" s="35">
        <f>IF(A230="","",IF(D230&gt;0,"Yes",""))</f>
        <v/>
      </c>
      <c r="F230" s="38">
        <f>IF($A230="","",SUMIFS(Donations!$D:$D,Donations!$G:$G,$A230,Donations!$F:$F,"&gt;="&amp;'Daily Challenges'!$C$7,Donations!$F:$F,"&lt;="&amp;'Daily Challenges'!$D$7))</f>
        <v/>
      </c>
      <c r="G230" s="38">
        <f>IF($A230="","",SUMIFS(Donations!$D:$D,Donations!$G:$G,$A230,Donations!$F:$F,"&gt;="&amp;'Daily Challenges'!$C$8,Donations!$F:$F,"&lt;="&amp;'Daily Challenges'!$D$8))</f>
        <v/>
      </c>
      <c r="H230" s="38">
        <f>IF($A230="","",SUMIFS(Donations!$D:$D,Donations!$G:$G,$A230,Donations!$F:$F,"&lt;="&amp;'Daily Challenges'!$D$9))</f>
        <v/>
      </c>
      <c r="I230" s="38">
        <f>IF($A230="","",SUMIFS(Donations!$D:$D,Donations!$G:$G,$A230,Donations!$F:$F,"&gt;="&amp;'Daily Challenges'!$C$10,Donations!$F:$F,"&lt;="&amp;'Daily Challenges'!$D$10))</f>
        <v/>
      </c>
      <c r="J230" s="38">
        <f>IF($A230="","",SUMIFS(Donations!$D:$D,Donations!$G:$G,$A230,Donations!$F:$F,"&lt;="&amp;'Daily Challenges'!$D$12))</f>
        <v/>
      </c>
    </row>
    <row r="231">
      <c r="A231" s="32" t="inlineStr">
        <is>
          <t>Aria O'Brien</t>
        </is>
      </c>
      <c r="B231" s="32" t="inlineStr">
        <is>
          <t>Ms. Moreau</t>
        </is>
      </c>
      <c r="C231" s="36" t="inlineStr">
        <is>
          <t>4</t>
        </is>
      </c>
      <c r="D231" s="37">
        <f>IF(A231="","",SUMIFS(Donations!$D:$D,Donations!$G:$G,A231))</f>
        <v/>
      </c>
      <c r="E231" s="35">
        <f>IF(A231="","",IF(D231&gt;0,"Yes",""))</f>
        <v/>
      </c>
      <c r="F231" s="38">
        <f>IF($A231="","",SUMIFS(Donations!$D:$D,Donations!$G:$G,$A231,Donations!$F:$F,"&gt;="&amp;'Daily Challenges'!$C$7,Donations!$F:$F,"&lt;="&amp;'Daily Challenges'!$D$7))</f>
        <v/>
      </c>
      <c r="G231" s="38">
        <f>IF($A231="","",SUMIFS(Donations!$D:$D,Donations!$G:$G,$A231,Donations!$F:$F,"&gt;="&amp;'Daily Challenges'!$C$8,Donations!$F:$F,"&lt;="&amp;'Daily Challenges'!$D$8))</f>
        <v/>
      </c>
      <c r="H231" s="38">
        <f>IF($A231="","",SUMIFS(Donations!$D:$D,Donations!$G:$G,$A231,Donations!$F:$F,"&lt;="&amp;'Daily Challenges'!$D$9))</f>
        <v/>
      </c>
      <c r="I231" s="38">
        <f>IF($A231="","",SUMIFS(Donations!$D:$D,Donations!$G:$G,$A231,Donations!$F:$F,"&gt;="&amp;'Daily Challenges'!$C$10,Donations!$F:$F,"&lt;="&amp;'Daily Challenges'!$D$10))</f>
        <v/>
      </c>
      <c r="J231" s="38">
        <f>IF($A231="","",SUMIFS(Donations!$D:$D,Donations!$G:$G,$A231,Donations!$F:$F,"&lt;="&amp;'Daily Challenges'!$D$12))</f>
        <v/>
      </c>
    </row>
    <row r="232">
      <c r="A232" s="32" t="inlineStr">
        <is>
          <t>Thomas Perez</t>
        </is>
      </c>
      <c r="B232" s="32" t="inlineStr">
        <is>
          <t>Ms. Moreau</t>
        </is>
      </c>
      <c r="C232" s="36" t="inlineStr">
        <is>
          <t>4</t>
        </is>
      </c>
      <c r="D232" s="37">
        <f>IF(A232="","",SUMIFS(Donations!$D:$D,Donations!$G:$G,A232))</f>
        <v/>
      </c>
      <c r="E232" s="35">
        <f>IF(A232="","",IF(D232&gt;0,"Yes",""))</f>
        <v/>
      </c>
      <c r="F232" s="38">
        <f>IF($A232="","",SUMIFS(Donations!$D:$D,Donations!$G:$G,$A232,Donations!$F:$F,"&gt;="&amp;'Daily Challenges'!$C$7,Donations!$F:$F,"&lt;="&amp;'Daily Challenges'!$D$7))</f>
        <v/>
      </c>
      <c r="G232" s="38">
        <f>IF($A232="","",SUMIFS(Donations!$D:$D,Donations!$G:$G,$A232,Donations!$F:$F,"&gt;="&amp;'Daily Challenges'!$C$8,Donations!$F:$F,"&lt;="&amp;'Daily Challenges'!$D$8))</f>
        <v/>
      </c>
      <c r="H232" s="38">
        <f>IF($A232="","",SUMIFS(Donations!$D:$D,Donations!$G:$G,$A232,Donations!$F:$F,"&lt;="&amp;'Daily Challenges'!$D$9))</f>
        <v/>
      </c>
      <c r="I232" s="38">
        <f>IF($A232="","",SUMIFS(Donations!$D:$D,Donations!$G:$G,$A232,Donations!$F:$F,"&gt;="&amp;'Daily Challenges'!$C$10,Donations!$F:$F,"&lt;="&amp;'Daily Challenges'!$D$10))</f>
        <v/>
      </c>
      <c r="J232" s="38">
        <f>IF($A232="","",SUMIFS(Donations!$D:$D,Donations!$G:$G,$A232,Donations!$F:$F,"&lt;="&amp;'Daily Challenges'!$D$12))</f>
        <v/>
      </c>
    </row>
    <row r="233">
      <c r="A233" s="32" t="inlineStr">
        <is>
          <t>Nora Williams</t>
        </is>
      </c>
      <c r="B233" s="32" t="inlineStr">
        <is>
          <t>Ms. Moreau</t>
        </is>
      </c>
      <c r="C233" s="36" t="inlineStr">
        <is>
          <t>4</t>
        </is>
      </c>
      <c r="D233" s="37">
        <f>IF(A233="","",SUMIFS(Donations!$D:$D,Donations!$G:$G,A233))</f>
        <v/>
      </c>
      <c r="E233" s="35">
        <f>IF(A233="","",IF(D233&gt;0,"Yes",""))</f>
        <v/>
      </c>
      <c r="F233" s="38">
        <f>IF($A233="","",SUMIFS(Donations!$D:$D,Donations!$G:$G,$A233,Donations!$F:$F,"&gt;="&amp;'Daily Challenges'!$C$7,Donations!$F:$F,"&lt;="&amp;'Daily Challenges'!$D$7))</f>
        <v/>
      </c>
      <c r="G233" s="38">
        <f>IF($A233="","",SUMIFS(Donations!$D:$D,Donations!$G:$G,$A233,Donations!$F:$F,"&gt;="&amp;'Daily Challenges'!$C$8,Donations!$F:$F,"&lt;="&amp;'Daily Challenges'!$D$8))</f>
        <v/>
      </c>
      <c r="H233" s="38">
        <f>IF($A233="","",SUMIFS(Donations!$D:$D,Donations!$G:$G,$A233,Donations!$F:$F,"&lt;="&amp;'Daily Challenges'!$D$9))</f>
        <v/>
      </c>
      <c r="I233" s="38">
        <f>IF($A233="","",SUMIFS(Donations!$D:$D,Donations!$G:$G,$A233,Donations!$F:$F,"&gt;="&amp;'Daily Challenges'!$C$10,Donations!$F:$F,"&lt;="&amp;'Daily Challenges'!$D$10))</f>
        <v/>
      </c>
      <c r="J233" s="38">
        <f>IF($A233="","",SUMIFS(Donations!$D:$D,Donations!$G:$G,$A233,Donations!$F:$F,"&lt;="&amp;'Daily Challenges'!$D$12))</f>
        <v/>
      </c>
    </row>
    <row r="234">
      <c r="A234" s="32" t="inlineStr">
        <is>
          <t>Lucas Gonzalez</t>
        </is>
      </c>
      <c r="B234" s="32" t="inlineStr">
        <is>
          <t>Ms. Moreau</t>
        </is>
      </c>
      <c r="C234" s="36" t="inlineStr">
        <is>
          <t>4</t>
        </is>
      </c>
      <c r="D234" s="37">
        <f>IF(A234="","",SUMIFS(Donations!$D:$D,Donations!$G:$G,A234))</f>
        <v/>
      </c>
      <c r="E234" s="35">
        <f>IF(A234="","",IF(D234&gt;0,"Yes",""))</f>
        <v/>
      </c>
      <c r="F234" s="38">
        <f>IF($A234="","",SUMIFS(Donations!$D:$D,Donations!$G:$G,$A234,Donations!$F:$F,"&gt;="&amp;'Daily Challenges'!$C$7,Donations!$F:$F,"&lt;="&amp;'Daily Challenges'!$D$7))</f>
        <v/>
      </c>
      <c r="G234" s="38">
        <f>IF($A234="","",SUMIFS(Donations!$D:$D,Donations!$G:$G,$A234,Donations!$F:$F,"&gt;="&amp;'Daily Challenges'!$C$8,Donations!$F:$F,"&lt;="&amp;'Daily Challenges'!$D$8))</f>
        <v/>
      </c>
      <c r="H234" s="38">
        <f>IF($A234="","",SUMIFS(Donations!$D:$D,Donations!$G:$G,$A234,Donations!$F:$F,"&lt;="&amp;'Daily Challenges'!$D$9))</f>
        <v/>
      </c>
      <c r="I234" s="38">
        <f>IF($A234="","",SUMIFS(Donations!$D:$D,Donations!$G:$G,$A234,Donations!$F:$F,"&gt;="&amp;'Daily Challenges'!$C$10,Donations!$F:$F,"&lt;="&amp;'Daily Challenges'!$D$10))</f>
        <v/>
      </c>
      <c r="J234" s="38">
        <f>IF($A234="","",SUMIFS(Donations!$D:$D,Donations!$G:$G,$A234,Donations!$F:$F,"&lt;="&amp;'Daily Challenges'!$D$12))</f>
        <v/>
      </c>
    </row>
    <row r="235">
      <c r="A235" s="32" t="inlineStr">
        <is>
          <t>Chloe Ortiz</t>
        </is>
      </c>
      <c r="B235" s="32" t="inlineStr">
        <is>
          <t>Ms. Moreau</t>
        </is>
      </c>
      <c r="C235" s="36" t="inlineStr">
        <is>
          <t>4</t>
        </is>
      </c>
      <c r="D235" s="37">
        <f>IF(A235="","",SUMIFS(Donations!$D:$D,Donations!$G:$G,A235))</f>
        <v/>
      </c>
      <c r="E235" s="35">
        <f>IF(A235="","",IF(D235&gt;0,"Yes",""))</f>
        <v/>
      </c>
      <c r="F235" s="38">
        <f>IF($A235="","",SUMIFS(Donations!$D:$D,Donations!$G:$G,$A235,Donations!$F:$F,"&gt;="&amp;'Daily Challenges'!$C$7,Donations!$F:$F,"&lt;="&amp;'Daily Challenges'!$D$7))</f>
        <v/>
      </c>
      <c r="G235" s="38">
        <f>IF($A235="","",SUMIFS(Donations!$D:$D,Donations!$G:$G,$A235,Donations!$F:$F,"&gt;="&amp;'Daily Challenges'!$C$8,Donations!$F:$F,"&lt;="&amp;'Daily Challenges'!$D$8))</f>
        <v/>
      </c>
      <c r="H235" s="38">
        <f>IF($A235="","",SUMIFS(Donations!$D:$D,Donations!$G:$G,$A235,Donations!$F:$F,"&lt;="&amp;'Daily Challenges'!$D$9))</f>
        <v/>
      </c>
      <c r="I235" s="38">
        <f>IF($A235="","",SUMIFS(Donations!$D:$D,Donations!$G:$G,$A235,Donations!$F:$F,"&gt;="&amp;'Daily Challenges'!$C$10,Donations!$F:$F,"&lt;="&amp;'Daily Challenges'!$D$10))</f>
        <v/>
      </c>
      <c r="J235" s="38">
        <f>IF($A235="","",SUMIFS(Donations!$D:$D,Donations!$G:$G,$A235,Donations!$F:$F,"&lt;="&amp;'Daily Challenges'!$D$12))</f>
        <v/>
      </c>
    </row>
    <row r="236">
      <c r="A236" s="32" t="inlineStr">
        <is>
          <t>Adrian Gomez</t>
        </is>
      </c>
      <c r="B236" s="32" t="inlineStr">
        <is>
          <t>Ms. Moreau</t>
        </is>
      </c>
      <c r="C236" s="36" t="inlineStr">
        <is>
          <t>4</t>
        </is>
      </c>
      <c r="D236" s="37">
        <f>IF(A236="","",SUMIFS(Donations!$D:$D,Donations!$G:$G,A236))</f>
        <v/>
      </c>
      <c r="E236" s="35">
        <f>IF(A236="","",IF(D236&gt;0,"Yes",""))</f>
        <v/>
      </c>
      <c r="F236" s="38">
        <f>IF($A236="","",SUMIFS(Donations!$D:$D,Donations!$G:$G,$A236,Donations!$F:$F,"&gt;="&amp;'Daily Challenges'!$C$7,Donations!$F:$F,"&lt;="&amp;'Daily Challenges'!$D$7))</f>
        <v/>
      </c>
      <c r="G236" s="38">
        <f>IF($A236="","",SUMIFS(Donations!$D:$D,Donations!$G:$G,$A236,Donations!$F:$F,"&gt;="&amp;'Daily Challenges'!$C$8,Donations!$F:$F,"&lt;="&amp;'Daily Challenges'!$D$8))</f>
        <v/>
      </c>
      <c r="H236" s="38">
        <f>IF($A236="","",SUMIFS(Donations!$D:$D,Donations!$G:$G,$A236,Donations!$F:$F,"&lt;="&amp;'Daily Challenges'!$D$9))</f>
        <v/>
      </c>
      <c r="I236" s="38">
        <f>IF($A236="","",SUMIFS(Donations!$D:$D,Donations!$G:$G,$A236,Donations!$F:$F,"&gt;="&amp;'Daily Challenges'!$C$10,Donations!$F:$F,"&lt;="&amp;'Daily Challenges'!$D$10))</f>
        <v/>
      </c>
      <c r="J236" s="38">
        <f>IF($A236="","",SUMIFS(Donations!$D:$D,Donations!$G:$G,$A236,Donations!$F:$F,"&lt;="&amp;'Daily Challenges'!$D$12))</f>
        <v/>
      </c>
    </row>
    <row r="237">
      <c r="A237" s="32" t="inlineStr">
        <is>
          <t>Henry Lopez</t>
        </is>
      </c>
      <c r="B237" s="32" t="inlineStr">
        <is>
          <t>Ms. Moreau</t>
        </is>
      </c>
      <c r="C237" s="36" t="inlineStr">
        <is>
          <t>4</t>
        </is>
      </c>
      <c r="D237" s="37">
        <f>IF(A237="","",SUMIFS(Donations!$D:$D,Donations!$G:$G,A237))</f>
        <v/>
      </c>
      <c r="E237" s="35">
        <f>IF(A237="","",IF(D237&gt;0,"Yes",""))</f>
        <v/>
      </c>
      <c r="F237" s="38">
        <f>IF($A237="","",SUMIFS(Donations!$D:$D,Donations!$G:$G,$A237,Donations!$F:$F,"&gt;="&amp;'Daily Challenges'!$C$7,Donations!$F:$F,"&lt;="&amp;'Daily Challenges'!$D$7))</f>
        <v/>
      </c>
      <c r="G237" s="38">
        <f>IF($A237="","",SUMIFS(Donations!$D:$D,Donations!$G:$G,$A237,Donations!$F:$F,"&gt;="&amp;'Daily Challenges'!$C$8,Donations!$F:$F,"&lt;="&amp;'Daily Challenges'!$D$8))</f>
        <v/>
      </c>
      <c r="H237" s="38">
        <f>IF($A237="","",SUMIFS(Donations!$D:$D,Donations!$G:$G,$A237,Donations!$F:$F,"&lt;="&amp;'Daily Challenges'!$D$9))</f>
        <v/>
      </c>
      <c r="I237" s="38">
        <f>IF($A237="","",SUMIFS(Donations!$D:$D,Donations!$G:$G,$A237,Donations!$F:$F,"&gt;="&amp;'Daily Challenges'!$C$10,Donations!$F:$F,"&lt;="&amp;'Daily Challenges'!$D$10))</f>
        <v/>
      </c>
      <c r="J237" s="38">
        <f>IF($A237="","",SUMIFS(Donations!$D:$D,Donations!$G:$G,$A237,Donations!$F:$F,"&lt;="&amp;'Daily Challenges'!$D$12))</f>
        <v/>
      </c>
    </row>
    <row r="238">
      <c r="A238" s="32" t="inlineStr">
        <is>
          <t>Julian Ramirez</t>
        </is>
      </c>
      <c r="B238" s="32" t="inlineStr">
        <is>
          <t>Ms. Moreau</t>
        </is>
      </c>
      <c r="C238" s="36" t="inlineStr">
        <is>
          <t>4</t>
        </is>
      </c>
      <c r="D238" s="37">
        <f>IF(A238="","",SUMIFS(Donations!$D:$D,Donations!$G:$G,A238))</f>
        <v/>
      </c>
      <c r="E238" s="35">
        <f>IF(A238="","",IF(D238&gt;0,"Yes",""))</f>
        <v/>
      </c>
      <c r="F238" s="38">
        <f>IF($A238="","",SUMIFS(Donations!$D:$D,Donations!$G:$G,$A238,Donations!$F:$F,"&gt;="&amp;'Daily Challenges'!$C$7,Donations!$F:$F,"&lt;="&amp;'Daily Challenges'!$D$7))</f>
        <v/>
      </c>
      <c r="G238" s="38">
        <f>IF($A238="","",SUMIFS(Donations!$D:$D,Donations!$G:$G,$A238,Donations!$F:$F,"&gt;="&amp;'Daily Challenges'!$C$8,Donations!$F:$F,"&lt;="&amp;'Daily Challenges'!$D$8))</f>
        <v/>
      </c>
      <c r="H238" s="38">
        <f>IF($A238="","",SUMIFS(Donations!$D:$D,Donations!$G:$G,$A238,Donations!$F:$F,"&lt;="&amp;'Daily Challenges'!$D$9))</f>
        <v/>
      </c>
      <c r="I238" s="38">
        <f>IF($A238="","",SUMIFS(Donations!$D:$D,Donations!$G:$G,$A238,Donations!$F:$F,"&gt;="&amp;'Daily Challenges'!$C$10,Donations!$F:$F,"&lt;="&amp;'Daily Challenges'!$D$10))</f>
        <v/>
      </c>
      <c r="J238" s="38">
        <f>IF($A238="","",SUMIFS(Donations!$D:$D,Donations!$G:$G,$A238,Donations!$F:$F,"&lt;="&amp;'Daily Challenges'!$D$12))</f>
        <v/>
      </c>
    </row>
    <row r="239">
      <c r="A239" s="32" t="inlineStr">
        <is>
          <t>Olivia Reyes</t>
        </is>
      </c>
      <c r="B239" s="32" t="inlineStr">
        <is>
          <t>Ms. Moreau</t>
        </is>
      </c>
      <c r="C239" s="36" t="inlineStr">
        <is>
          <t>4</t>
        </is>
      </c>
      <c r="D239" s="37">
        <f>IF(A239="","",SUMIFS(Donations!$D:$D,Donations!$G:$G,A239))</f>
        <v/>
      </c>
      <c r="E239" s="35">
        <f>IF(A239="","",IF(D239&gt;0,"Yes",""))</f>
        <v/>
      </c>
      <c r="F239" s="38">
        <f>IF($A239="","",SUMIFS(Donations!$D:$D,Donations!$G:$G,$A239,Donations!$F:$F,"&gt;="&amp;'Daily Challenges'!$C$7,Donations!$F:$F,"&lt;="&amp;'Daily Challenges'!$D$7))</f>
        <v/>
      </c>
      <c r="G239" s="38">
        <f>IF($A239="","",SUMIFS(Donations!$D:$D,Donations!$G:$G,$A239,Donations!$F:$F,"&gt;="&amp;'Daily Challenges'!$C$8,Donations!$F:$F,"&lt;="&amp;'Daily Challenges'!$D$8))</f>
        <v/>
      </c>
      <c r="H239" s="38">
        <f>IF($A239="","",SUMIFS(Donations!$D:$D,Donations!$G:$G,$A239,Donations!$F:$F,"&lt;="&amp;'Daily Challenges'!$D$9))</f>
        <v/>
      </c>
      <c r="I239" s="38">
        <f>IF($A239="","",SUMIFS(Donations!$D:$D,Donations!$G:$G,$A239,Donations!$F:$F,"&gt;="&amp;'Daily Challenges'!$C$10,Donations!$F:$F,"&lt;="&amp;'Daily Challenges'!$D$10))</f>
        <v/>
      </c>
      <c r="J239" s="38">
        <f>IF($A239="","",SUMIFS(Donations!$D:$D,Donations!$G:$G,$A239,Donations!$F:$F,"&lt;="&amp;'Daily Challenges'!$D$12))</f>
        <v/>
      </c>
    </row>
    <row r="240">
      <c r="A240" s="32" t="inlineStr">
        <is>
          <t>Harper Murphy</t>
        </is>
      </c>
      <c r="B240" s="32" t="inlineStr">
        <is>
          <t>Ms. Moreau</t>
        </is>
      </c>
      <c r="C240" s="36" t="inlineStr">
        <is>
          <t>4</t>
        </is>
      </c>
      <c r="D240" s="37">
        <f>IF(A240="","",SUMIFS(Donations!$D:$D,Donations!$G:$G,A240))</f>
        <v/>
      </c>
      <c r="E240" s="35">
        <f>IF(A240="","",IF(D240&gt;0,"Yes",""))</f>
        <v/>
      </c>
      <c r="F240" s="38">
        <f>IF($A240="","",SUMIFS(Donations!$D:$D,Donations!$G:$G,$A240,Donations!$F:$F,"&gt;="&amp;'Daily Challenges'!$C$7,Donations!$F:$F,"&lt;="&amp;'Daily Challenges'!$D$7))</f>
        <v/>
      </c>
      <c r="G240" s="38">
        <f>IF($A240="","",SUMIFS(Donations!$D:$D,Donations!$G:$G,$A240,Donations!$F:$F,"&gt;="&amp;'Daily Challenges'!$C$8,Donations!$F:$F,"&lt;="&amp;'Daily Challenges'!$D$8))</f>
        <v/>
      </c>
      <c r="H240" s="38">
        <f>IF($A240="","",SUMIFS(Donations!$D:$D,Donations!$G:$G,$A240,Donations!$F:$F,"&lt;="&amp;'Daily Challenges'!$D$9))</f>
        <v/>
      </c>
      <c r="I240" s="38">
        <f>IF($A240="","",SUMIFS(Donations!$D:$D,Donations!$G:$G,$A240,Donations!$F:$F,"&gt;="&amp;'Daily Challenges'!$C$10,Donations!$F:$F,"&lt;="&amp;'Daily Challenges'!$D$10))</f>
        <v/>
      </c>
      <c r="J240" s="38">
        <f>IF($A240="","",SUMIFS(Donations!$D:$D,Donations!$G:$G,$A240,Donations!$F:$F,"&lt;="&amp;'Daily Challenges'!$D$12))</f>
        <v/>
      </c>
    </row>
    <row r="241">
      <c r="A241" s="32" t="inlineStr">
        <is>
          <t>Harper Gutierrez</t>
        </is>
      </c>
      <c r="B241" s="32" t="inlineStr">
        <is>
          <t>Ms. Moreau</t>
        </is>
      </c>
      <c r="C241" s="36" t="inlineStr">
        <is>
          <t>4</t>
        </is>
      </c>
      <c r="D241" s="37">
        <f>IF(A241="","",SUMIFS(Donations!$D:$D,Donations!$G:$G,A241))</f>
        <v/>
      </c>
      <c r="E241" s="35">
        <f>IF(A241="","",IF(D241&gt;0,"Yes",""))</f>
        <v/>
      </c>
      <c r="F241" s="38">
        <f>IF($A241="","",SUMIFS(Donations!$D:$D,Donations!$G:$G,$A241,Donations!$F:$F,"&gt;="&amp;'Daily Challenges'!$C$7,Donations!$F:$F,"&lt;="&amp;'Daily Challenges'!$D$7))</f>
        <v/>
      </c>
      <c r="G241" s="38">
        <f>IF($A241="","",SUMIFS(Donations!$D:$D,Donations!$G:$G,$A241,Donations!$F:$F,"&gt;="&amp;'Daily Challenges'!$C$8,Donations!$F:$F,"&lt;="&amp;'Daily Challenges'!$D$8))</f>
        <v/>
      </c>
      <c r="H241" s="38">
        <f>IF($A241="","",SUMIFS(Donations!$D:$D,Donations!$G:$G,$A241,Donations!$F:$F,"&lt;="&amp;'Daily Challenges'!$D$9))</f>
        <v/>
      </c>
      <c r="I241" s="38">
        <f>IF($A241="","",SUMIFS(Donations!$D:$D,Donations!$G:$G,$A241,Donations!$F:$F,"&gt;="&amp;'Daily Challenges'!$C$10,Donations!$F:$F,"&lt;="&amp;'Daily Challenges'!$D$10))</f>
        <v/>
      </c>
      <c r="J241" s="38">
        <f>IF($A241="","",SUMIFS(Donations!$D:$D,Donations!$G:$G,$A241,Donations!$F:$F,"&lt;="&amp;'Daily Challenges'!$D$12))</f>
        <v/>
      </c>
    </row>
    <row r="242">
      <c r="A242" s="32" t="inlineStr">
        <is>
          <t>Emma Ramos</t>
        </is>
      </c>
      <c r="B242" s="32" t="inlineStr">
        <is>
          <t>Ms. Moreau</t>
        </is>
      </c>
      <c r="C242" s="36" t="inlineStr">
        <is>
          <t>4</t>
        </is>
      </c>
      <c r="D242" s="37">
        <f>IF(A242="","",SUMIFS(Donations!$D:$D,Donations!$G:$G,A242))</f>
        <v/>
      </c>
      <c r="E242" s="35">
        <f>IF(A242="","",IF(D242&gt;0,"Yes",""))</f>
        <v/>
      </c>
      <c r="F242" s="38">
        <f>IF($A242="","",SUMIFS(Donations!$D:$D,Donations!$G:$G,$A242,Donations!$F:$F,"&gt;="&amp;'Daily Challenges'!$C$7,Donations!$F:$F,"&lt;="&amp;'Daily Challenges'!$D$7))</f>
        <v/>
      </c>
      <c r="G242" s="38">
        <f>IF($A242="","",SUMIFS(Donations!$D:$D,Donations!$G:$G,$A242,Donations!$F:$F,"&gt;="&amp;'Daily Challenges'!$C$8,Donations!$F:$F,"&lt;="&amp;'Daily Challenges'!$D$8))</f>
        <v/>
      </c>
      <c r="H242" s="38">
        <f>IF($A242="","",SUMIFS(Donations!$D:$D,Donations!$G:$G,$A242,Donations!$F:$F,"&lt;="&amp;'Daily Challenges'!$D$9))</f>
        <v/>
      </c>
      <c r="I242" s="38">
        <f>IF($A242="","",SUMIFS(Donations!$D:$D,Donations!$G:$G,$A242,Donations!$F:$F,"&gt;="&amp;'Daily Challenges'!$C$10,Donations!$F:$F,"&lt;="&amp;'Daily Challenges'!$D$10))</f>
        <v/>
      </c>
      <c r="J242" s="38">
        <f>IF($A242="","",SUMIFS(Donations!$D:$D,Donations!$G:$G,$A242,Donations!$F:$F,"&lt;="&amp;'Daily Challenges'!$D$12))</f>
        <v/>
      </c>
    </row>
    <row r="243">
      <c r="A243" s="32" t="inlineStr">
        <is>
          <t>Ava Garcia</t>
        </is>
      </c>
      <c r="B243" s="32" t="inlineStr">
        <is>
          <t>Ms. Moreau</t>
        </is>
      </c>
      <c r="C243" s="36" t="inlineStr">
        <is>
          <t>4</t>
        </is>
      </c>
      <c r="D243" s="37">
        <f>IF(A243="","",SUMIFS(Donations!$D:$D,Donations!$G:$G,A243))</f>
        <v/>
      </c>
      <c r="E243" s="35">
        <f>IF(A243="","",IF(D243&gt;0,"Yes",""))</f>
        <v/>
      </c>
      <c r="F243" s="38">
        <f>IF($A243="","",SUMIFS(Donations!$D:$D,Donations!$G:$G,$A243,Donations!$F:$F,"&gt;="&amp;'Daily Challenges'!$C$7,Donations!$F:$F,"&lt;="&amp;'Daily Challenges'!$D$7))</f>
        <v/>
      </c>
      <c r="G243" s="38">
        <f>IF($A243="","",SUMIFS(Donations!$D:$D,Donations!$G:$G,$A243,Donations!$F:$F,"&gt;="&amp;'Daily Challenges'!$C$8,Donations!$F:$F,"&lt;="&amp;'Daily Challenges'!$D$8))</f>
        <v/>
      </c>
      <c r="H243" s="38">
        <f>IF($A243="","",SUMIFS(Donations!$D:$D,Donations!$G:$G,$A243,Donations!$F:$F,"&lt;="&amp;'Daily Challenges'!$D$9))</f>
        <v/>
      </c>
      <c r="I243" s="38">
        <f>IF($A243="","",SUMIFS(Donations!$D:$D,Donations!$G:$G,$A243,Donations!$F:$F,"&gt;="&amp;'Daily Challenges'!$C$10,Donations!$F:$F,"&lt;="&amp;'Daily Challenges'!$D$10))</f>
        <v/>
      </c>
      <c r="J243" s="38">
        <f>IF($A243="","",SUMIFS(Donations!$D:$D,Donations!$G:$G,$A243,Donations!$F:$F,"&lt;="&amp;'Daily Challenges'!$D$12))</f>
        <v/>
      </c>
    </row>
    <row r="244">
      <c r="A244" s="32" t="inlineStr">
        <is>
          <t>Maya Kim</t>
        </is>
      </c>
      <c r="B244" s="32" t="inlineStr">
        <is>
          <t>Ms. Moreau</t>
        </is>
      </c>
      <c r="C244" s="36" t="inlineStr">
        <is>
          <t>4</t>
        </is>
      </c>
      <c r="D244" s="37">
        <f>IF(A244="","",SUMIFS(Donations!$D:$D,Donations!$G:$G,A244))</f>
        <v/>
      </c>
      <c r="E244" s="35">
        <f>IF(A244="","",IF(D244&gt;0,"Yes",""))</f>
        <v/>
      </c>
      <c r="F244" s="38">
        <f>IF($A244="","",SUMIFS(Donations!$D:$D,Donations!$G:$G,$A244,Donations!$F:$F,"&gt;="&amp;'Daily Challenges'!$C$7,Donations!$F:$F,"&lt;="&amp;'Daily Challenges'!$D$7))</f>
        <v/>
      </c>
      <c r="G244" s="38">
        <f>IF($A244="","",SUMIFS(Donations!$D:$D,Donations!$G:$G,$A244,Donations!$F:$F,"&gt;="&amp;'Daily Challenges'!$C$8,Donations!$F:$F,"&lt;="&amp;'Daily Challenges'!$D$8))</f>
        <v/>
      </c>
      <c r="H244" s="38">
        <f>IF($A244="","",SUMIFS(Donations!$D:$D,Donations!$G:$G,$A244,Donations!$F:$F,"&lt;="&amp;'Daily Challenges'!$D$9))</f>
        <v/>
      </c>
      <c r="I244" s="38">
        <f>IF($A244="","",SUMIFS(Donations!$D:$D,Donations!$G:$G,$A244,Donations!$F:$F,"&gt;="&amp;'Daily Challenges'!$C$10,Donations!$F:$F,"&lt;="&amp;'Daily Challenges'!$D$10))</f>
        <v/>
      </c>
      <c r="J244" s="38">
        <f>IF($A244="","",SUMIFS(Donations!$D:$D,Donations!$G:$G,$A244,Donations!$F:$F,"&lt;="&amp;'Daily Challenges'!$D$12))</f>
        <v/>
      </c>
    </row>
    <row r="245">
      <c r="A245" s="32" t="inlineStr">
        <is>
          <t>Samuel Gutierrez</t>
        </is>
      </c>
      <c r="B245" s="32" t="inlineStr">
        <is>
          <t>Ms. Moreau</t>
        </is>
      </c>
      <c r="C245" s="36" t="inlineStr">
        <is>
          <t>4</t>
        </is>
      </c>
      <c r="D245" s="37">
        <f>IF(A245="","",SUMIFS(Donations!$D:$D,Donations!$G:$G,A245))</f>
        <v/>
      </c>
      <c r="E245" s="35">
        <f>IF(A245="","",IF(D245&gt;0,"Yes",""))</f>
        <v/>
      </c>
      <c r="F245" s="38">
        <f>IF($A245="","",SUMIFS(Donations!$D:$D,Donations!$G:$G,$A245,Donations!$F:$F,"&gt;="&amp;'Daily Challenges'!$C$7,Donations!$F:$F,"&lt;="&amp;'Daily Challenges'!$D$7))</f>
        <v/>
      </c>
      <c r="G245" s="38">
        <f>IF($A245="","",SUMIFS(Donations!$D:$D,Donations!$G:$G,$A245,Donations!$F:$F,"&gt;="&amp;'Daily Challenges'!$C$8,Donations!$F:$F,"&lt;="&amp;'Daily Challenges'!$D$8))</f>
        <v/>
      </c>
      <c r="H245" s="38">
        <f>IF($A245="","",SUMIFS(Donations!$D:$D,Donations!$G:$G,$A245,Donations!$F:$F,"&lt;="&amp;'Daily Challenges'!$D$9))</f>
        <v/>
      </c>
      <c r="I245" s="38">
        <f>IF($A245="","",SUMIFS(Donations!$D:$D,Donations!$G:$G,$A245,Donations!$F:$F,"&gt;="&amp;'Daily Challenges'!$C$10,Donations!$F:$F,"&lt;="&amp;'Daily Challenges'!$D$10))</f>
        <v/>
      </c>
      <c r="J245" s="38">
        <f>IF($A245="","",SUMIFS(Donations!$D:$D,Donations!$G:$G,$A245,Donations!$F:$F,"&lt;="&amp;'Daily Challenges'!$D$12))</f>
        <v/>
      </c>
    </row>
    <row r="246">
      <c r="A246" s="32" t="inlineStr">
        <is>
          <t>Aria Perez</t>
        </is>
      </c>
      <c r="B246" s="32" t="inlineStr">
        <is>
          <t>Mrs. Novak</t>
        </is>
      </c>
      <c r="C246" s="36" t="inlineStr">
        <is>
          <t>4</t>
        </is>
      </c>
      <c r="D246" s="37">
        <f>IF(A246="","",SUMIFS(Donations!$D:$D,Donations!$G:$G,A246))</f>
        <v/>
      </c>
      <c r="E246" s="35">
        <f>IF(A246="","",IF(D246&gt;0,"Yes",""))</f>
        <v/>
      </c>
      <c r="F246" s="38">
        <f>IF($A246="","",SUMIFS(Donations!$D:$D,Donations!$G:$G,$A246,Donations!$F:$F,"&gt;="&amp;'Daily Challenges'!$C$7,Donations!$F:$F,"&lt;="&amp;'Daily Challenges'!$D$7))</f>
        <v/>
      </c>
      <c r="G246" s="38">
        <f>IF($A246="","",SUMIFS(Donations!$D:$D,Donations!$G:$G,$A246,Donations!$F:$F,"&gt;="&amp;'Daily Challenges'!$C$8,Donations!$F:$F,"&lt;="&amp;'Daily Challenges'!$D$8))</f>
        <v/>
      </c>
      <c r="H246" s="38">
        <f>IF($A246="","",SUMIFS(Donations!$D:$D,Donations!$G:$G,$A246,Donations!$F:$F,"&lt;="&amp;'Daily Challenges'!$D$9))</f>
        <v/>
      </c>
      <c r="I246" s="38">
        <f>IF($A246="","",SUMIFS(Donations!$D:$D,Donations!$G:$G,$A246,Donations!$F:$F,"&gt;="&amp;'Daily Challenges'!$C$10,Donations!$F:$F,"&lt;="&amp;'Daily Challenges'!$D$10))</f>
        <v/>
      </c>
      <c r="J246" s="38">
        <f>IF($A246="","",SUMIFS(Donations!$D:$D,Donations!$G:$G,$A246,Donations!$F:$F,"&lt;="&amp;'Daily Challenges'!$D$12))</f>
        <v/>
      </c>
    </row>
    <row r="247">
      <c r="A247" s="32" t="inlineStr">
        <is>
          <t>Isaac Martinez</t>
        </is>
      </c>
      <c r="B247" s="32" t="inlineStr">
        <is>
          <t>Mrs. Novak</t>
        </is>
      </c>
      <c r="C247" s="36" t="inlineStr">
        <is>
          <t>4</t>
        </is>
      </c>
      <c r="D247" s="37">
        <f>IF(A247="","",SUMIFS(Donations!$D:$D,Donations!$G:$G,A247))</f>
        <v/>
      </c>
      <c r="E247" s="35">
        <f>IF(A247="","",IF(D247&gt;0,"Yes",""))</f>
        <v/>
      </c>
      <c r="F247" s="38">
        <f>IF($A247="","",SUMIFS(Donations!$D:$D,Donations!$G:$G,$A247,Donations!$F:$F,"&gt;="&amp;'Daily Challenges'!$C$7,Donations!$F:$F,"&lt;="&amp;'Daily Challenges'!$D$7))</f>
        <v/>
      </c>
      <c r="G247" s="38">
        <f>IF($A247="","",SUMIFS(Donations!$D:$D,Donations!$G:$G,$A247,Donations!$F:$F,"&gt;="&amp;'Daily Challenges'!$C$8,Donations!$F:$F,"&lt;="&amp;'Daily Challenges'!$D$8))</f>
        <v/>
      </c>
      <c r="H247" s="38">
        <f>IF($A247="","",SUMIFS(Donations!$D:$D,Donations!$G:$G,$A247,Donations!$F:$F,"&lt;="&amp;'Daily Challenges'!$D$9))</f>
        <v/>
      </c>
      <c r="I247" s="38">
        <f>IF($A247="","",SUMIFS(Donations!$D:$D,Donations!$G:$G,$A247,Donations!$F:$F,"&gt;="&amp;'Daily Challenges'!$C$10,Donations!$F:$F,"&lt;="&amp;'Daily Challenges'!$D$10))</f>
        <v/>
      </c>
      <c r="J247" s="38">
        <f>IF($A247="","",SUMIFS(Donations!$D:$D,Donations!$G:$G,$A247,Donations!$F:$F,"&lt;="&amp;'Daily Challenges'!$D$12))</f>
        <v/>
      </c>
    </row>
    <row r="248">
      <c r="A248" s="32" t="inlineStr">
        <is>
          <t>Noah Morales</t>
        </is>
      </c>
      <c r="B248" s="32" t="inlineStr">
        <is>
          <t>Mrs. Novak</t>
        </is>
      </c>
      <c r="C248" s="36" t="inlineStr">
        <is>
          <t>4</t>
        </is>
      </c>
      <c r="D248" s="37">
        <f>IF(A248="","",SUMIFS(Donations!$D:$D,Donations!$G:$G,A248))</f>
        <v/>
      </c>
      <c r="E248" s="35">
        <f>IF(A248="","",IF(D248&gt;0,"Yes",""))</f>
        <v/>
      </c>
      <c r="F248" s="38">
        <f>IF($A248="","",SUMIFS(Donations!$D:$D,Donations!$G:$G,$A248,Donations!$F:$F,"&gt;="&amp;'Daily Challenges'!$C$7,Donations!$F:$F,"&lt;="&amp;'Daily Challenges'!$D$7))</f>
        <v/>
      </c>
      <c r="G248" s="38">
        <f>IF($A248="","",SUMIFS(Donations!$D:$D,Donations!$G:$G,$A248,Donations!$F:$F,"&gt;="&amp;'Daily Challenges'!$C$8,Donations!$F:$F,"&lt;="&amp;'Daily Challenges'!$D$8))</f>
        <v/>
      </c>
      <c r="H248" s="38">
        <f>IF($A248="","",SUMIFS(Donations!$D:$D,Donations!$G:$G,$A248,Donations!$F:$F,"&lt;="&amp;'Daily Challenges'!$D$9))</f>
        <v/>
      </c>
      <c r="I248" s="38">
        <f>IF($A248="","",SUMIFS(Donations!$D:$D,Donations!$G:$G,$A248,Donations!$F:$F,"&gt;="&amp;'Daily Challenges'!$C$10,Donations!$F:$F,"&lt;="&amp;'Daily Challenges'!$D$10))</f>
        <v/>
      </c>
      <c r="J248" s="38">
        <f>IF($A248="","",SUMIFS(Donations!$D:$D,Donations!$G:$G,$A248,Donations!$F:$F,"&lt;="&amp;'Daily Challenges'!$D$12))</f>
        <v/>
      </c>
    </row>
    <row r="249">
      <c r="A249" s="32" t="inlineStr">
        <is>
          <t>Aria Gonzalez</t>
        </is>
      </c>
      <c r="B249" s="32" t="inlineStr">
        <is>
          <t>Mrs. Novak</t>
        </is>
      </c>
      <c r="C249" s="36" t="inlineStr">
        <is>
          <t>4</t>
        </is>
      </c>
      <c r="D249" s="37">
        <f>IF(A249="","",SUMIFS(Donations!$D:$D,Donations!$G:$G,A249))</f>
        <v/>
      </c>
      <c r="E249" s="35">
        <f>IF(A249="","",IF(D249&gt;0,"Yes",""))</f>
        <v/>
      </c>
      <c r="F249" s="38">
        <f>IF($A249="","",SUMIFS(Donations!$D:$D,Donations!$G:$G,$A249,Donations!$F:$F,"&gt;="&amp;'Daily Challenges'!$C$7,Donations!$F:$F,"&lt;="&amp;'Daily Challenges'!$D$7))</f>
        <v/>
      </c>
      <c r="G249" s="38">
        <f>IF($A249="","",SUMIFS(Donations!$D:$D,Donations!$G:$G,$A249,Donations!$F:$F,"&gt;="&amp;'Daily Challenges'!$C$8,Donations!$F:$F,"&lt;="&amp;'Daily Challenges'!$D$8))</f>
        <v/>
      </c>
      <c r="H249" s="38">
        <f>IF($A249="","",SUMIFS(Donations!$D:$D,Donations!$G:$G,$A249,Donations!$F:$F,"&lt;="&amp;'Daily Challenges'!$D$9))</f>
        <v/>
      </c>
      <c r="I249" s="38">
        <f>IF($A249="","",SUMIFS(Donations!$D:$D,Donations!$G:$G,$A249,Donations!$F:$F,"&gt;="&amp;'Daily Challenges'!$C$10,Donations!$F:$F,"&lt;="&amp;'Daily Challenges'!$D$10))</f>
        <v/>
      </c>
      <c r="J249" s="38">
        <f>IF($A249="","",SUMIFS(Donations!$D:$D,Donations!$G:$G,$A249,Donations!$F:$F,"&lt;="&amp;'Daily Challenges'!$D$12))</f>
        <v/>
      </c>
    </row>
    <row r="250">
      <c r="A250" s="32" t="inlineStr">
        <is>
          <t>Olivia Martinez</t>
        </is>
      </c>
      <c r="B250" s="32" t="inlineStr">
        <is>
          <t>Mrs. Novak</t>
        </is>
      </c>
      <c r="C250" s="36" t="inlineStr">
        <is>
          <t>4</t>
        </is>
      </c>
      <c r="D250" s="37">
        <f>IF(A250="","",SUMIFS(Donations!$D:$D,Donations!$G:$G,A250))</f>
        <v/>
      </c>
      <c r="E250" s="35">
        <f>IF(A250="","",IF(D250&gt;0,"Yes",""))</f>
        <v/>
      </c>
      <c r="F250" s="38">
        <f>IF($A250="","",SUMIFS(Donations!$D:$D,Donations!$G:$G,$A250,Donations!$F:$F,"&gt;="&amp;'Daily Challenges'!$C$7,Donations!$F:$F,"&lt;="&amp;'Daily Challenges'!$D$7))</f>
        <v/>
      </c>
      <c r="G250" s="38">
        <f>IF($A250="","",SUMIFS(Donations!$D:$D,Donations!$G:$G,$A250,Donations!$F:$F,"&gt;="&amp;'Daily Challenges'!$C$8,Donations!$F:$F,"&lt;="&amp;'Daily Challenges'!$D$8))</f>
        <v/>
      </c>
      <c r="H250" s="38">
        <f>IF($A250="","",SUMIFS(Donations!$D:$D,Donations!$G:$G,$A250,Donations!$F:$F,"&lt;="&amp;'Daily Challenges'!$D$9))</f>
        <v/>
      </c>
      <c r="I250" s="38">
        <f>IF($A250="","",SUMIFS(Donations!$D:$D,Donations!$G:$G,$A250,Donations!$F:$F,"&gt;="&amp;'Daily Challenges'!$C$10,Donations!$F:$F,"&lt;="&amp;'Daily Challenges'!$D$10))</f>
        <v/>
      </c>
      <c r="J250" s="38">
        <f>IF($A250="","",SUMIFS(Donations!$D:$D,Donations!$G:$G,$A250,Donations!$F:$F,"&lt;="&amp;'Daily Challenges'!$D$12))</f>
        <v/>
      </c>
    </row>
    <row r="251">
      <c r="A251" s="32" t="inlineStr">
        <is>
          <t>Diego Patel</t>
        </is>
      </c>
      <c r="B251" s="32" t="inlineStr">
        <is>
          <t>Mrs. Novak</t>
        </is>
      </c>
      <c r="C251" s="36" t="inlineStr">
        <is>
          <t>4</t>
        </is>
      </c>
      <c r="D251" s="37">
        <f>IF(A251="","",SUMIFS(Donations!$D:$D,Donations!$G:$G,A251))</f>
        <v/>
      </c>
      <c r="E251" s="35">
        <f>IF(A251="","",IF(D251&gt;0,"Yes",""))</f>
        <v/>
      </c>
      <c r="F251" s="38">
        <f>IF($A251="","",SUMIFS(Donations!$D:$D,Donations!$G:$G,$A251,Donations!$F:$F,"&gt;="&amp;'Daily Challenges'!$C$7,Donations!$F:$F,"&lt;="&amp;'Daily Challenges'!$D$7))</f>
        <v/>
      </c>
      <c r="G251" s="38">
        <f>IF($A251="","",SUMIFS(Donations!$D:$D,Donations!$G:$G,$A251,Donations!$F:$F,"&gt;="&amp;'Daily Challenges'!$C$8,Donations!$F:$F,"&lt;="&amp;'Daily Challenges'!$D$8))</f>
        <v/>
      </c>
      <c r="H251" s="38">
        <f>IF($A251="","",SUMIFS(Donations!$D:$D,Donations!$G:$G,$A251,Donations!$F:$F,"&lt;="&amp;'Daily Challenges'!$D$9))</f>
        <v/>
      </c>
      <c r="I251" s="38">
        <f>IF($A251="","",SUMIFS(Donations!$D:$D,Donations!$G:$G,$A251,Donations!$F:$F,"&gt;="&amp;'Daily Challenges'!$C$10,Donations!$F:$F,"&lt;="&amp;'Daily Challenges'!$D$10))</f>
        <v/>
      </c>
      <c r="J251" s="38">
        <f>IF($A251="","",SUMIFS(Donations!$D:$D,Donations!$G:$G,$A251,Donations!$F:$F,"&lt;="&amp;'Daily Challenges'!$D$12))</f>
        <v/>
      </c>
    </row>
    <row r="252">
      <c r="A252" s="32" t="inlineStr">
        <is>
          <t>Gabriel Smith</t>
        </is>
      </c>
      <c r="B252" s="32" t="inlineStr">
        <is>
          <t>Mrs. Novak</t>
        </is>
      </c>
      <c r="C252" s="36" t="inlineStr">
        <is>
          <t>4</t>
        </is>
      </c>
      <c r="D252" s="37">
        <f>IF(A252="","",SUMIFS(Donations!$D:$D,Donations!$G:$G,A252))</f>
        <v/>
      </c>
      <c r="E252" s="35">
        <f>IF(A252="","",IF(D252&gt;0,"Yes",""))</f>
        <v/>
      </c>
      <c r="F252" s="38">
        <f>IF($A252="","",SUMIFS(Donations!$D:$D,Donations!$G:$G,$A252,Donations!$F:$F,"&gt;="&amp;'Daily Challenges'!$C$7,Donations!$F:$F,"&lt;="&amp;'Daily Challenges'!$D$7))</f>
        <v/>
      </c>
      <c r="G252" s="38">
        <f>IF($A252="","",SUMIFS(Donations!$D:$D,Donations!$G:$G,$A252,Donations!$F:$F,"&gt;="&amp;'Daily Challenges'!$C$8,Donations!$F:$F,"&lt;="&amp;'Daily Challenges'!$D$8))</f>
        <v/>
      </c>
      <c r="H252" s="38">
        <f>IF($A252="","",SUMIFS(Donations!$D:$D,Donations!$G:$G,$A252,Donations!$F:$F,"&lt;="&amp;'Daily Challenges'!$D$9))</f>
        <v/>
      </c>
      <c r="I252" s="38">
        <f>IF($A252="","",SUMIFS(Donations!$D:$D,Donations!$G:$G,$A252,Donations!$F:$F,"&gt;="&amp;'Daily Challenges'!$C$10,Donations!$F:$F,"&lt;="&amp;'Daily Challenges'!$D$10))</f>
        <v/>
      </c>
      <c r="J252" s="38">
        <f>IF($A252="","",SUMIFS(Donations!$D:$D,Donations!$G:$G,$A252,Donations!$F:$F,"&lt;="&amp;'Daily Challenges'!$D$12))</f>
        <v/>
      </c>
    </row>
    <row r="253">
      <c r="A253" s="32" t="inlineStr">
        <is>
          <t>Gabriel Cruz</t>
        </is>
      </c>
      <c r="B253" s="32" t="inlineStr">
        <is>
          <t>Mrs. Novak</t>
        </is>
      </c>
      <c r="C253" s="36" t="inlineStr">
        <is>
          <t>4</t>
        </is>
      </c>
      <c r="D253" s="37">
        <f>IF(A253="","",SUMIFS(Donations!$D:$D,Donations!$G:$G,A253))</f>
        <v/>
      </c>
      <c r="E253" s="35">
        <f>IF(A253="","",IF(D253&gt;0,"Yes",""))</f>
        <v/>
      </c>
      <c r="F253" s="38">
        <f>IF($A253="","",SUMIFS(Donations!$D:$D,Donations!$G:$G,$A253,Donations!$F:$F,"&gt;="&amp;'Daily Challenges'!$C$7,Donations!$F:$F,"&lt;="&amp;'Daily Challenges'!$D$7))</f>
        <v/>
      </c>
      <c r="G253" s="38">
        <f>IF($A253="","",SUMIFS(Donations!$D:$D,Donations!$G:$G,$A253,Donations!$F:$F,"&gt;="&amp;'Daily Challenges'!$C$8,Donations!$F:$F,"&lt;="&amp;'Daily Challenges'!$D$8))</f>
        <v/>
      </c>
      <c r="H253" s="38">
        <f>IF($A253="","",SUMIFS(Donations!$D:$D,Donations!$G:$G,$A253,Donations!$F:$F,"&lt;="&amp;'Daily Challenges'!$D$9))</f>
        <v/>
      </c>
      <c r="I253" s="38">
        <f>IF($A253="","",SUMIFS(Donations!$D:$D,Donations!$G:$G,$A253,Donations!$F:$F,"&gt;="&amp;'Daily Challenges'!$C$10,Donations!$F:$F,"&lt;="&amp;'Daily Challenges'!$D$10))</f>
        <v/>
      </c>
      <c r="J253" s="38">
        <f>IF($A253="","",SUMIFS(Donations!$D:$D,Donations!$G:$G,$A253,Donations!$F:$F,"&lt;="&amp;'Daily Challenges'!$D$12))</f>
        <v/>
      </c>
    </row>
    <row r="254">
      <c r="A254" s="32" t="inlineStr">
        <is>
          <t>Elijah Murphy</t>
        </is>
      </c>
      <c r="B254" s="32" t="inlineStr">
        <is>
          <t>Mrs. Novak</t>
        </is>
      </c>
      <c r="C254" s="36" t="inlineStr">
        <is>
          <t>4</t>
        </is>
      </c>
      <c r="D254" s="37">
        <f>IF(A254="","",SUMIFS(Donations!$D:$D,Donations!$G:$G,A254))</f>
        <v/>
      </c>
      <c r="E254" s="35">
        <f>IF(A254="","",IF(D254&gt;0,"Yes",""))</f>
        <v/>
      </c>
      <c r="F254" s="38">
        <f>IF($A254="","",SUMIFS(Donations!$D:$D,Donations!$G:$G,$A254,Donations!$F:$F,"&gt;="&amp;'Daily Challenges'!$C$7,Donations!$F:$F,"&lt;="&amp;'Daily Challenges'!$D$7))</f>
        <v/>
      </c>
      <c r="G254" s="38">
        <f>IF($A254="","",SUMIFS(Donations!$D:$D,Donations!$G:$G,$A254,Donations!$F:$F,"&gt;="&amp;'Daily Challenges'!$C$8,Donations!$F:$F,"&lt;="&amp;'Daily Challenges'!$D$8))</f>
        <v/>
      </c>
      <c r="H254" s="38">
        <f>IF($A254="","",SUMIFS(Donations!$D:$D,Donations!$G:$G,$A254,Donations!$F:$F,"&lt;="&amp;'Daily Challenges'!$D$9))</f>
        <v/>
      </c>
      <c r="I254" s="38">
        <f>IF($A254="","",SUMIFS(Donations!$D:$D,Donations!$G:$G,$A254,Donations!$F:$F,"&gt;="&amp;'Daily Challenges'!$C$10,Donations!$F:$F,"&lt;="&amp;'Daily Challenges'!$D$10))</f>
        <v/>
      </c>
      <c r="J254" s="38">
        <f>IF($A254="","",SUMIFS(Donations!$D:$D,Donations!$G:$G,$A254,Donations!$F:$F,"&lt;="&amp;'Daily Challenges'!$D$12))</f>
        <v/>
      </c>
    </row>
    <row r="255">
      <c r="A255" s="32" t="inlineStr">
        <is>
          <t>Nicolas Rivera</t>
        </is>
      </c>
      <c r="B255" s="32" t="inlineStr">
        <is>
          <t>Mrs. Novak</t>
        </is>
      </c>
      <c r="C255" s="36" t="inlineStr">
        <is>
          <t>4</t>
        </is>
      </c>
      <c r="D255" s="37">
        <f>IF(A255="","",SUMIFS(Donations!$D:$D,Donations!$G:$G,A255))</f>
        <v/>
      </c>
      <c r="E255" s="35">
        <f>IF(A255="","",IF(D255&gt;0,"Yes",""))</f>
        <v/>
      </c>
      <c r="F255" s="38">
        <f>IF($A255="","",SUMIFS(Donations!$D:$D,Donations!$G:$G,$A255,Donations!$F:$F,"&gt;="&amp;'Daily Challenges'!$C$7,Donations!$F:$F,"&lt;="&amp;'Daily Challenges'!$D$7))</f>
        <v/>
      </c>
      <c r="G255" s="38">
        <f>IF($A255="","",SUMIFS(Donations!$D:$D,Donations!$G:$G,$A255,Donations!$F:$F,"&gt;="&amp;'Daily Challenges'!$C$8,Donations!$F:$F,"&lt;="&amp;'Daily Challenges'!$D$8))</f>
        <v/>
      </c>
      <c r="H255" s="38">
        <f>IF($A255="","",SUMIFS(Donations!$D:$D,Donations!$G:$G,$A255,Donations!$F:$F,"&lt;="&amp;'Daily Challenges'!$D$9))</f>
        <v/>
      </c>
      <c r="I255" s="38">
        <f>IF($A255="","",SUMIFS(Donations!$D:$D,Donations!$G:$G,$A255,Donations!$F:$F,"&gt;="&amp;'Daily Challenges'!$C$10,Donations!$F:$F,"&lt;="&amp;'Daily Challenges'!$D$10))</f>
        <v/>
      </c>
      <c r="J255" s="38">
        <f>IF($A255="","",SUMIFS(Donations!$D:$D,Donations!$G:$G,$A255,Donations!$F:$F,"&lt;="&amp;'Daily Challenges'!$D$12))</f>
        <v/>
      </c>
    </row>
    <row r="256">
      <c r="A256" s="32" t="inlineStr">
        <is>
          <t>Evelyn Nguyen</t>
        </is>
      </c>
      <c r="B256" s="32" t="inlineStr">
        <is>
          <t>Mrs. Novak</t>
        </is>
      </c>
      <c r="C256" s="36" t="inlineStr">
        <is>
          <t>4</t>
        </is>
      </c>
      <c r="D256" s="37">
        <f>IF(A256="","",SUMIFS(Donations!$D:$D,Donations!$G:$G,A256))</f>
        <v/>
      </c>
      <c r="E256" s="35">
        <f>IF(A256="","",IF(D256&gt;0,"Yes",""))</f>
        <v/>
      </c>
      <c r="F256" s="38">
        <f>IF($A256="","",SUMIFS(Donations!$D:$D,Donations!$G:$G,$A256,Donations!$F:$F,"&gt;="&amp;'Daily Challenges'!$C$7,Donations!$F:$F,"&lt;="&amp;'Daily Challenges'!$D$7))</f>
        <v/>
      </c>
      <c r="G256" s="38">
        <f>IF($A256="","",SUMIFS(Donations!$D:$D,Donations!$G:$G,$A256,Donations!$F:$F,"&gt;="&amp;'Daily Challenges'!$C$8,Donations!$F:$F,"&lt;="&amp;'Daily Challenges'!$D$8))</f>
        <v/>
      </c>
      <c r="H256" s="38">
        <f>IF($A256="","",SUMIFS(Donations!$D:$D,Donations!$G:$G,$A256,Donations!$F:$F,"&lt;="&amp;'Daily Challenges'!$D$9))</f>
        <v/>
      </c>
      <c r="I256" s="38">
        <f>IF($A256="","",SUMIFS(Donations!$D:$D,Donations!$G:$G,$A256,Donations!$F:$F,"&gt;="&amp;'Daily Challenges'!$C$10,Donations!$F:$F,"&lt;="&amp;'Daily Challenges'!$D$10))</f>
        <v/>
      </c>
      <c r="J256" s="38">
        <f>IF($A256="","",SUMIFS(Donations!$D:$D,Donations!$G:$G,$A256,Donations!$F:$F,"&lt;="&amp;'Daily Challenges'!$D$12))</f>
        <v/>
      </c>
    </row>
    <row r="257">
      <c r="A257" s="32" t="inlineStr">
        <is>
          <t>Valentina Smith</t>
        </is>
      </c>
      <c r="B257" s="32" t="inlineStr">
        <is>
          <t>Mrs. Novak</t>
        </is>
      </c>
      <c r="C257" s="36" t="inlineStr">
        <is>
          <t>4</t>
        </is>
      </c>
      <c r="D257" s="37">
        <f>IF(A257="","",SUMIFS(Donations!$D:$D,Donations!$G:$G,A257))</f>
        <v/>
      </c>
      <c r="E257" s="35">
        <f>IF(A257="","",IF(D257&gt;0,"Yes",""))</f>
        <v/>
      </c>
      <c r="F257" s="38">
        <f>IF($A257="","",SUMIFS(Donations!$D:$D,Donations!$G:$G,$A257,Donations!$F:$F,"&gt;="&amp;'Daily Challenges'!$C$7,Donations!$F:$F,"&lt;="&amp;'Daily Challenges'!$D$7))</f>
        <v/>
      </c>
      <c r="G257" s="38">
        <f>IF($A257="","",SUMIFS(Donations!$D:$D,Donations!$G:$G,$A257,Donations!$F:$F,"&gt;="&amp;'Daily Challenges'!$C$8,Donations!$F:$F,"&lt;="&amp;'Daily Challenges'!$D$8))</f>
        <v/>
      </c>
      <c r="H257" s="38">
        <f>IF($A257="","",SUMIFS(Donations!$D:$D,Donations!$G:$G,$A257,Donations!$F:$F,"&lt;="&amp;'Daily Challenges'!$D$9))</f>
        <v/>
      </c>
      <c r="I257" s="38">
        <f>IF($A257="","",SUMIFS(Donations!$D:$D,Donations!$G:$G,$A257,Donations!$F:$F,"&gt;="&amp;'Daily Challenges'!$C$10,Donations!$F:$F,"&lt;="&amp;'Daily Challenges'!$D$10))</f>
        <v/>
      </c>
      <c r="J257" s="38">
        <f>IF($A257="","",SUMIFS(Donations!$D:$D,Donations!$G:$G,$A257,Donations!$F:$F,"&lt;="&amp;'Daily Challenges'!$D$12))</f>
        <v/>
      </c>
    </row>
    <row r="258">
      <c r="A258" s="32" t="inlineStr">
        <is>
          <t>Chloe Gomez</t>
        </is>
      </c>
      <c r="B258" s="32" t="inlineStr">
        <is>
          <t>Mrs. Novak</t>
        </is>
      </c>
      <c r="C258" s="36" t="inlineStr">
        <is>
          <t>4</t>
        </is>
      </c>
      <c r="D258" s="37">
        <f>IF(A258="","",SUMIFS(Donations!$D:$D,Donations!$G:$G,A258))</f>
        <v/>
      </c>
      <c r="E258" s="35">
        <f>IF(A258="","",IF(D258&gt;0,"Yes",""))</f>
        <v/>
      </c>
      <c r="F258" s="38">
        <f>IF($A258="","",SUMIFS(Donations!$D:$D,Donations!$G:$G,$A258,Donations!$F:$F,"&gt;="&amp;'Daily Challenges'!$C$7,Donations!$F:$F,"&lt;="&amp;'Daily Challenges'!$D$7))</f>
        <v/>
      </c>
      <c r="G258" s="38">
        <f>IF($A258="","",SUMIFS(Donations!$D:$D,Donations!$G:$G,$A258,Donations!$F:$F,"&gt;="&amp;'Daily Challenges'!$C$8,Donations!$F:$F,"&lt;="&amp;'Daily Challenges'!$D$8))</f>
        <v/>
      </c>
      <c r="H258" s="38">
        <f>IF($A258="","",SUMIFS(Donations!$D:$D,Donations!$G:$G,$A258,Donations!$F:$F,"&lt;="&amp;'Daily Challenges'!$D$9))</f>
        <v/>
      </c>
      <c r="I258" s="38">
        <f>IF($A258="","",SUMIFS(Donations!$D:$D,Donations!$G:$G,$A258,Donations!$F:$F,"&gt;="&amp;'Daily Challenges'!$C$10,Donations!$F:$F,"&lt;="&amp;'Daily Challenges'!$D$10))</f>
        <v/>
      </c>
      <c r="J258" s="38">
        <f>IF($A258="","",SUMIFS(Donations!$D:$D,Donations!$G:$G,$A258,Donations!$F:$F,"&lt;="&amp;'Daily Challenges'!$D$12))</f>
        <v/>
      </c>
    </row>
    <row r="259">
      <c r="A259" s="32" t="inlineStr">
        <is>
          <t>Nicolas Cruz</t>
        </is>
      </c>
      <c r="B259" s="32" t="inlineStr">
        <is>
          <t>Mrs. Novak</t>
        </is>
      </c>
      <c r="C259" s="36" t="inlineStr">
        <is>
          <t>4</t>
        </is>
      </c>
      <c r="D259" s="37">
        <f>IF(A259="","",SUMIFS(Donations!$D:$D,Donations!$G:$G,A259))</f>
        <v/>
      </c>
      <c r="E259" s="35">
        <f>IF(A259="","",IF(D259&gt;0,"Yes",""))</f>
        <v/>
      </c>
      <c r="F259" s="38">
        <f>IF($A259="","",SUMIFS(Donations!$D:$D,Donations!$G:$G,$A259,Donations!$F:$F,"&gt;="&amp;'Daily Challenges'!$C$7,Donations!$F:$F,"&lt;="&amp;'Daily Challenges'!$D$7))</f>
        <v/>
      </c>
      <c r="G259" s="38">
        <f>IF($A259="","",SUMIFS(Donations!$D:$D,Donations!$G:$G,$A259,Donations!$F:$F,"&gt;="&amp;'Daily Challenges'!$C$8,Donations!$F:$F,"&lt;="&amp;'Daily Challenges'!$D$8))</f>
        <v/>
      </c>
      <c r="H259" s="38">
        <f>IF($A259="","",SUMIFS(Donations!$D:$D,Donations!$G:$G,$A259,Donations!$F:$F,"&lt;="&amp;'Daily Challenges'!$D$9))</f>
        <v/>
      </c>
      <c r="I259" s="38">
        <f>IF($A259="","",SUMIFS(Donations!$D:$D,Donations!$G:$G,$A259,Donations!$F:$F,"&gt;="&amp;'Daily Challenges'!$C$10,Donations!$F:$F,"&lt;="&amp;'Daily Challenges'!$D$10))</f>
        <v/>
      </c>
      <c r="J259" s="38">
        <f>IF($A259="","",SUMIFS(Donations!$D:$D,Donations!$G:$G,$A259,Donations!$F:$F,"&lt;="&amp;'Daily Challenges'!$D$12))</f>
        <v/>
      </c>
    </row>
    <row r="260">
      <c r="A260" s="32" t="inlineStr">
        <is>
          <t>Thomas Brown</t>
        </is>
      </c>
      <c r="B260" s="32" t="inlineStr">
        <is>
          <t>Mrs. Novak</t>
        </is>
      </c>
      <c r="C260" s="36" t="inlineStr">
        <is>
          <t>4</t>
        </is>
      </c>
      <c r="D260" s="37">
        <f>IF(A260="","",SUMIFS(Donations!$D:$D,Donations!$G:$G,A260))</f>
        <v/>
      </c>
      <c r="E260" s="35">
        <f>IF(A260="","",IF(D260&gt;0,"Yes",""))</f>
        <v/>
      </c>
      <c r="F260" s="38">
        <f>IF($A260="","",SUMIFS(Donations!$D:$D,Donations!$G:$G,$A260,Donations!$F:$F,"&gt;="&amp;'Daily Challenges'!$C$7,Donations!$F:$F,"&lt;="&amp;'Daily Challenges'!$D$7))</f>
        <v/>
      </c>
      <c r="G260" s="38">
        <f>IF($A260="","",SUMIFS(Donations!$D:$D,Donations!$G:$G,$A260,Donations!$F:$F,"&gt;="&amp;'Daily Challenges'!$C$8,Donations!$F:$F,"&lt;="&amp;'Daily Challenges'!$D$8))</f>
        <v/>
      </c>
      <c r="H260" s="38">
        <f>IF($A260="","",SUMIFS(Donations!$D:$D,Donations!$G:$G,$A260,Donations!$F:$F,"&lt;="&amp;'Daily Challenges'!$D$9))</f>
        <v/>
      </c>
      <c r="I260" s="38">
        <f>IF($A260="","",SUMIFS(Donations!$D:$D,Donations!$G:$G,$A260,Donations!$F:$F,"&gt;="&amp;'Daily Challenges'!$C$10,Donations!$F:$F,"&lt;="&amp;'Daily Challenges'!$D$10))</f>
        <v/>
      </c>
      <c r="J260" s="38">
        <f>IF($A260="","",SUMIFS(Donations!$D:$D,Donations!$G:$G,$A260,Donations!$F:$F,"&lt;="&amp;'Daily Challenges'!$D$12))</f>
        <v/>
      </c>
    </row>
    <row r="261">
      <c r="A261" s="32" t="inlineStr">
        <is>
          <t>Luna Kim</t>
        </is>
      </c>
      <c r="B261" s="32" t="inlineStr">
        <is>
          <t>Mrs. Novak</t>
        </is>
      </c>
      <c r="C261" s="36" t="inlineStr">
        <is>
          <t>4</t>
        </is>
      </c>
      <c r="D261" s="37">
        <f>IF(A261="","",SUMIFS(Donations!$D:$D,Donations!$G:$G,A261))</f>
        <v/>
      </c>
      <c r="E261" s="35">
        <f>IF(A261="","",IF(D261&gt;0,"Yes",""))</f>
        <v/>
      </c>
      <c r="F261" s="38">
        <f>IF($A261="","",SUMIFS(Donations!$D:$D,Donations!$G:$G,$A261,Donations!$F:$F,"&gt;="&amp;'Daily Challenges'!$C$7,Donations!$F:$F,"&lt;="&amp;'Daily Challenges'!$D$7))</f>
        <v/>
      </c>
      <c r="G261" s="38">
        <f>IF($A261="","",SUMIFS(Donations!$D:$D,Donations!$G:$G,$A261,Donations!$F:$F,"&gt;="&amp;'Daily Challenges'!$C$8,Donations!$F:$F,"&lt;="&amp;'Daily Challenges'!$D$8))</f>
        <v/>
      </c>
      <c r="H261" s="38">
        <f>IF($A261="","",SUMIFS(Donations!$D:$D,Donations!$G:$G,$A261,Donations!$F:$F,"&lt;="&amp;'Daily Challenges'!$D$9))</f>
        <v/>
      </c>
      <c r="I261" s="38">
        <f>IF($A261="","",SUMIFS(Donations!$D:$D,Donations!$G:$G,$A261,Donations!$F:$F,"&gt;="&amp;'Daily Challenges'!$C$10,Donations!$F:$F,"&lt;="&amp;'Daily Challenges'!$D$10))</f>
        <v/>
      </c>
      <c r="J261" s="38">
        <f>IF($A261="","",SUMIFS(Donations!$D:$D,Donations!$G:$G,$A261,Donations!$F:$F,"&lt;="&amp;'Daily Challenges'!$D$12))</f>
        <v/>
      </c>
    </row>
    <row r="262">
      <c r="A262" s="32" t="inlineStr">
        <is>
          <t>Adrian O'Brien</t>
        </is>
      </c>
      <c r="B262" s="32" t="inlineStr">
        <is>
          <t>Mrs. Novak</t>
        </is>
      </c>
      <c r="C262" s="36" t="inlineStr">
        <is>
          <t>4</t>
        </is>
      </c>
      <c r="D262" s="37">
        <f>IF(A262="","",SUMIFS(Donations!$D:$D,Donations!$G:$G,A262))</f>
        <v/>
      </c>
      <c r="E262" s="35">
        <f>IF(A262="","",IF(D262&gt;0,"Yes",""))</f>
        <v/>
      </c>
      <c r="F262" s="38">
        <f>IF($A262="","",SUMIFS(Donations!$D:$D,Donations!$G:$G,$A262,Donations!$F:$F,"&gt;="&amp;'Daily Challenges'!$C$7,Donations!$F:$F,"&lt;="&amp;'Daily Challenges'!$D$7))</f>
        <v/>
      </c>
      <c r="G262" s="38">
        <f>IF($A262="","",SUMIFS(Donations!$D:$D,Donations!$G:$G,$A262,Donations!$F:$F,"&gt;="&amp;'Daily Challenges'!$C$8,Donations!$F:$F,"&lt;="&amp;'Daily Challenges'!$D$8))</f>
        <v/>
      </c>
      <c r="H262" s="38">
        <f>IF($A262="","",SUMIFS(Donations!$D:$D,Donations!$G:$G,$A262,Donations!$F:$F,"&lt;="&amp;'Daily Challenges'!$D$9))</f>
        <v/>
      </c>
      <c r="I262" s="38">
        <f>IF($A262="","",SUMIFS(Donations!$D:$D,Donations!$G:$G,$A262,Donations!$F:$F,"&gt;="&amp;'Daily Challenges'!$C$10,Donations!$F:$F,"&lt;="&amp;'Daily Challenges'!$D$10))</f>
        <v/>
      </c>
      <c r="J262" s="38">
        <f>IF($A262="","",SUMIFS(Donations!$D:$D,Donations!$G:$G,$A262,Donations!$F:$F,"&lt;="&amp;'Daily Challenges'!$D$12))</f>
        <v/>
      </c>
    </row>
    <row r="263">
      <c r="A263" s="32" t="inlineStr">
        <is>
          <t>James Gutierrez</t>
        </is>
      </c>
      <c r="B263" s="32" t="inlineStr">
        <is>
          <t>Mrs. Novak</t>
        </is>
      </c>
      <c r="C263" s="36" t="inlineStr">
        <is>
          <t>4</t>
        </is>
      </c>
      <c r="D263" s="37">
        <f>IF(A263="","",SUMIFS(Donations!$D:$D,Donations!$G:$G,A263))</f>
        <v/>
      </c>
      <c r="E263" s="35">
        <f>IF(A263="","",IF(D263&gt;0,"Yes",""))</f>
        <v/>
      </c>
      <c r="F263" s="38">
        <f>IF($A263="","",SUMIFS(Donations!$D:$D,Donations!$G:$G,$A263,Donations!$F:$F,"&gt;="&amp;'Daily Challenges'!$C$7,Donations!$F:$F,"&lt;="&amp;'Daily Challenges'!$D$7))</f>
        <v/>
      </c>
      <c r="G263" s="38">
        <f>IF($A263="","",SUMIFS(Donations!$D:$D,Donations!$G:$G,$A263,Donations!$F:$F,"&gt;="&amp;'Daily Challenges'!$C$8,Donations!$F:$F,"&lt;="&amp;'Daily Challenges'!$D$8))</f>
        <v/>
      </c>
      <c r="H263" s="38">
        <f>IF($A263="","",SUMIFS(Donations!$D:$D,Donations!$G:$G,$A263,Donations!$F:$F,"&lt;="&amp;'Daily Challenges'!$D$9))</f>
        <v/>
      </c>
      <c r="I263" s="38">
        <f>IF($A263="","",SUMIFS(Donations!$D:$D,Donations!$G:$G,$A263,Donations!$F:$F,"&gt;="&amp;'Daily Challenges'!$C$10,Donations!$F:$F,"&lt;="&amp;'Daily Challenges'!$D$10))</f>
        <v/>
      </c>
      <c r="J263" s="38">
        <f>IF($A263="","",SUMIFS(Donations!$D:$D,Donations!$G:$G,$A263,Donations!$F:$F,"&lt;="&amp;'Daily Challenges'!$D$12))</f>
        <v/>
      </c>
    </row>
    <row r="264">
      <c r="A264" s="32" t="inlineStr">
        <is>
          <t>Joseph Walsh</t>
        </is>
      </c>
      <c r="B264" s="32" t="inlineStr">
        <is>
          <t>Mrs. Novak</t>
        </is>
      </c>
      <c r="C264" s="36" t="inlineStr">
        <is>
          <t>4</t>
        </is>
      </c>
      <c r="D264" s="37">
        <f>IF(A264="","",SUMIFS(Donations!$D:$D,Donations!$G:$G,A264))</f>
        <v/>
      </c>
      <c r="E264" s="35">
        <f>IF(A264="","",IF(D264&gt;0,"Yes",""))</f>
        <v/>
      </c>
      <c r="F264" s="38">
        <f>IF($A264="","",SUMIFS(Donations!$D:$D,Donations!$G:$G,$A264,Donations!$F:$F,"&gt;="&amp;'Daily Challenges'!$C$7,Donations!$F:$F,"&lt;="&amp;'Daily Challenges'!$D$7))</f>
        <v/>
      </c>
      <c r="G264" s="38">
        <f>IF($A264="","",SUMIFS(Donations!$D:$D,Donations!$G:$G,$A264,Donations!$F:$F,"&gt;="&amp;'Daily Challenges'!$C$8,Donations!$F:$F,"&lt;="&amp;'Daily Challenges'!$D$8))</f>
        <v/>
      </c>
      <c r="H264" s="38">
        <f>IF($A264="","",SUMIFS(Donations!$D:$D,Donations!$G:$G,$A264,Donations!$F:$F,"&lt;="&amp;'Daily Challenges'!$D$9))</f>
        <v/>
      </c>
      <c r="I264" s="38">
        <f>IF($A264="","",SUMIFS(Donations!$D:$D,Donations!$G:$G,$A264,Donations!$F:$F,"&gt;="&amp;'Daily Challenges'!$C$10,Donations!$F:$F,"&lt;="&amp;'Daily Challenges'!$D$10))</f>
        <v/>
      </c>
      <c r="J264" s="38">
        <f>IF($A264="","",SUMIFS(Donations!$D:$D,Donations!$G:$G,$A264,Donations!$F:$F,"&lt;="&amp;'Daily Challenges'!$D$12))</f>
        <v/>
      </c>
    </row>
    <row r="265">
      <c r="A265" s="32" t="inlineStr">
        <is>
          <t>Luna Johnson</t>
        </is>
      </c>
      <c r="B265" s="32" t="inlineStr">
        <is>
          <t>Mrs. Novak</t>
        </is>
      </c>
      <c r="C265" s="36" t="inlineStr">
        <is>
          <t>4</t>
        </is>
      </c>
      <c r="D265" s="37">
        <f>IF(A265="","",SUMIFS(Donations!$D:$D,Donations!$G:$G,A265))</f>
        <v/>
      </c>
      <c r="E265" s="35">
        <f>IF(A265="","",IF(D265&gt;0,"Yes",""))</f>
        <v/>
      </c>
      <c r="F265" s="38">
        <f>IF($A265="","",SUMIFS(Donations!$D:$D,Donations!$G:$G,$A265,Donations!$F:$F,"&gt;="&amp;'Daily Challenges'!$C$7,Donations!$F:$F,"&lt;="&amp;'Daily Challenges'!$D$7))</f>
        <v/>
      </c>
      <c r="G265" s="38">
        <f>IF($A265="","",SUMIFS(Donations!$D:$D,Donations!$G:$G,$A265,Donations!$F:$F,"&gt;="&amp;'Daily Challenges'!$C$8,Donations!$F:$F,"&lt;="&amp;'Daily Challenges'!$D$8))</f>
        <v/>
      </c>
      <c r="H265" s="38">
        <f>IF($A265="","",SUMIFS(Donations!$D:$D,Donations!$G:$G,$A265,Donations!$F:$F,"&lt;="&amp;'Daily Challenges'!$D$9))</f>
        <v/>
      </c>
      <c r="I265" s="38">
        <f>IF($A265="","",SUMIFS(Donations!$D:$D,Donations!$G:$G,$A265,Donations!$F:$F,"&gt;="&amp;'Daily Challenges'!$C$10,Donations!$F:$F,"&lt;="&amp;'Daily Challenges'!$D$10))</f>
        <v/>
      </c>
      <c r="J265" s="38">
        <f>IF($A265="","",SUMIFS(Donations!$D:$D,Donations!$G:$G,$A265,Donations!$F:$F,"&lt;="&amp;'Daily Challenges'!$D$12))</f>
        <v/>
      </c>
    </row>
    <row r="266">
      <c r="A266" s="32" t="inlineStr">
        <is>
          <t>Camila Johnson</t>
        </is>
      </c>
      <c r="B266" s="32" t="inlineStr">
        <is>
          <t>Mr. Okafor</t>
        </is>
      </c>
      <c r="C266" s="36" t="inlineStr">
        <is>
          <t>5</t>
        </is>
      </c>
      <c r="D266" s="37">
        <f>IF(A266="","",SUMIFS(Donations!$D:$D,Donations!$G:$G,A266))</f>
        <v/>
      </c>
      <c r="E266" s="35">
        <f>IF(A266="","",IF(D266&gt;0,"Yes",""))</f>
        <v/>
      </c>
      <c r="F266" s="38">
        <f>IF($A266="","",SUMIFS(Donations!$D:$D,Donations!$G:$G,$A266,Donations!$F:$F,"&gt;="&amp;'Daily Challenges'!$C$7,Donations!$F:$F,"&lt;="&amp;'Daily Challenges'!$D$7))</f>
        <v/>
      </c>
      <c r="G266" s="38">
        <f>IF($A266="","",SUMIFS(Donations!$D:$D,Donations!$G:$G,$A266,Donations!$F:$F,"&gt;="&amp;'Daily Challenges'!$C$8,Donations!$F:$F,"&lt;="&amp;'Daily Challenges'!$D$8))</f>
        <v/>
      </c>
      <c r="H266" s="38">
        <f>IF($A266="","",SUMIFS(Donations!$D:$D,Donations!$G:$G,$A266,Donations!$F:$F,"&lt;="&amp;'Daily Challenges'!$D$9))</f>
        <v/>
      </c>
      <c r="I266" s="38">
        <f>IF($A266="","",SUMIFS(Donations!$D:$D,Donations!$G:$G,$A266,Donations!$F:$F,"&gt;="&amp;'Daily Challenges'!$C$10,Donations!$F:$F,"&lt;="&amp;'Daily Challenges'!$D$10))</f>
        <v/>
      </c>
      <c r="J266" s="38">
        <f>IF($A266="","",SUMIFS(Donations!$D:$D,Donations!$G:$G,$A266,Donations!$F:$F,"&lt;="&amp;'Daily Challenges'!$D$12))</f>
        <v/>
      </c>
    </row>
    <row r="267">
      <c r="A267" s="32" t="inlineStr">
        <is>
          <t>David Cruz</t>
        </is>
      </c>
      <c r="B267" s="32" t="inlineStr">
        <is>
          <t>Mr. Okafor</t>
        </is>
      </c>
      <c r="C267" s="36" t="inlineStr">
        <is>
          <t>5</t>
        </is>
      </c>
      <c r="D267" s="37">
        <f>IF(A267="","",SUMIFS(Donations!$D:$D,Donations!$G:$G,A267))</f>
        <v/>
      </c>
      <c r="E267" s="35">
        <f>IF(A267="","",IF(D267&gt;0,"Yes",""))</f>
        <v/>
      </c>
      <c r="F267" s="38">
        <f>IF($A267="","",SUMIFS(Donations!$D:$D,Donations!$G:$G,$A267,Donations!$F:$F,"&gt;="&amp;'Daily Challenges'!$C$7,Donations!$F:$F,"&lt;="&amp;'Daily Challenges'!$D$7))</f>
        <v/>
      </c>
      <c r="G267" s="38">
        <f>IF($A267="","",SUMIFS(Donations!$D:$D,Donations!$G:$G,$A267,Donations!$F:$F,"&gt;="&amp;'Daily Challenges'!$C$8,Donations!$F:$F,"&lt;="&amp;'Daily Challenges'!$D$8))</f>
        <v/>
      </c>
      <c r="H267" s="38">
        <f>IF($A267="","",SUMIFS(Donations!$D:$D,Donations!$G:$G,$A267,Donations!$F:$F,"&lt;="&amp;'Daily Challenges'!$D$9))</f>
        <v/>
      </c>
      <c r="I267" s="38">
        <f>IF($A267="","",SUMIFS(Donations!$D:$D,Donations!$G:$G,$A267,Donations!$F:$F,"&gt;="&amp;'Daily Challenges'!$C$10,Donations!$F:$F,"&lt;="&amp;'Daily Challenges'!$D$10))</f>
        <v/>
      </c>
      <c r="J267" s="38">
        <f>IF($A267="","",SUMIFS(Donations!$D:$D,Donations!$G:$G,$A267,Donations!$F:$F,"&lt;="&amp;'Daily Challenges'!$D$12))</f>
        <v/>
      </c>
    </row>
    <row r="268">
      <c r="A268" s="32" t="inlineStr">
        <is>
          <t>Amelia Flores</t>
        </is>
      </c>
      <c r="B268" s="32" t="inlineStr">
        <is>
          <t>Mr. Okafor</t>
        </is>
      </c>
      <c r="C268" s="36" t="inlineStr">
        <is>
          <t>5</t>
        </is>
      </c>
      <c r="D268" s="37">
        <f>IF(A268="","",SUMIFS(Donations!$D:$D,Donations!$G:$G,A268))</f>
        <v/>
      </c>
      <c r="E268" s="35">
        <f>IF(A268="","",IF(D268&gt;0,"Yes",""))</f>
        <v/>
      </c>
      <c r="F268" s="38">
        <f>IF($A268="","",SUMIFS(Donations!$D:$D,Donations!$G:$G,$A268,Donations!$F:$F,"&gt;="&amp;'Daily Challenges'!$C$7,Donations!$F:$F,"&lt;="&amp;'Daily Challenges'!$D$7))</f>
        <v/>
      </c>
      <c r="G268" s="38">
        <f>IF($A268="","",SUMIFS(Donations!$D:$D,Donations!$G:$G,$A268,Donations!$F:$F,"&gt;="&amp;'Daily Challenges'!$C$8,Donations!$F:$F,"&lt;="&amp;'Daily Challenges'!$D$8))</f>
        <v/>
      </c>
      <c r="H268" s="38">
        <f>IF($A268="","",SUMIFS(Donations!$D:$D,Donations!$G:$G,$A268,Donations!$F:$F,"&lt;="&amp;'Daily Challenges'!$D$9))</f>
        <v/>
      </c>
      <c r="I268" s="38">
        <f>IF($A268="","",SUMIFS(Donations!$D:$D,Donations!$G:$G,$A268,Donations!$F:$F,"&gt;="&amp;'Daily Challenges'!$C$10,Donations!$F:$F,"&lt;="&amp;'Daily Challenges'!$D$10))</f>
        <v/>
      </c>
      <c r="J268" s="38">
        <f>IF($A268="","",SUMIFS(Donations!$D:$D,Donations!$G:$G,$A268,Donations!$F:$F,"&lt;="&amp;'Daily Challenges'!$D$12))</f>
        <v/>
      </c>
    </row>
    <row r="269">
      <c r="A269" s="32" t="inlineStr">
        <is>
          <t>Olivia Morales</t>
        </is>
      </c>
      <c r="B269" s="32" t="inlineStr">
        <is>
          <t>Mr. Okafor</t>
        </is>
      </c>
      <c r="C269" s="36" t="inlineStr">
        <is>
          <t>5</t>
        </is>
      </c>
      <c r="D269" s="37">
        <f>IF(A269="","",SUMIFS(Donations!$D:$D,Donations!$G:$G,A269))</f>
        <v/>
      </c>
      <c r="E269" s="35">
        <f>IF(A269="","",IF(D269&gt;0,"Yes",""))</f>
        <v/>
      </c>
      <c r="F269" s="38">
        <f>IF($A269="","",SUMIFS(Donations!$D:$D,Donations!$G:$G,$A269,Donations!$F:$F,"&gt;="&amp;'Daily Challenges'!$C$7,Donations!$F:$F,"&lt;="&amp;'Daily Challenges'!$D$7))</f>
        <v/>
      </c>
      <c r="G269" s="38">
        <f>IF($A269="","",SUMIFS(Donations!$D:$D,Donations!$G:$G,$A269,Donations!$F:$F,"&gt;="&amp;'Daily Challenges'!$C$8,Donations!$F:$F,"&lt;="&amp;'Daily Challenges'!$D$8))</f>
        <v/>
      </c>
      <c r="H269" s="38">
        <f>IF($A269="","",SUMIFS(Donations!$D:$D,Donations!$G:$G,$A269,Donations!$F:$F,"&lt;="&amp;'Daily Challenges'!$D$9))</f>
        <v/>
      </c>
      <c r="I269" s="38">
        <f>IF($A269="","",SUMIFS(Donations!$D:$D,Donations!$G:$G,$A269,Donations!$F:$F,"&gt;="&amp;'Daily Challenges'!$C$10,Donations!$F:$F,"&lt;="&amp;'Daily Challenges'!$D$10))</f>
        <v/>
      </c>
      <c r="J269" s="38">
        <f>IF($A269="","",SUMIFS(Donations!$D:$D,Donations!$G:$G,$A269,Donations!$F:$F,"&lt;="&amp;'Daily Challenges'!$D$12))</f>
        <v/>
      </c>
    </row>
    <row r="270">
      <c r="A270" s="32" t="inlineStr">
        <is>
          <t>Adrian Ortiz</t>
        </is>
      </c>
      <c r="B270" s="32" t="inlineStr">
        <is>
          <t>Mr. Okafor</t>
        </is>
      </c>
      <c r="C270" s="36" t="inlineStr">
        <is>
          <t>5</t>
        </is>
      </c>
      <c r="D270" s="37">
        <f>IF(A270="","",SUMIFS(Donations!$D:$D,Donations!$G:$G,A270))</f>
        <v/>
      </c>
      <c r="E270" s="35">
        <f>IF(A270="","",IF(D270&gt;0,"Yes",""))</f>
        <v/>
      </c>
      <c r="F270" s="38">
        <f>IF($A270="","",SUMIFS(Donations!$D:$D,Donations!$G:$G,$A270,Donations!$F:$F,"&gt;="&amp;'Daily Challenges'!$C$7,Donations!$F:$F,"&lt;="&amp;'Daily Challenges'!$D$7))</f>
        <v/>
      </c>
      <c r="G270" s="38">
        <f>IF($A270="","",SUMIFS(Donations!$D:$D,Donations!$G:$G,$A270,Donations!$F:$F,"&gt;="&amp;'Daily Challenges'!$C$8,Donations!$F:$F,"&lt;="&amp;'Daily Challenges'!$D$8))</f>
        <v/>
      </c>
      <c r="H270" s="38">
        <f>IF($A270="","",SUMIFS(Donations!$D:$D,Donations!$G:$G,$A270,Donations!$F:$F,"&lt;="&amp;'Daily Challenges'!$D$9))</f>
        <v/>
      </c>
      <c r="I270" s="38">
        <f>IF($A270="","",SUMIFS(Donations!$D:$D,Donations!$G:$G,$A270,Donations!$F:$F,"&gt;="&amp;'Daily Challenges'!$C$10,Donations!$F:$F,"&lt;="&amp;'Daily Challenges'!$D$10))</f>
        <v/>
      </c>
      <c r="J270" s="38">
        <f>IF($A270="","",SUMIFS(Donations!$D:$D,Donations!$G:$G,$A270,Donations!$F:$F,"&lt;="&amp;'Daily Challenges'!$D$12))</f>
        <v/>
      </c>
    </row>
    <row r="271">
      <c r="A271" s="32" t="inlineStr">
        <is>
          <t>Daniel Morales</t>
        </is>
      </c>
      <c r="B271" s="32" t="inlineStr">
        <is>
          <t>Mr. Okafor</t>
        </is>
      </c>
      <c r="C271" s="36" t="inlineStr">
        <is>
          <t>5</t>
        </is>
      </c>
      <c r="D271" s="37">
        <f>IF(A271="","",SUMIFS(Donations!$D:$D,Donations!$G:$G,A271))</f>
        <v/>
      </c>
      <c r="E271" s="35">
        <f>IF(A271="","",IF(D271&gt;0,"Yes",""))</f>
        <v/>
      </c>
      <c r="F271" s="38">
        <f>IF($A271="","",SUMIFS(Donations!$D:$D,Donations!$G:$G,$A271,Donations!$F:$F,"&gt;="&amp;'Daily Challenges'!$C$7,Donations!$F:$F,"&lt;="&amp;'Daily Challenges'!$D$7))</f>
        <v/>
      </c>
      <c r="G271" s="38">
        <f>IF($A271="","",SUMIFS(Donations!$D:$D,Donations!$G:$G,$A271,Donations!$F:$F,"&gt;="&amp;'Daily Challenges'!$C$8,Donations!$F:$F,"&lt;="&amp;'Daily Challenges'!$D$8))</f>
        <v/>
      </c>
      <c r="H271" s="38">
        <f>IF($A271="","",SUMIFS(Donations!$D:$D,Donations!$G:$G,$A271,Donations!$F:$F,"&lt;="&amp;'Daily Challenges'!$D$9))</f>
        <v/>
      </c>
      <c r="I271" s="38">
        <f>IF($A271="","",SUMIFS(Donations!$D:$D,Donations!$G:$G,$A271,Donations!$F:$F,"&gt;="&amp;'Daily Challenges'!$C$10,Donations!$F:$F,"&lt;="&amp;'Daily Challenges'!$D$10))</f>
        <v/>
      </c>
      <c r="J271" s="38">
        <f>IF($A271="","",SUMIFS(Donations!$D:$D,Donations!$G:$G,$A271,Donations!$F:$F,"&lt;="&amp;'Daily Challenges'!$D$12))</f>
        <v/>
      </c>
    </row>
    <row r="272">
      <c r="A272" s="32" t="inlineStr">
        <is>
          <t>Noah Ramirez</t>
        </is>
      </c>
      <c r="B272" s="32" t="inlineStr">
        <is>
          <t>Mr. Okafor</t>
        </is>
      </c>
      <c r="C272" s="36" t="inlineStr">
        <is>
          <t>5</t>
        </is>
      </c>
      <c r="D272" s="37">
        <f>IF(A272="","",SUMIFS(Donations!$D:$D,Donations!$G:$G,A272))</f>
        <v/>
      </c>
      <c r="E272" s="35">
        <f>IF(A272="","",IF(D272&gt;0,"Yes",""))</f>
        <v/>
      </c>
      <c r="F272" s="38">
        <f>IF($A272="","",SUMIFS(Donations!$D:$D,Donations!$G:$G,$A272,Donations!$F:$F,"&gt;="&amp;'Daily Challenges'!$C$7,Donations!$F:$F,"&lt;="&amp;'Daily Challenges'!$D$7))</f>
        <v/>
      </c>
      <c r="G272" s="38">
        <f>IF($A272="","",SUMIFS(Donations!$D:$D,Donations!$G:$G,$A272,Donations!$F:$F,"&gt;="&amp;'Daily Challenges'!$C$8,Donations!$F:$F,"&lt;="&amp;'Daily Challenges'!$D$8))</f>
        <v/>
      </c>
      <c r="H272" s="38">
        <f>IF($A272="","",SUMIFS(Donations!$D:$D,Donations!$G:$G,$A272,Donations!$F:$F,"&lt;="&amp;'Daily Challenges'!$D$9))</f>
        <v/>
      </c>
      <c r="I272" s="38">
        <f>IF($A272="","",SUMIFS(Donations!$D:$D,Donations!$G:$G,$A272,Donations!$F:$F,"&gt;="&amp;'Daily Challenges'!$C$10,Donations!$F:$F,"&lt;="&amp;'Daily Challenges'!$D$10))</f>
        <v/>
      </c>
      <c r="J272" s="38">
        <f>IF($A272="","",SUMIFS(Donations!$D:$D,Donations!$G:$G,$A272,Donations!$F:$F,"&lt;="&amp;'Daily Challenges'!$D$12))</f>
        <v/>
      </c>
    </row>
    <row r="273">
      <c r="A273" s="32" t="inlineStr">
        <is>
          <t>Joseph Flores</t>
        </is>
      </c>
      <c r="B273" s="32" t="inlineStr">
        <is>
          <t>Mr. Okafor</t>
        </is>
      </c>
      <c r="C273" s="36" t="inlineStr">
        <is>
          <t>5</t>
        </is>
      </c>
      <c r="D273" s="37">
        <f>IF(A273="","",SUMIFS(Donations!$D:$D,Donations!$G:$G,A273))</f>
        <v/>
      </c>
      <c r="E273" s="35">
        <f>IF(A273="","",IF(D273&gt;0,"Yes",""))</f>
        <v/>
      </c>
      <c r="F273" s="38">
        <f>IF($A273="","",SUMIFS(Donations!$D:$D,Donations!$G:$G,$A273,Donations!$F:$F,"&gt;="&amp;'Daily Challenges'!$C$7,Donations!$F:$F,"&lt;="&amp;'Daily Challenges'!$D$7))</f>
        <v/>
      </c>
      <c r="G273" s="38">
        <f>IF($A273="","",SUMIFS(Donations!$D:$D,Donations!$G:$G,$A273,Donations!$F:$F,"&gt;="&amp;'Daily Challenges'!$C$8,Donations!$F:$F,"&lt;="&amp;'Daily Challenges'!$D$8))</f>
        <v/>
      </c>
      <c r="H273" s="38">
        <f>IF($A273="","",SUMIFS(Donations!$D:$D,Donations!$G:$G,$A273,Donations!$F:$F,"&lt;="&amp;'Daily Challenges'!$D$9))</f>
        <v/>
      </c>
      <c r="I273" s="38">
        <f>IF($A273="","",SUMIFS(Donations!$D:$D,Donations!$G:$G,$A273,Donations!$F:$F,"&gt;="&amp;'Daily Challenges'!$C$10,Donations!$F:$F,"&lt;="&amp;'Daily Challenges'!$D$10))</f>
        <v/>
      </c>
      <c r="J273" s="38">
        <f>IF($A273="","",SUMIFS(Donations!$D:$D,Donations!$G:$G,$A273,Donations!$F:$F,"&lt;="&amp;'Daily Challenges'!$D$12))</f>
        <v/>
      </c>
    </row>
    <row r="274">
      <c r="A274" s="32" t="inlineStr">
        <is>
          <t>Grace Walsh</t>
        </is>
      </c>
      <c r="B274" s="32" t="inlineStr">
        <is>
          <t>Mr. Okafor</t>
        </is>
      </c>
      <c r="C274" s="36" t="inlineStr">
        <is>
          <t>5</t>
        </is>
      </c>
      <c r="D274" s="37">
        <f>IF(A274="","",SUMIFS(Donations!$D:$D,Donations!$G:$G,A274))</f>
        <v/>
      </c>
      <c r="E274" s="35">
        <f>IF(A274="","",IF(D274&gt;0,"Yes",""))</f>
        <v/>
      </c>
      <c r="F274" s="38">
        <f>IF($A274="","",SUMIFS(Donations!$D:$D,Donations!$G:$G,$A274,Donations!$F:$F,"&gt;="&amp;'Daily Challenges'!$C$7,Donations!$F:$F,"&lt;="&amp;'Daily Challenges'!$D$7))</f>
        <v/>
      </c>
      <c r="G274" s="38">
        <f>IF($A274="","",SUMIFS(Donations!$D:$D,Donations!$G:$G,$A274,Donations!$F:$F,"&gt;="&amp;'Daily Challenges'!$C$8,Donations!$F:$F,"&lt;="&amp;'Daily Challenges'!$D$8))</f>
        <v/>
      </c>
      <c r="H274" s="38">
        <f>IF($A274="","",SUMIFS(Donations!$D:$D,Donations!$G:$G,$A274,Donations!$F:$F,"&lt;="&amp;'Daily Challenges'!$D$9))</f>
        <v/>
      </c>
      <c r="I274" s="38">
        <f>IF($A274="","",SUMIFS(Donations!$D:$D,Donations!$G:$G,$A274,Donations!$F:$F,"&gt;="&amp;'Daily Challenges'!$C$10,Donations!$F:$F,"&lt;="&amp;'Daily Challenges'!$D$10))</f>
        <v/>
      </c>
      <c r="J274" s="38">
        <f>IF($A274="","",SUMIFS(Donations!$D:$D,Donations!$G:$G,$A274,Donations!$F:$F,"&lt;="&amp;'Daily Challenges'!$D$12))</f>
        <v/>
      </c>
    </row>
    <row r="275">
      <c r="A275" s="32" t="inlineStr">
        <is>
          <t>Chloe Torres</t>
        </is>
      </c>
      <c r="B275" s="32" t="inlineStr">
        <is>
          <t>Mr. Okafor</t>
        </is>
      </c>
      <c r="C275" s="36" t="inlineStr">
        <is>
          <t>5</t>
        </is>
      </c>
      <c r="D275" s="37">
        <f>IF(A275="","",SUMIFS(Donations!$D:$D,Donations!$G:$G,A275))</f>
        <v/>
      </c>
      <c r="E275" s="35">
        <f>IF(A275="","",IF(D275&gt;0,"Yes",""))</f>
        <v/>
      </c>
      <c r="F275" s="38">
        <f>IF($A275="","",SUMIFS(Donations!$D:$D,Donations!$G:$G,$A275,Donations!$F:$F,"&gt;="&amp;'Daily Challenges'!$C$7,Donations!$F:$F,"&lt;="&amp;'Daily Challenges'!$D$7))</f>
        <v/>
      </c>
      <c r="G275" s="38">
        <f>IF($A275="","",SUMIFS(Donations!$D:$D,Donations!$G:$G,$A275,Donations!$F:$F,"&gt;="&amp;'Daily Challenges'!$C$8,Donations!$F:$F,"&lt;="&amp;'Daily Challenges'!$D$8))</f>
        <v/>
      </c>
      <c r="H275" s="38">
        <f>IF($A275="","",SUMIFS(Donations!$D:$D,Donations!$G:$G,$A275,Donations!$F:$F,"&lt;="&amp;'Daily Challenges'!$D$9))</f>
        <v/>
      </c>
      <c r="I275" s="38">
        <f>IF($A275="","",SUMIFS(Donations!$D:$D,Donations!$G:$G,$A275,Donations!$F:$F,"&gt;="&amp;'Daily Challenges'!$C$10,Donations!$F:$F,"&lt;="&amp;'Daily Challenges'!$D$10))</f>
        <v/>
      </c>
      <c r="J275" s="38">
        <f>IF($A275="","",SUMIFS(Donations!$D:$D,Donations!$G:$G,$A275,Donations!$F:$F,"&lt;="&amp;'Daily Challenges'!$D$12))</f>
        <v/>
      </c>
    </row>
    <row r="276">
      <c r="A276" s="32" t="inlineStr">
        <is>
          <t>Liam Castillo</t>
        </is>
      </c>
      <c r="B276" s="32" t="inlineStr">
        <is>
          <t>Mr. Okafor</t>
        </is>
      </c>
      <c r="C276" s="36" t="inlineStr">
        <is>
          <t>5</t>
        </is>
      </c>
      <c r="D276" s="37">
        <f>IF(A276="","",SUMIFS(Donations!$D:$D,Donations!$G:$G,A276))</f>
        <v/>
      </c>
      <c r="E276" s="35">
        <f>IF(A276="","",IF(D276&gt;0,"Yes",""))</f>
        <v/>
      </c>
      <c r="F276" s="38">
        <f>IF($A276="","",SUMIFS(Donations!$D:$D,Donations!$G:$G,$A276,Donations!$F:$F,"&gt;="&amp;'Daily Challenges'!$C$7,Donations!$F:$F,"&lt;="&amp;'Daily Challenges'!$D$7))</f>
        <v/>
      </c>
      <c r="G276" s="38">
        <f>IF($A276="","",SUMIFS(Donations!$D:$D,Donations!$G:$G,$A276,Donations!$F:$F,"&gt;="&amp;'Daily Challenges'!$C$8,Donations!$F:$F,"&lt;="&amp;'Daily Challenges'!$D$8))</f>
        <v/>
      </c>
      <c r="H276" s="38">
        <f>IF($A276="","",SUMIFS(Donations!$D:$D,Donations!$G:$G,$A276,Donations!$F:$F,"&lt;="&amp;'Daily Challenges'!$D$9))</f>
        <v/>
      </c>
      <c r="I276" s="38">
        <f>IF($A276="","",SUMIFS(Donations!$D:$D,Donations!$G:$G,$A276,Donations!$F:$F,"&gt;="&amp;'Daily Challenges'!$C$10,Donations!$F:$F,"&lt;="&amp;'Daily Challenges'!$D$10))</f>
        <v/>
      </c>
      <c r="J276" s="38">
        <f>IF($A276="","",SUMIFS(Donations!$D:$D,Donations!$G:$G,$A276,Donations!$F:$F,"&lt;="&amp;'Daily Challenges'!$D$12))</f>
        <v/>
      </c>
    </row>
    <row r="277">
      <c r="A277" s="32" t="inlineStr">
        <is>
          <t>Ella Rodriguez</t>
        </is>
      </c>
      <c r="B277" s="32" t="inlineStr">
        <is>
          <t>Mr. Okafor</t>
        </is>
      </c>
      <c r="C277" s="36" t="inlineStr">
        <is>
          <t>5</t>
        </is>
      </c>
      <c r="D277" s="37">
        <f>IF(A277="","",SUMIFS(Donations!$D:$D,Donations!$G:$G,A277))</f>
        <v/>
      </c>
      <c r="E277" s="35">
        <f>IF(A277="","",IF(D277&gt;0,"Yes",""))</f>
        <v/>
      </c>
      <c r="F277" s="38">
        <f>IF($A277="","",SUMIFS(Donations!$D:$D,Donations!$G:$G,$A277,Donations!$F:$F,"&gt;="&amp;'Daily Challenges'!$C$7,Donations!$F:$F,"&lt;="&amp;'Daily Challenges'!$D$7))</f>
        <v/>
      </c>
      <c r="G277" s="38">
        <f>IF($A277="","",SUMIFS(Donations!$D:$D,Donations!$G:$G,$A277,Donations!$F:$F,"&gt;="&amp;'Daily Challenges'!$C$8,Donations!$F:$F,"&lt;="&amp;'Daily Challenges'!$D$8))</f>
        <v/>
      </c>
      <c r="H277" s="38">
        <f>IF($A277="","",SUMIFS(Donations!$D:$D,Donations!$G:$G,$A277,Donations!$F:$F,"&lt;="&amp;'Daily Challenges'!$D$9))</f>
        <v/>
      </c>
      <c r="I277" s="38">
        <f>IF($A277="","",SUMIFS(Donations!$D:$D,Donations!$G:$G,$A277,Donations!$F:$F,"&gt;="&amp;'Daily Challenges'!$C$10,Donations!$F:$F,"&lt;="&amp;'Daily Challenges'!$D$10))</f>
        <v/>
      </c>
      <c r="J277" s="38">
        <f>IF($A277="","",SUMIFS(Donations!$D:$D,Donations!$G:$G,$A277,Donations!$F:$F,"&lt;="&amp;'Daily Challenges'!$D$12))</f>
        <v/>
      </c>
    </row>
    <row r="278">
      <c r="A278" s="32" t="inlineStr">
        <is>
          <t>Samuel Diaz</t>
        </is>
      </c>
      <c r="B278" s="32" t="inlineStr">
        <is>
          <t>Mr. Okafor</t>
        </is>
      </c>
      <c r="C278" s="36" t="inlineStr">
        <is>
          <t>5</t>
        </is>
      </c>
      <c r="D278" s="37">
        <f>IF(A278="","",SUMIFS(Donations!$D:$D,Donations!$G:$G,A278))</f>
        <v/>
      </c>
      <c r="E278" s="35">
        <f>IF(A278="","",IF(D278&gt;0,"Yes",""))</f>
        <v/>
      </c>
      <c r="F278" s="38">
        <f>IF($A278="","",SUMIFS(Donations!$D:$D,Donations!$G:$G,$A278,Donations!$F:$F,"&gt;="&amp;'Daily Challenges'!$C$7,Donations!$F:$F,"&lt;="&amp;'Daily Challenges'!$D$7))</f>
        <v/>
      </c>
      <c r="G278" s="38">
        <f>IF($A278="","",SUMIFS(Donations!$D:$D,Donations!$G:$G,$A278,Donations!$F:$F,"&gt;="&amp;'Daily Challenges'!$C$8,Donations!$F:$F,"&lt;="&amp;'Daily Challenges'!$D$8))</f>
        <v/>
      </c>
      <c r="H278" s="38">
        <f>IF($A278="","",SUMIFS(Donations!$D:$D,Donations!$G:$G,$A278,Donations!$F:$F,"&lt;="&amp;'Daily Challenges'!$D$9))</f>
        <v/>
      </c>
      <c r="I278" s="38">
        <f>IF($A278="","",SUMIFS(Donations!$D:$D,Donations!$G:$G,$A278,Donations!$F:$F,"&gt;="&amp;'Daily Challenges'!$C$10,Donations!$F:$F,"&lt;="&amp;'Daily Challenges'!$D$10))</f>
        <v/>
      </c>
      <c r="J278" s="38">
        <f>IF($A278="","",SUMIFS(Donations!$D:$D,Donations!$G:$G,$A278,Donations!$F:$F,"&lt;="&amp;'Daily Challenges'!$D$12))</f>
        <v/>
      </c>
    </row>
    <row r="279">
      <c r="A279" s="32" t="inlineStr">
        <is>
          <t>Leo Brown</t>
        </is>
      </c>
      <c r="B279" s="32" t="inlineStr">
        <is>
          <t>Mr. Okafor</t>
        </is>
      </c>
      <c r="C279" s="36" t="inlineStr">
        <is>
          <t>5</t>
        </is>
      </c>
      <c r="D279" s="37">
        <f>IF(A279="","",SUMIFS(Donations!$D:$D,Donations!$G:$G,A279))</f>
        <v/>
      </c>
      <c r="E279" s="35">
        <f>IF(A279="","",IF(D279&gt;0,"Yes",""))</f>
        <v/>
      </c>
      <c r="F279" s="38">
        <f>IF($A279="","",SUMIFS(Donations!$D:$D,Donations!$G:$G,$A279,Donations!$F:$F,"&gt;="&amp;'Daily Challenges'!$C$7,Donations!$F:$F,"&lt;="&amp;'Daily Challenges'!$D$7))</f>
        <v/>
      </c>
      <c r="G279" s="38">
        <f>IF($A279="","",SUMIFS(Donations!$D:$D,Donations!$G:$G,$A279,Donations!$F:$F,"&gt;="&amp;'Daily Challenges'!$C$8,Donations!$F:$F,"&lt;="&amp;'Daily Challenges'!$D$8))</f>
        <v/>
      </c>
      <c r="H279" s="38">
        <f>IF($A279="","",SUMIFS(Donations!$D:$D,Donations!$G:$G,$A279,Donations!$F:$F,"&lt;="&amp;'Daily Challenges'!$D$9))</f>
        <v/>
      </c>
      <c r="I279" s="38">
        <f>IF($A279="","",SUMIFS(Donations!$D:$D,Donations!$G:$G,$A279,Donations!$F:$F,"&gt;="&amp;'Daily Challenges'!$C$10,Donations!$F:$F,"&lt;="&amp;'Daily Challenges'!$D$10))</f>
        <v/>
      </c>
      <c r="J279" s="38">
        <f>IF($A279="","",SUMIFS(Donations!$D:$D,Donations!$G:$G,$A279,Donations!$F:$F,"&lt;="&amp;'Daily Challenges'!$D$12))</f>
        <v/>
      </c>
    </row>
    <row r="280">
      <c r="A280" s="32" t="inlineStr">
        <is>
          <t>Evelyn Diaz</t>
        </is>
      </c>
      <c r="B280" s="32" t="inlineStr">
        <is>
          <t>Mr. Okafor</t>
        </is>
      </c>
      <c r="C280" s="36" t="inlineStr">
        <is>
          <t>5</t>
        </is>
      </c>
      <c r="D280" s="37">
        <f>IF(A280="","",SUMIFS(Donations!$D:$D,Donations!$G:$G,A280))</f>
        <v/>
      </c>
      <c r="E280" s="35">
        <f>IF(A280="","",IF(D280&gt;0,"Yes",""))</f>
        <v/>
      </c>
      <c r="F280" s="38">
        <f>IF($A280="","",SUMIFS(Donations!$D:$D,Donations!$G:$G,$A280,Donations!$F:$F,"&gt;="&amp;'Daily Challenges'!$C$7,Donations!$F:$F,"&lt;="&amp;'Daily Challenges'!$D$7))</f>
        <v/>
      </c>
      <c r="G280" s="38">
        <f>IF($A280="","",SUMIFS(Donations!$D:$D,Donations!$G:$G,$A280,Donations!$F:$F,"&gt;="&amp;'Daily Challenges'!$C$8,Donations!$F:$F,"&lt;="&amp;'Daily Challenges'!$D$8))</f>
        <v/>
      </c>
      <c r="H280" s="38">
        <f>IF($A280="","",SUMIFS(Donations!$D:$D,Donations!$G:$G,$A280,Donations!$F:$F,"&lt;="&amp;'Daily Challenges'!$D$9))</f>
        <v/>
      </c>
      <c r="I280" s="38">
        <f>IF($A280="","",SUMIFS(Donations!$D:$D,Donations!$G:$G,$A280,Donations!$F:$F,"&gt;="&amp;'Daily Challenges'!$C$10,Donations!$F:$F,"&lt;="&amp;'Daily Challenges'!$D$10))</f>
        <v/>
      </c>
      <c r="J280" s="38">
        <f>IF($A280="","",SUMIFS(Donations!$D:$D,Donations!$G:$G,$A280,Donations!$F:$F,"&lt;="&amp;'Daily Challenges'!$D$12))</f>
        <v/>
      </c>
    </row>
    <row r="281">
      <c r="A281" s="32" t="inlineStr">
        <is>
          <t>Lily Gomez</t>
        </is>
      </c>
      <c r="B281" s="32" t="inlineStr">
        <is>
          <t>Mr. Okafor</t>
        </is>
      </c>
      <c r="C281" s="36" t="inlineStr">
        <is>
          <t>5</t>
        </is>
      </c>
      <c r="D281" s="37">
        <f>IF(A281="","",SUMIFS(Donations!$D:$D,Donations!$G:$G,A281))</f>
        <v/>
      </c>
      <c r="E281" s="35">
        <f>IF(A281="","",IF(D281&gt;0,"Yes",""))</f>
        <v/>
      </c>
      <c r="F281" s="38">
        <f>IF($A281="","",SUMIFS(Donations!$D:$D,Donations!$G:$G,$A281,Donations!$F:$F,"&gt;="&amp;'Daily Challenges'!$C$7,Donations!$F:$F,"&lt;="&amp;'Daily Challenges'!$D$7))</f>
        <v/>
      </c>
      <c r="G281" s="38">
        <f>IF($A281="","",SUMIFS(Donations!$D:$D,Donations!$G:$G,$A281,Donations!$F:$F,"&gt;="&amp;'Daily Challenges'!$C$8,Donations!$F:$F,"&lt;="&amp;'Daily Challenges'!$D$8))</f>
        <v/>
      </c>
      <c r="H281" s="38">
        <f>IF($A281="","",SUMIFS(Donations!$D:$D,Donations!$G:$G,$A281,Donations!$F:$F,"&lt;="&amp;'Daily Challenges'!$D$9))</f>
        <v/>
      </c>
      <c r="I281" s="38">
        <f>IF($A281="","",SUMIFS(Donations!$D:$D,Donations!$G:$G,$A281,Donations!$F:$F,"&gt;="&amp;'Daily Challenges'!$C$10,Donations!$F:$F,"&lt;="&amp;'Daily Challenges'!$D$10))</f>
        <v/>
      </c>
      <c r="J281" s="38">
        <f>IF($A281="","",SUMIFS(Donations!$D:$D,Donations!$G:$G,$A281,Donations!$F:$F,"&lt;="&amp;'Daily Challenges'!$D$12))</f>
        <v/>
      </c>
    </row>
    <row r="282">
      <c r="A282" s="32" t="inlineStr">
        <is>
          <t>Liam Murphy</t>
        </is>
      </c>
      <c r="B282" s="32" t="inlineStr">
        <is>
          <t>Mr. Okafor</t>
        </is>
      </c>
      <c r="C282" s="36" t="inlineStr">
        <is>
          <t>5</t>
        </is>
      </c>
      <c r="D282" s="37">
        <f>IF(A282="","",SUMIFS(Donations!$D:$D,Donations!$G:$G,A282))</f>
        <v/>
      </c>
      <c r="E282" s="35">
        <f>IF(A282="","",IF(D282&gt;0,"Yes",""))</f>
        <v/>
      </c>
      <c r="F282" s="38">
        <f>IF($A282="","",SUMIFS(Donations!$D:$D,Donations!$G:$G,$A282,Donations!$F:$F,"&gt;="&amp;'Daily Challenges'!$C$7,Donations!$F:$F,"&lt;="&amp;'Daily Challenges'!$D$7))</f>
        <v/>
      </c>
      <c r="G282" s="38">
        <f>IF($A282="","",SUMIFS(Donations!$D:$D,Donations!$G:$G,$A282,Donations!$F:$F,"&gt;="&amp;'Daily Challenges'!$C$8,Donations!$F:$F,"&lt;="&amp;'Daily Challenges'!$D$8))</f>
        <v/>
      </c>
      <c r="H282" s="38">
        <f>IF($A282="","",SUMIFS(Donations!$D:$D,Donations!$G:$G,$A282,Donations!$F:$F,"&lt;="&amp;'Daily Challenges'!$D$9))</f>
        <v/>
      </c>
      <c r="I282" s="38">
        <f>IF($A282="","",SUMIFS(Donations!$D:$D,Donations!$G:$G,$A282,Donations!$F:$F,"&gt;="&amp;'Daily Challenges'!$C$10,Donations!$F:$F,"&lt;="&amp;'Daily Challenges'!$D$10))</f>
        <v/>
      </c>
      <c r="J282" s="38">
        <f>IF($A282="","",SUMIFS(Donations!$D:$D,Donations!$G:$G,$A282,Donations!$F:$F,"&lt;="&amp;'Daily Challenges'!$D$12))</f>
        <v/>
      </c>
    </row>
    <row r="283">
      <c r="A283" s="32" t="inlineStr">
        <is>
          <t>Elena Diaz</t>
        </is>
      </c>
      <c r="B283" s="32" t="inlineStr">
        <is>
          <t>Mr. Okafor</t>
        </is>
      </c>
      <c r="C283" s="36" t="inlineStr">
        <is>
          <t>5</t>
        </is>
      </c>
      <c r="D283" s="37">
        <f>IF(A283="","",SUMIFS(Donations!$D:$D,Donations!$G:$G,A283))</f>
        <v/>
      </c>
      <c r="E283" s="35">
        <f>IF(A283="","",IF(D283&gt;0,"Yes",""))</f>
        <v/>
      </c>
      <c r="F283" s="38">
        <f>IF($A283="","",SUMIFS(Donations!$D:$D,Donations!$G:$G,$A283,Donations!$F:$F,"&gt;="&amp;'Daily Challenges'!$C$7,Donations!$F:$F,"&lt;="&amp;'Daily Challenges'!$D$7))</f>
        <v/>
      </c>
      <c r="G283" s="38">
        <f>IF($A283="","",SUMIFS(Donations!$D:$D,Donations!$G:$G,$A283,Donations!$F:$F,"&gt;="&amp;'Daily Challenges'!$C$8,Donations!$F:$F,"&lt;="&amp;'Daily Challenges'!$D$8))</f>
        <v/>
      </c>
      <c r="H283" s="38">
        <f>IF($A283="","",SUMIFS(Donations!$D:$D,Donations!$G:$G,$A283,Donations!$F:$F,"&lt;="&amp;'Daily Challenges'!$D$9))</f>
        <v/>
      </c>
      <c r="I283" s="38">
        <f>IF($A283="","",SUMIFS(Donations!$D:$D,Donations!$G:$G,$A283,Donations!$F:$F,"&gt;="&amp;'Daily Challenges'!$C$10,Donations!$F:$F,"&lt;="&amp;'Daily Challenges'!$D$10))</f>
        <v/>
      </c>
      <c r="J283" s="38">
        <f>IF($A283="","",SUMIFS(Donations!$D:$D,Donations!$G:$G,$A283,Donations!$F:$F,"&lt;="&amp;'Daily Challenges'!$D$12))</f>
        <v/>
      </c>
    </row>
    <row r="284">
      <c r="A284" s="32" t="inlineStr">
        <is>
          <t>Mia Ortiz</t>
        </is>
      </c>
      <c r="B284" s="32" t="inlineStr">
        <is>
          <t>Mr. Okafor</t>
        </is>
      </c>
      <c r="C284" s="36" t="inlineStr">
        <is>
          <t>5</t>
        </is>
      </c>
      <c r="D284" s="37">
        <f>IF(A284="","",SUMIFS(Donations!$D:$D,Donations!$G:$G,A284))</f>
        <v/>
      </c>
      <c r="E284" s="35">
        <f>IF(A284="","",IF(D284&gt;0,"Yes",""))</f>
        <v/>
      </c>
      <c r="F284" s="38">
        <f>IF($A284="","",SUMIFS(Donations!$D:$D,Donations!$G:$G,$A284,Donations!$F:$F,"&gt;="&amp;'Daily Challenges'!$C$7,Donations!$F:$F,"&lt;="&amp;'Daily Challenges'!$D$7))</f>
        <v/>
      </c>
      <c r="G284" s="38">
        <f>IF($A284="","",SUMIFS(Donations!$D:$D,Donations!$G:$G,$A284,Donations!$F:$F,"&gt;="&amp;'Daily Challenges'!$C$8,Donations!$F:$F,"&lt;="&amp;'Daily Challenges'!$D$8))</f>
        <v/>
      </c>
      <c r="H284" s="38">
        <f>IF($A284="","",SUMIFS(Donations!$D:$D,Donations!$G:$G,$A284,Donations!$F:$F,"&lt;="&amp;'Daily Challenges'!$D$9))</f>
        <v/>
      </c>
      <c r="I284" s="38">
        <f>IF($A284="","",SUMIFS(Donations!$D:$D,Donations!$G:$G,$A284,Donations!$F:$F,"&gt;="&amp;'Daily Challenges'!$C$10,Donations!$F:$F,"&lt;="&amp;'Daily Challenges'!$D$10))</f>
        <v/>
      </c>
      <c r="J284" s="38">
        <f>IF($A284="","",SUMIFS(Donations!$D:$D,Donations!$G:$G,$A284,Donations!$F:$F,"&lt;="&amp;'Daily Challenges'!$D$12))</f>
        <v/>
      </c>
    </row>
    <row r="285">
      <c r="A285" s="32" t="inlineStr">
        <is>
          <t>Liam Sullivan</t>
        </is>
      </c>
      <c r="B285" s="32" t="inlineStr">
        <is>
          <t>Mr. Okafor</t>
        </is>
      </c>
      <c r="C285" s="36" t="inlineStr">
        <is>
          <t>5</t>
        </is>
      </c>
      <c r="D285" s="37">
        <f>IF(A285="","",SUMIFS(Donations!$D:$D,Donations!$G:$G,A285))</f>
        <v/>
      </c>
      <c r="E285" s="35">
        <f>IF(A285="","",IF(D285&gt;0,"Yes",""))</f>
        <v/>
      </c>
      <c r="F285" s="38">
        <f>IF($A285="","",SUMIFS(Donations!$D:$D,Donations!$G:$G,$A285,Donations!$F:$F,"&gt;="&amp;'Daily Challenges'!$C$7,Donations!$F:$F,"&lt;="&amp;'Daily Challenges'!$D$7))</f>
        <v/>
      </c>
      <c r="G285" s="38">
        <f>IF($A285="","",SUMIFS(Donations!$D:$D,Donations!$G:$G,$A285,Donations!$F:$F,"&gt;="&amp;'Daily Challenges'!$C$8,Donations!$F:$F,"&lt;="&amp;'Daily Challenges'!$D$8))</f>
        <v/>
      </c>
      <c r="H285" s="38">
        <f>IF($A285="","",SUMIFS(Donations!$D:$D,Donations!$G:$G,$A285,Donations!$F:$F,"&lt;="&amp;'Daily Challenges'!$D$9))</f>
        <v/>
      </c>
      <c r="I285" s="38">
        <f>IF($A285="","",SUMIFS(Donations!$D:$D,Donations!$G:$G,$A285,Donations!$F:$F,"&gt;="&amp;'Daily Challenges'!$C$10,Donations!$F:$F,"&lt;="&amp;'Daily Challenges'!$D$10))</f>
        <v/>
      </c>
      <c r="J285" s="38">
        <f>IF($A285="","",SUMIFS(Donations!$D:$D,Donations!$G:$G,$A285,Donations!$F:$F,"&lt;="&amp;'Daily Challenges'!$D$12))</f>
        <v/>
      </c>
    </row>
    <row r="286">
      <c r="A286" s="32" t="inlineStr">
        <is>
          <t>Diego Diaz</t>
        </is>
      </c>
      <c r="B286" s="32" t="inlineStr">
        <is>
          <t>Mrs. Pruitt</t>
        </is>
      </c>
      <c r="C286" s="36" t="inlineStr">
        <is>
          <t>5</t>
        </is>
      </c>
      <c r="D286" s="37">
        <f>IF(A286="","",SUMIFS(Donations!$D:$D,Donations!$G:$G,A286))</f>
        <v/>
      </c>
      <c r="E286" s="35">
        <f>IF(A286="","",IF(D286&gt;0,"Yes",""))</f>
        <v/>
      </c>
      <c r="F286" s="38">
        <f>IF($A286="","",SUMIFS(Donations!$D:$D,Donations!$G:$G,$A286,Donations!$F:$F,"&gt;="&amp;'Daily Challenges'!$C$7,Donations!$F:$F,"&lt;="&amp;'Daily Challenges'!$D$7))</f>
        <v/>
      </c>
      <c r="G286" s="38">
        <f>IF($A286="","",SUMIFS(Donations!$D:$D,Donations!$G:$G,$A286,Donations!$F:$F,"&gt;="&amp;'Daily Challenges'!$C$8,Donations!$F:$F,"&lt;="&amp;'Daily Challenges'!$D$8))</f>
        <v/>
      </c>
      <c r="H286" s="38">
        <f>IF($A286="","",SUMIFS(Donations!$D:$D,Donations!$G:$G,$A286,Donations!$F:$F,"&lt;="&amp;'Daily Challenges'!$D$9))</f>
        <v/>
      </c>
      <c r="I286" s="38">
        <f>IF($A286="","",SUMIFS(Donations!$D:$D,Donations!$G:$G,$A286,Donations!$F:$F,"&gt;="&amp;'Daily Challenges'!$C$10,Donations!$F:$F,"&lt;="&amp;'Daily Challenges'!$D$10))</f>
        <v/>
      </c>
      <c r="J286" s="38">
        <f>IF($A286="","",SUMIFS(Donations!$D:$D,Donations!$G:$G,$A286,Donations!$F:$F,"&lt;="&amp;'Daily Challenges'!$D$12))</f>
        <v/>
      </c>
    </row>
    <row r="287">
      <c r="A287" s="32" t="inlineStr">
        <is>
          <t>Harper Kelly</t>
        </is>
      </c>
      <c r="B287" s="32" t="inlineStr">
        <is>
          <t>Mrs. Pruitt</t>
        </is>
      </c>
      <c r="C287" s="36" t="inlineStr">
        <is>
          <t>5</t>
        </is>
      </c>
      <c r="D287" s="37">
        <f>IF(A287="","",SUMIFS(Donations!$D:$D,Donations!$G:$G,A287))</f>
        <v/>
      </c>
      <c r="E287" s="35">
        <f>IF(A287="","",IF(D287&gt;0,"Yes",""))</f>
        <v/>
      </c>
      <c r="F287" s="38">
        <f>IF($A287="","",SUMIFS(Donations!$D:$D,Donations!$G:$G,$A287,Donations!$F:$F,"&gt;="&amp;'Daily Challenges'!$C$7,Donations!$F:$F,"&lt;="&amp;'Daily Challenges'!$D$7))</f>
        <v/>
      </c>
      <c r="G287" s="38">
        <f>IF($A287="","",SUMIFS(Donations!$D:$D,Donations!$G:$G,$A287,Donations!$F:$F,"&gt;="&amp;'Daily Challenges'!$C$8,Donations!$F:$F,"&lt;="&amp;'Daily Challenges'!$D$8))</f>
        <v/>
      </c>
      <c r="H287" s="38">
        <f>IF($A287="","",SUMIFS(Donations!$D:$D,Donations!$G:$G,$A287,Donations!$F:$F,"&lt;="&amp;'Daily Challenges'!$D$9))</f>
        <v/>
      </c>
      <c r="I287" s="38">
        <f>IF($A287="","",SUMIFS(Donations!$D:$D,Donations!$G:$G,$A287,Donations!$F:$F,"&gt;="&amp;'Daily Challenges'!$C$10,Donations!$F:$F,"&lt;="&amp;'Daily Challenges'!$D$10))</f>
        <v/>
      </c>
      <c r="J287" s="38">
        <f>IF($A287="","",SUMIFS(Donations!$D:$D,Donations!$G:$G,$A287,Donations!$F:$F,"&lt;="&amp;'Daily Challenges'!$D$12))</f>
        <v/>
      </c>
    </row>
    <row r="288">
      <c r="A288" s="32" t="inlineStr">
        <is>
          <t>Joseph Ruiz</t>
        </is>
      </c>
      <c r="B288" s="32" t="inlineStr">
        <is>
          <t>Mrs. Pruitt</t>
        </is>
      </c>
      <c r="C288" s="36" t="inlineStr">
        <is>
          <t>5</t>
        </is>
      </c>
      <c r="D288" s="37">
        <f>IF(A288="","",SUMIFS(Donations!$D:$D,Donations!$G:$G,A288))</f>
        <v/>
      </c>
      <c r="E288" s="35">
        <f>IF(A288="","",IF(D288&gt;0,"Yes",""))</f>
        <v/>
      </c>
      <c r="F288" s="38">
        <f>IF($A288="","",SUMIFS(Donations!$D:$D,Donations!$G:$G,$A288,Donations!$F:$F,"&gt;="&amp;'Daily Challenges'!$C$7,Donations!$F:$F,"&lt;="&amp;'Daily Challenges'!$D$7))</f>
        <v/>
      </c>
      <c r="G288" s="38">
        <f>IF($A288="","",SUMIFS(Donations!$D:$D,Donations!$G:$G,$A288,Donations!$F:$F,"&gt;="&amp;'Daily Challenges'!$C$8,Donations!$F:$F,"&lt;="&amp;'Daily Challenges'!$D$8))</f>
        <v/>
      </c>
      <c r="H288" s="38">
        <f>IF($A288="","",SUMIFS(Donations!$D:$D,Donations!$G:$G,$A288,Donations!$F:$F,"&lt;="&amp;'Daily Challenges'!$D$9))</f>
        <v/>
      </c>
      <c r="I288" s="38">
        <f>IF($A288="","",SUMIFS(Donations!$D:$D,Donations!$G:$G,$A288,Donations!$F:$F,"&gt;="&amp;'Daily Challenges'!$C$10,Donations!$F:$F,"&lt;="&amp;'Daily Challenges'!$D$10))</f>
        <v/>
      </c>
      <c r="J288" s="38">
        <f>IF($A288="","",SUMIFS(Donations!$D:$D,Donations!$G:$G,$A288,Donations!$F:$F,"&lt;="&amp;'Daily Challenges'!$D$12))</f>
        <v/>
      </c>
    </row>
    <row r="289">
      <c r="A289" s="32" t="inlineStr">
        <is>
          <t>Daniel Martinez</t>
        </is>
      </c>
      <c r="B289" s="32" t="inlineStr">
        <is>
          <t>Mrs. Pruitt</t>
        </is>
      </c>
      <c r="C289" s="36" t="inlineStr">
        <is>
          <t>5</t>
        </is>
      </c>
      <c r="D289" s="37">
        <f>IF(A289="","",SUMIFS(Donations!$D:$D,Donations!$G:$G,A289))</f>
        <v/>
      </c>
      <c r="E289" s="35">
        <f>IF(A289="","",IF(D289&gt;0,"Yes",""))</f>
        <v/>
      </c>
      <c r="F289" s="38">
        <f>IF($A289="","",SUMIFS(Donations!$D:$D,Donations!$G:$G,$A289,Donations!$F:$F,"&gt;="&amp;'Daily Challenges'!$C$7,Donations!$F:$F,"&lt;="&amp;'Daily Challenges'!$D$7))</f>
        <v/>
      </c>
      <c r="G289" s="38">
        <f>IF($A289="","",SUMIFS(Donations!$D:$D,Donations!$G:$G,$A289,Donations!$F:$F,"&gt;="&amp;'Daily Challenges'!$C$8,Donations!$F:$F,"&lt;="&amp;'Daily Challenges'!$D$8))</f>
        <v/>
      </c>
      <c r="H289" s="38">
        <f>IF($A289="","",SUMIFS(Donations!$D:$D,Donations!$G:$G,$A289,Donations!$F:$F,"&lt;="&amp;'Daily Challenges'!$D$9))</f>
        <v/>
      </c>
      <c r="I289" s="38">
        <f>IF($A289="","",SUMIFS(Donations!$D:$D,Donations!$G:$G,$A289,Donations!$F:$F,"&gt;="&amp;'Daily Challenges'!$C$10,Donations!$F:$F,"&lt;="&amp;'Daily Challenges'!$D$10))</f>
        <v/>
      </c>
      <c r="J289" s="38">
        <f>IF($A289="","",SUMIFS(Donations!$D:$D,Donations!$G:$G,$A289,Donations!$F:$F,"&lt;="&amp;'Daily Challenges'!$D$12))</f>
        <v/>
      </c>
    </row>
    <row r="290">
      <c r="A290" s="32" t="inlineStr">
        <is>
          <t>Grace Ortiz</t>
        </is>
      </c>
      <c r="B290" s="32" t="inlineStr">
        <is>
          <t>Mrs. Pruitt</t>
        </is>
      </c>
      <c r="C290" s="36" t="inlineStr">
        <is>
          <t>5</t>
        </is>
      </c>
      <c r="D290" s="37">
        <f>IF(A290="","",SUMIFS(Donations!$D:$D,Donations!$G:$G,A290))</f>
        <v/>
      </c>
      <c r="E290" s="35">
        <f>IF(A290="","",IF(D290&gt;0,"Yes",""))</f>
        <v/>
      </c>
      <c r="F290" s="38">
        <f>IF($A290="","",SUMIFS(Donations!$D:$D,Donations!$G:$G,$A290,Donations!$F:$F,"&gt;="&amp;'Daily Challenges'!$C$7,Donations!$F:$F,"&lt;="&amp;'Daily Challenges'!$D$7))</f>
        <v/>
      </c>
      <c r="G290" s="38">
        <f>IF($A290="","",SUMIFS(Donations!$D:$D,Donations!$G:$G,$A290,Donations!$F:$F,"&gt;="&amp;'Daily Challenges'!$C$8,Donations!$F:$F,"&lt;="&amp;'Daily Challenges'!$D$8))</f>
        <v/>
      </c>
      <c r="H290" s="38">
        <f>IF($A290="","",SUMIFS(Donations!$D:$D,Donations!$G:$G,$A290,Donations!$F:$F,"&lt;="&amp;'Daily Challenges'!$D$9))</f>
        <v/>
      </c>
      <c r="I290" s="38">
        <f>IF($A290="","",SUMIFS(Donations!$D:$D,Donations!$G:$G,$A290,Donations!$F:$F,"&gt;="&amp;'Daily Challenges'!$C$10,Donations!$F:$F,"&lt;="&amp;'Daily Challenges'!$D$10))</f>
        <v/>
      </c>
      <c r="J290" s="38">
        <f>IF($A290="","",SUMIFS(Donations!$D:$D,Donations!$G:$G,$A290,Donations!$F:$F,"&lt;="&amp;'Daily Challenges'!$D$12))</f>
        <v/>
      </c>
    </row>
    <row r="291">
      <c r="A291" s="32" t="inlineStr">
        <is>
          <t>Valentina Nguyen</t>
        </is>
      </c>
      <c r="B291" s="32" t="inlineStr">
        <is>
          <t>Mrs. Pruitt</t>
        </is>
      </c>
      <c r="C291" s="36" t="inlineStr">
        <is>
          <t>5</t>
        </is>
      </c>
      <c r="D291" s="37">
        <f>IF(A291="","",SUMIFS(Donations!$D:$D,Donations!$G:$G,A291))</f>
        <v/>
      </c>
      <c r="E291" s="35">
        <f>IF(A291="","",IF(D291&gt;0,"Yes",""))</f>
        <v/>
      </c>
      <c r="F291" s="38">
        <f>IF($A291="","",SUMIFS(Donations!$D:$D,Donations!$G:$G,$A291,Donations!$F:$F,"&gt;="&amp;'Daily Challenges'!$C$7,Donations!$F:$F,"&lt;="&amp;'Daily Challenges'!$D$7))</f>
        <v/>
      </c>
      <c r="G291" s="38">
        <f>IF($A291="","",SUMIFS(Donations!$D:$D,Donations!$G:$G,$A291,Donations!$F:$F,"&gt;="&amp;'Daily Challenges'!$C$8,Donations!$F:$F,"&lt;="&amp;'Daily Challenges'!$D$8))</f>
        <v/>
      </c>
      <c r="H291" s="38">
        <f>IF($A291="","",SUMIFS(Donations!$D:$D,Donations!$G:$G,$A291,Donations!$F:$F,"&lt;="&amp;'Daily Challenges'!$D$9))</f>
        <v/>
      </c>
      <c r="I291" s="38">
        <f>IF($A291="","",SUMIFS(Donations!$D:$D,Donations!$G:$G,$A291,Donations!$F:$F,"&gt;="&amp;'Daily Challenges'!$C$10,Donations!$F:$F,"&lt;="&amp;'Daily Challenges'!$D$10))</f>
        <v/>
      </c>
      <c r="J291" s="38">
        <f>IF($A291="","",SUMIFS(Donations!$D:$D,Donations!$G:$G,$A291,Donations!$F:$F,"&lt;="&amp;'Daily Challenges'!$D$12))</f>
        <v/>
      </c>
    </row>
    <row r="292">
      <c r="A292" s="32" t="inlineStr">
        <is>
          <t>Elena Murphy</t>
        </is>
      </c>
      <c r="B292" s="32" t="inlineStr">
        <is>
          <t>Mrs. Pruitt</t>
        </is>
      </c>
      <c r="C292" s="36" t="inlineStr">
        <is>
          <t>5</t>
        </is>
      </c>
      <c r="D292" s="37">
        <f>IF(A292="","",SUMIFS(Donations!$D:$D,Donations!$G:$G,A292))</f>
        <v/>
      </c>
      <c r="E292" s="35">
        <f>IF(A292="","",IF(D292&gt;0,"Yes",""))</f>
        <v/>
      </c>
      <c r="F292" s="38">
        <f>IF($A292="","",SUMIFS(Donations!$D:$D,Donations!$G:$G,$A292,Donations!$F:$F,"&gt;="&amp;'Daily Challenges'!$C$7,Donations!$F:$F,"&lt;="&amp;'Daily Challenges'!$D$7))</f>
        <v/>
      </c>
      <c r="G292" s="38">
        <f>IF($A292="","",SUMIFS(Donations!$D:$D,Donations!$G:$G,$A292,Donations!$F:$F,"&gt;="&amp;'Daily Challenges'!$C$8,Donations!$F:$F,"&lt;="&amp;'Daily Challenges'!$D$8))</f>
        <v/>
      </c>
      <c r="H292" s="38">
        <f>IF($A292="","",SUMIFS(Donations!$D:$D,Donations!$G:$G,$A292,Donations!$F:$F,"&lt;="&amp;'Daily Challenges'!$D$9))</f>
        <v/>
      </c>
      <c r="I292" s="38">
        <f>IF($A292="","",SUMIFS(Donations!$D:$D,Donations!$G:$G,$A292,Donations!$F:$F,"&gt;="&amp;'Daily Challenges'!$C$10,Donations!$F:$F,"&lt;="&amp;'Daily Challenges'!$D$10))</f>
        <v/>
      </c>
      <c r="J292" s="38">
        <f>IF($A292="","",SUMIFS(Donations!$D:$D,Donations!$G:$G,$A292,Donations!$F:$F,"&lt;="&amp;'Daily Challenges'!$D$12))</f>
        <v/>
      </c>
    </row>
    <row r="293">
      <c r="A293" s="32" t="inlineStr">
        <is>
          <t>Santiago Ruiz</t>
        </is>
      </c>
      <c r="B293" s="32" t="inlineStr">
        <is>
          <t>Mrs. Pruitt</t>
        </is>
      </c>
      <c r="C293" s="36" t="inlineStr">
        <is>
          <t>5</t>
        </is>
      </c>
      <c r="D293" s="37">
        <f>IF(A293="","",SUMIFS(Donations!$D:$D,Donations!$G:$G,A293))</f>
        <v/>
      </c>
      <c r="E293" s="35">
        <f>IF(A293="","",IF(D293&gt;0,"Yes",""))</f>
        <v/>
      </c>
      <c r="F293" s="38">
        <f>IF($A293="","",SUMIFS(Donations!$D:$D,Donations!$G:$G,$A293,Donations!$F:$F,"&gt;="&amp;'Daily Challenges'!$C$7,Donations!$F:$F,"&lt;="&amp;'Daily Challenges'!$D$7))</f>
        <v/>
      </c>
      <c r="G293" s="38">
        <f>IF($A293="","",SUMIFS(Donations!$D:$D,Donations!$G:$G,$A293,Donations!$F:$F,"&gt;="&amp;'Daily Challenges'!$C$8,Donations!$F:$F,"&lt;="&amp;'Daily Challenges'!$D$8))</f>
        <v/>
      </c>
      <c r="H293" s="38">
        <f>IF($A293="","",SUMIFS(Donations!$D:$D,Donations!$G:$G,$A293,Donations!$F:$F,"&lt;="&amp;'Daily Challenges'!$D$9))</f>
        <v/>
      </c>
      <c r="I293" s="38">
        <f>IF($A293="","",SUMIFS(Donations!$D:$D,Donations!$G:$G,$A293,Donations!$F:$F,"&gt;="&amp;'Daily Challenges'!$C$10,Donations!$F:$F,"&lt;="&amp;'Daily Challenges'!$D$10))</f>
        <v/>
      </c>
      <c r="J293" s="38">
        <f>IF($A293="","",SUMIFS(Donations!$D:$D,Donations!$G:$G,$A293,Donations!$F:$F,"&lt;="&amp;'Daily Challenges'!$D$12))</f>
        <v/>
      </c>
    </row>
    <row r="294">
      <c r="A294" s="32" t="inlineStr">
        <is>
          <t>Noah Garcia</t>
        </is>
      </c>
      <c r="B294" s="32" t="inlineStr">
        <is>
          <t>Mrs. Pruitt</t>
        </is>
      </c>
      <c r="C294" s="36" t="inlineStr">
        <is>
          <t>5</t>
        </is>
      </c>
      <c r="D294" s="37">
        <f>IF(A294="","",SUMIFS(Donations!$D:$D,Donations!$G:$G,A294))</f>
        <v/>
      </c>
      <c r="E294" s="35">
        <f>IF(A294="","",IF(D294&gt;0,"Yes",""))</f>
        <v/>
      </c>
      <c r="F294" s="38">
        <f>IF($A294="","",SUMIFS(Donations!$D:$D,Donations!$G:$G,$A294,Donations!$F:$F,"&gt;="&amp;'Daily Challenges'!$C$7,Donations!$F:$F,"&lt;="&amp;'Daily Challenges'!$D$7))</f>
        <v/>
      </c>
      <c r="G294" s="38">
        <f>IF($A294="","",SUMIFS(Donations!$D:$D,Donations!$G:$G,$A294,Donations!$F:$F,"&gt;="&amp;'Daily Challenges'!$C$8,Donations!$F:$F,"&lt;="&amp;'Daily Challenges'!$D$8))</f>
        <v/>
      </c>
      <c r="H294" s="38">
        <f>IF($A294="","",SUMIFS(Donations!$D:$D,Donations!$G:$G,$A294,Donations!$F:$F,"&lt;="&amp;'Daily Challenges'!$D$9))</f>
        <v/>
      </c>
      <c r="I294" s="38">
        <f>IF($A294="","",SUMIFS(Donations!$D:$D,Donations!$G:$G,$A294,Donations!$F:$F,"&gt;="&amp;'Daily Challenges'!$C$10,Donations!$F:$F,"&lt;="&amp;'Daily Challenges'!$D$10))</f>
        <v/>
      </c>
      <c r="J294" s="38">
        <f>IF($A294="","",SUMIFS(Donations!$D:$D,Donations!$G:$G,$A294,Donations!$F:$F,"&lt;="&amp;'Daily Challenges'!$D$12))</f>
        <v/>
      </c>
    </row>
    <row r="295">
      <c r="A295" s="32" t="inlineStr">
        <is>
          <t>Leo Walsh</t>
        </is>
      </c>
      <c r="B295" s="32" t="inlineStr">
        <is>
          <t>Mrs. Pruitt</t>
        </is>
      </c>
      <c r="C295" s="36" t="inlineStr">
        <is>
          <t>5</t>
        </is>
      </c>
      <c r="D295" s="37">
        <f>IF(A295="","",SUMIFS(Donations!$D:$D,Donations!$G:$G,A295))</f>
        <v/>
      </c>
      <c r="E295" s="35">
        <f>IF(A295="","",IF(D295&gt;0,"Yes",""))</f>
        <v/>
      </c>
      <c r="F295" s="38">
        <f>IF($A295="","",SUMIFS(Donations!$D:$D,Donations!$G:$G,$A295,Donations!$F:$F,"&gt;="&amp;'Daily Challenges'!$C$7,Donations!$F:$F,"&lt;="&amp;'Daily Challenges'!$D$7))</f>
        <v/>
      </c>
      <c r="G295" s="38">
        <f>IF($A295="","",SUMIFS(Donations!$D:$D,Donations!$G:$G,$A295,Donations!$F:$F,"&gt;="&amp;'Daily Challenges'!$C$8,Donations!$F:$F,"&lt;="&amp;'Daily Challenges'!$D$8))</f>
        <v/>
      </c>
      <c r="H295" s="38">
        <f>IF($A295="","",SUMIFS(Donations!$D:$D,Donations!$G:$G,$A295,Donations!$F:$F,"&lt;="&amp;'Daily Challenges'!$D$9))</f>
        <v/>
      </c>
      <c r="I295" s="38">
        <f>IF($A295="","",SUMIFS(Donations!$D:$D,Donations!$G:$G,$A295,Donations!$F:$F,"&gt;="&amp;'Daily Challenges'!$C$10,Donations!$F:$F,"&lt;="&amp;'Daily Challenges'!$D$10))</f>
        <v/>
      </c>
      <c r="J295" s="38">
        <f>IF($A295="","",SUMIFS(Donations!$D:$D,Donations!$G:$G,$A295,Donations!$F:$F,"&lt;="&amp;'Daily Challenges'!$D$12))</f>
        <v/>
      </c>
    </row>
    <row r="296">
      <c r="A296" s="32" t="inlineStr">
        <is>
          <t>Thomas Ryan</t>
        </is>
      </c>
      <c r="B296" s="32" t="inlineStr">
        <is>
          <t>Mrs. Pruitt</t>
        </is>
      </c>
      <c r="C296" s="36" t="inlineStr">
        <is>
          <t>5</t>
        </is>
      </c>
      <c r="D296" s="37">
        <f>IF(A296="","",SUMIFS(Donations!$D:$D,Donations!$G:$G,A296))</f>
        <v/>
      </c>
      <c r="E296" s="35">
        <f>IF(A296="","",IF(D296&gt;0,"Yes",""))</f>
        <v/>
      </c>
      <c r="F296" s="38">
        <f>IF($A296="","",SUMIFS(Donations!$D:$D,Donations!$G:$G,$A296,Donations!$F:$F,"&gt;="&amp;'Daily Challenges'!$C$7,Donations!$F:$F,"&lt;="&amp;'Daily Challenges'!$D$7))</f>
        <v/>
      </c>
      <c r="G296" s="38">
        <f>IF($A296="","",SUMIFS(Donations!$D:$D,Donations!$G:$G,$A296,Donations!$F:$F,"&gt;="&amp;'Daily Challenges'!$C$8,Donations!$F:$F,"&lt;="&amp;'Daily Challenges'!$D$8))</f>
        <v/>
      </c>
      <c r="H296" s="38">
        <f>IF($A296="","",SUMIFS(Donations!$D:$D,Donations!$G:$G,$A296,Donations!$F:$F,"&lt;="&amp;'Daily Challenges'!$D$9))</f>
        <v/>
      </c>
      <c r="I296" s="38">
        <f>IF($A296="","",SUMIFS(Donations!$D:$D,Donations!$G:$G,$A296,Donations!$F:$F,"&gt;="&amp;'Daily Challenges'!$C$10,Donations!$F:$F,"&lt;="&amp;'Daily Challenges'!$D$10))</f>
        <v/>
      </c>
      <c r="J296" s="38">
        <f>IF($A296="","",SUMIFS(Donations!$D:$D,Donations!$G:$G,$A296,Donations!$F:$F,"&lt;="&amp;'Daily Challenges'!$D$12))</f>
        <v/>
      </c>
    </row>
    <row r="297">
      <c r="A297" s="32" t="inlineStr">
        <is>
          <t>Grace Kim</t>
        </is>
      </c>
      <c r="B297" s="32" t="inlineStr">
        <is>
          <t>Mrs. Pruitt</t>
        </is>
      </c>
      <c r="C297" s="36" t="inlineStr">
        <is>
          <t>5</t>
        </is>
      </c>
      <c r="D297" s="37">
        <f>IF(A297="","",SUMIFS(Donations!$D:$D,Donations!$G:$G,A297))</f>
        <v/>
      </c>
      <c r="E297" s="35">
        <f>IF(A297="","",IF(D297&gt;0,"Yes",""))</f>
        <v/>
      </c>
      <c r="F297" s="38">
        <f>IF($A297="","",SUMIFS(Donations!$D:$D,Donations!$G:$G,$A297,Donations!$F:$F,"&gt;="&amp;'Daily Challenges'!$C$7,Donations!$F:$F,"&lt;="&amp;'Daily Challenges'!$D$7))</f>
        <v/>
      </c>
      <c r="G297" s="38">
        <f>IF($A297="","",SUMIFS(Donations!$D:$D,Donations!$G:$G,$A297,Donations!$F:$F,"&gt;="&amp;'Daily Challenges'!$C$8,Donations!$F:$F,"&lt;="&amp;'Daily Challenges'!$D$8))</f>
        <v/>
      </c>
      <c r="H297" s="38">
        <f>IF($A297="","",SUMIFS(Donations!$D:$D,Donations!$G:$G,$A297,Donations!$F:$F,"&lt;="&amp;'Daily Challenges'!$D$9))</f>
        <v/>
      </c>
      <c r="I297" s="38">
        <f>IF($A297="","",SUMIFS(Donations!$D:$D,Donations!$G:$G,$A297,Donations!$F:$F,"&gt;="&amp;'Daily Challenges'!$C$10,Donations!$F:$F,"&lt;="&amp;'Daily Challenges'!$D$10))</f>
        <v/>
      </c>
      <c r="J297" s="38">
        <f>IF($A297="","",SUMIFS(Donations!$D:$D,Donations!$G:$G,$A297,Donations!$F:$F,"&lt;="&amp;'Daily Challenges'!$D$12))</f>
        <v/>
      </c>
    </row>
    <row r="298">
      <c r="A298" s="32" t="inlineStr">
        <is>
          <t>Zoe Ortiz</t>
        </is>
      </c>
      <c r="B298" s="32" t="inlineStr">
        <is>
          <t>Mrs. Pruitt</t>
        </is>
      </c>
      <c r="C298" s="36" t="inlineStr">
        <is>
          <t>5</t>
        </is>
      </c>
      <c r="D298" s="37">
        <f>IF(A298="","",SUMIFS(Donations!$D:$D,Donations!$G:$G,A298))</f>
        <v/>
      </c>
      <c r="E298" s="35">
        <f>IF(A298="","",IF(D298&gt;0,"Yes",""))</f>
        <v/>
      </c>
      <c r="F298" s="38">
        <f>IF($A298="","",SUMIFS(Donations!$D:$D,Donations!$G:$G,$A298,Donations!$F:$F,"&gt;="&amp;'Daily Challenges'!$C$7,Donations!$F:$F,"&lt;="&amp;'Daily Challenges'!$D$7))</f>
        <v/>
      </c>
      <c r="G298" s="38">
        <f>IF($A298="","",SUMIFS(Donations!$D:$D,Donations!$G:$G,$A298,Donations!$F:$F,"&gt;="&amp;'Daily Challenges'!$C$8,Donations!$F:$F,"&lt;="&amp;'Daily Challenges'!$D$8))</f>
        <v/>
      </c>
      <c r="H298" s="38">
        <f>IF($A298="","",SUMIFS(Donations!$D:$D,Donations!$G:$G,$A298,Donations!$F:$F,"&lt;="&amp;'Daily Challenges'!$D$9))</f>
        <v/>
      </c>
      <c r="I298" s="38">
        <f>IF($A298="","",SUMIFS(Donations!$D:$D,Donations!$G:$G,$A298,Donations!$F:$F,"&gt;="&amp;'Daily Challenges'!$C$10,Donations!$F:$F,"&lt;="&amp;'Daily Challenges'!$D$10))</f>
        <v/>
      </c>
      <c r="J298" s="38">
        <f>IF($A298="","",SUMIFS(Donations!$D:$D,Donations!$G:$G,$A298,Donations!$F:$F,"&lt;="&amp;'Daily Challenges'!$D$12))</f>
        <v/>
      </c>
    </row>
    <row r="299">
      <c r="A299" s="32" t="inlineStr">
        <is>
          <t>Mia Brown</t>
        </is>
      </c>
      <c r="B299" s="32" t="inlineStr">
        <is>
          <t>Mrs. Pruitt</t>
        </is>
      </c>
      <c r="C299" s="36" t="inlineStr">
        <is>
          <t>5</t>
        </is>
      </c>
      <c r="D299" s="37">
        <f>IF(A299="","",SUMIFS(Donations!$D:$D,Donations!$G:$G,A299))</f>
        <v/>
      </c>
      <c r="E299" s="35">
        <f>IF(A299="","",IF(D299&gt;0,"Yes",""))</f>
        <v/>
      </c>
      <c r="F299" s="38">
        <f>IF($A299="","",SUMIFS(Donations!$D:$D,Donations!$G:$G,$A299,Donations!$F:$F,"&gt;="&amp;'Daily Challenges'!$C$7,Donations!$F:$F,"&lt;="&amp;'Daily Challenges'!$D$7))</f>
        <v/>
      </c>
      <c r="G299" s="38">
        <f>IF($A299="","",SUMIFS(Donations!$D:$D,Donations!$G:$G,$A299,Donations!$F:$F,"&gt;="&amp;'Daily Challenges'!$C$8,Donations!$F:$F,"&lt;="&amp;'Daily Challenges'!$D$8))</f>
        <v/>
      </c>
      <c r="H299" s="38">
        <f>IF($A299="","",SUMIFS(Donations!$D:$D,Donations!$G:$G,$A299,Donations!$F:$F,"&lt;="&amp;'Daily Challenges'!$D$9))</f>
        <v/>
      </c>
      <c r="I299" s="38">
        <f>IF($A299="","",SUMIFS(Donations!$D:$D,Donations!$G:$G,$A299,Donations!$F:$F,"&gt;="&amp;'Daily Challenges'!$C$10,Donations!$F:$F,"&lt;="&amp;'Daily Challenges'!$D$10))</f>
        <v/>
      </c>
      <c r="J299" s="38">
        <f>IF($A299="","",SUMIFS(Donations!$D:$D,Donations!$G:$G,$A299,Donations!$F:$F,"&lt;="&amp;'Daily Challenges'!$D$12))</f>
        <v/>
      </c>
    </row>
    <row r="300">
      <c r="A300" s="32" t="inlineStr">
        <is>
          <t>Clara Diaz</t>
        </is>
      </c>
      <c r="B300" s="32" t="inlineStr">
        <is>
          <t>Mrs. Pruitt</t>
        </is>
      </c>
      <c r="C300" s="36" t="inlineStr">
        <is>
          <t>5</t>
        </is>
      </c>
      <c r="D300" s="37">
        <f>IF(A300="","",SUMIFS(Donations!$D:$D,Donations!$G:$G,A300))</f>
        <v/>
      </c>
      <c r="E300" s="35">
        <f>IF(A300="","",IF(D300&gt;0,"Yes",""))</f>
        <v/>
      </c>
      <c r="F300" s="38">
        <f>IF($A300="","",SUMIFS(Donations!$D:$D,Donations!$G:$G,$A300,Donations!$F:$F,"&gt;="&amp;'Daily Challenges'!$C$7,Donations!$F:$F,"&lt;="&amp;'Daily Challenges'!$D$7))</f>
        <v/>
      </c>
      <c r="G300" s="38">
        <f>IF($A300="","",SUMIFS(Donations!$D:$D,Donations!$G:$G,$A300,Donations!$F:$F,"&gt;="&amp;'Daily Challenges'!$C$8,Donations!$F:$F,"&lt;="&amp;'Daily Challenges'!$D$8))</f>
        <v/>
      </c>
      <c r="H300" s="38">
        <f>IF($A300="","",SUMIFS(Donations!$D:$D,Donations!$G:$G,$A300,Donations!$F:$F,"&lt;="&amp;'Daily Challenges'!$D$9))</f>
        <v/>
      </c>
      <c r="I300" s="38">
        <f>IF($A300="","",SUMIFS(Donations!$D:$D,Donations!$G:$G,$A300,Donations!$F:$F,"&gt;="&amp;'Daily Challenges'!$C$10,Donations!$F:$F,"&lt;="&amp;'Daily Challenges'!$D$10))</f>
        <v/>
      </c>
      <c r="J300" s="38">
        <f>IF($A300="","",SUMIFS(Donations!$D:$D,Donations!$G:$G,$A300,Donations!$F:$F,"&lt;="&amp;'Daily Challenges'!$D$12))</f>
        <v/>
      </c>
    </row>
    <row r="301">
      <c r="A301" s="32" t="inlineStr">
        <is>
          <t>Evelyn Martinez</t>
        </is>
      </c>
      <c r="B301" s="32" t="inlineStr">
        <is>
          <t>Mrs. Pruitt</t>
        </is>
      </c>
      <c r="C301" s="36" t="inlineStr">
        <is>
          <t>5</t>
        </is>
      </c>
      <c r="D301" s="37">
        <f>IF(A301="","",SUMIFS(Donations!$D:$D,Donations!$G:$G,A301))</f>
        <v/>
      </c>
      <c r="E301" s="35">
        <f>IF(A301="","",IF(D301&gt;0,"Yes",""))</f>
        <v/>
      </c>
      <c r="F301" s="38">
        <f>IF($A301="","",SUMIFS(Donations!$D:$D,Donations!$G:$G,$A301,Donations!$F:$F,"&gt;="&amp;'Daily Challenges'!$C$7,Donations!$F:$F,"&lt;="&amp;'Daily Challenges'!$D$7))</f>
        <v/>
      </c>
      <c r="G301" s="38">
        <f>IF($A301="","",SUMIFS(Donations!$D:$D,Donations!$G:$G,$A301,Donations!$F:$F,"&gt;="&amp;'Daily Challenges'!$C$8,Donations!$F:$F,"&lt;="&amp;'Daily Challenges'!$D$8))</f>
        <v/>
      </c>
      <c r="H301" s="38">
        <f>IF($A301="","",SUMIFS(Donations!$D:$D,Donations!$G:$G,$A301,Donations!$F:$F,"&lt;="&amp;'Daily Challenges'!$D$9))</f>
        <v/>
      </c>
      <c r="I301" s="38">
        <f>IF($A301="","",SUMIFS(Donations!$D:$D,Donations!$G:$G,$A301,Donations!$F:$F,"&gt;="&amp;'Daily Challenges'!$C$10,Donations!$F:$F,"&lt;="&amp;'Daily Challenges'!$D$10))</f>
        <v/>
      </c>
      <c r="J301" s="38">
        <f>IF($A301="","",SUMIFS(Donations!$D:$D,Donations!$G:$G,$A301,Donations!$F:$F,"&lt;="&amp;'Daily Challenges'!$D$12))</f>
        <v/>
      </c>
    </row>
    <row r="302">
      <c r="A302" s="32" t="inlineStr">
        <is>
          <t>Elijah Vasquez</t>
        </is>
      </c>
      <c r="B302" s="32" t="inlineStr">
        <is>
          <t>Mrs. Pruitt</t>
        </is>
      </c>
      <c r="C302" s="36" t="inlineStr">
        <is>
          <t>5</t>
        </is>
      </c>
      <c r="D302" s="37">
        <f>IF(A302="","",SUMIFS(Donations!$D:$D,Donations!$G:$G,A302))</f>
        <v/>
      </c>
      <c r="E302" s="35">
        <f>IF(A302="","",IF(D302&gt;0,"Yes",""))</f>
        <v/>
      </c>
      <c r="F302" s="38">
        <f>IF($A302="","",SUMIFS(Donations!$D:$D,Donations!$G:$G,$A302,Donations!$F:$F,"&gt;="&amp;'Daily Challenges'!$C$7,Donations!$F:$F,"&lt;="&amp;'Daily Challenges'!$D$7))</f>
        <v/>
      </c>
      <c r="G302" s="38">
        <f>IF($A302="","",SUMIFS(Donations!$D:$D,Donations!$G:$G,$A302,Donations!$F:$F,"&gt;="&amp;'Daily Challenges'!$C$8,Donations!$F:$F,"&lt;="&amp;'Daily Challenges'!$D$8))</f>
        <v/>
      </c>
      <c r="H302" s="38">
        <f>IF($A302="","",SUMIFS(Donations!$D:$D,Donations!$G:$G,$A302,Donations!$F:$F,"&lt;="&amp;'Daily Challenges'!$D$9))</f>
        <v/>
      </c>
      <c r="I302" s="38">
        <f>IF($A302="","",SUMIFS(Donations!$D:$D,Donations!$G:$G,$A302,Donations!$F:$F,"&gt;="&amp;'Daily Challenges'!$C$10,Donations!$F:$F,"&lt;="&amp;'Daily Challenges'!$D$10))</f>
        <v/>
      </c>
      <c r="J302" s="38">
        <f>IF($A302="","",SUMIFS(Donations!$D:$D,Donations!$G:$G,$A302,Donations!$F:$F,"&lt;="&amp;'Daily Challenges'!$D$12))</f>
        <v/>
      </c>
    </row>
    <row r="303">
      <c r="A303" s="32" t="inlineStr">
        <is>
          <t>Nora Diaz</t>
        </is>
      </c>
      <c r="B303" s="32" t="inlineStr">
        <is>
          <t>Mrs. Pruitt</t>
        </is>
      </c>
      <c r="C303" s="36" t="inlineStr">
        <is>
          <t>5</t>
        </is>
      </c>
      <c r="D303" s="37">
        <f>IF(A303="","",SUMIFS(Donations!$D:$D,Donations!$G:$G,A303))</f>
        <v/>
      </c>
      <c r="E303" s="35">
        <f>IF(A303="","",IF(D303&gt;0,"Yes",""))</f>
        <v/>
      </c>
      <c r="F303" s="38">
        <f>IF($A303="","",SUMIFS(Donations!$D:$D,Donations!$G:$G,$A303,Donations!$F:$F,"&gt;="&amp;'Daily Challenges'!$C$7,Donations!$F:$F,"&lt;="&amp;'Daily Challenges'!$D$7))</f>
        <v/>
      </c>
      <c r="G303" s="38">
        <f>IF($A303="","",SUMIFS(Donations!$D:$D,Donations!$G:$G,$A303,Donations!$F:$F,"&gt;="&amp;'Daily Challenges'!$C$8,Donations!$F:$F,"&lt;="&amp;'Daily Challenges'!$D$8))</f>
        <v/>
      </c>
      <c r="H303" s="38">
        <f>IF($A303="","",SUMIFS(Donations!$D:$D,Donations!$G:$G,$A303,Donations!$F:$F,"&lt;="&amp;'Daily Challenges'!$D$9))</f>
        <v/>
      </c>
      <c r="I303" s="38">
        <f>IF($A303="","",SUMIFS(Donations!$D:$D,Donations!$G:$G,$A303,Donations!$F:$F,"&gt;="&amp;'Daily Challenges'!$C$10,Donations!$F:$F,"&lt;="&amp;'Daily Challenges'!$D$10))</f>
        <v/>
      </c>
      <c r="J303" s="38">
        <f>IF($A303="","",SUMIFS(Donations!$D:$D,Donations!$G:$G,$A303,Donations!$F:$F,"&lt;="&amp;'Daily Challenges'!$D$12))</f>
        <v/>
      </c>
    </row>
    <row r="304">
      <c r="A304" s="32" t="inlineStr">
        <is>
          <t>Nicolas Chavez</t>
        </is>
      </c>
      <c r="B304" s="32" t="inlineStr">
        <is>
          <t>Mrs. Pruitt</t>
        </is>
      </c>
      <c r="C304" s="36" t="inlineStr">
        <is>
          <t>5</t>
        </is>
      </c>
      <c r="D304" s="37">
        <f>IF(A304="","",SUMIFS(Donations!$D:$D,Donations!$G:$G,A304))</f>
        <v/>
      </c>
      <c r="E304" s="35">
        <f>IF(A304="","",IF(D304&gt;0,"Yes",""))</f>
        <v/>
      </c>
      <c r="F304" s="38">
        <f>IF($A304="","",SUMIFS(Donations!$D:$D,Donations!$G:$G,$A304,Donations!$F:$F,"&gt;="&amp;'Daily Challenges'!$C$7,Donations!$F:$F,"&lt;="&amp;'Daily Challenges'!$D$7))</f>
        <v/>
      </c>
      <c r="G304" s="38">
        <f>IF($A304="","",SUMIFS(Donations!$D:$D,Donations!$G:$G,$A304,Donations!$F:$F,"&gt;="&amp;'Daily Challenges'!$C$8,Donations!$F:$F,"&lt;="&amp;'Daily Challenges'!$D$8))</f>
        <v/>
      </c>
      <c r="H304" s="38">
        <f>IF($A304="","",SUMIFS(Donations!$D:$D,Donations!$G:$G,$A304,Donations!$F:$F,"&lt;="&amp;'Daily Challenges'!$D$9))</f>
        <v/>
      </c>
      <c r="I304" s="38">
        <f>IF($A304="","",SUMIFS(Donations!$D:$D,Donations!$G:$G,$A304,Donations!$F:$F,"&gt;="&amp;'Daily Challenges'!$C$10,Donations!$F:$F,"&lt;="&amp;'Daily Challenges'!$D$10))</f>
        <v/>
      </c>
      <c r="J304" s="38">
        <f>IF($A304="","",SUMIFS(Donations!$D:$D,Donations!$G:$G,$A304,Donations!$F:$F,"&lt;="&amp;'Daily Challenges'!$D$12))</f>
        <v/>
      </c>
    </row>
    <row r="305">
      <c r="A305" s="32" t="inlineStr">
        <is>
          <t>Lucas Sullivan</t>
        </is>
      </c>
      <c r="B305" s="32" t="inlineStr">
        <is>
          <t>Mrs. Pruitt</t>
        </is>
      </c>
      <c r="C305" s="36" t="inlineStr">
        <is>
          <t>5</t>
        </is>
      </c>
      <c r="D305" s="37">
        <f>IF(A305="","",SUMIFS(Donations!$D:$D,Donations!$G:$G,A305))</f>
        <v/>
      </c>
      <c r="E305" s="35">
        <f>IF(A305="","",IF(D305&gt;0,"Yes",""))</f>
        <v/>
      </c>
      <c r="F305" s="38">
        <f>IF($A305="","",SUMIFS(Donations!$D:$D,Donations!$G:$G,$A305,Donations!$F:$F,"&gt;="&amp;'Daily Challenges'!$C$7,Donations!$F:$F,"&lt;="&amp;'Daily Challenges'!$D$7))</f>
        <v/>
      </c>
      <c r="G305" s="38">
        <f>IF($A305="","",SUMIFS(Donations!$D:$D,Donations!$G:$G,$A305,Donations!$F:$F,"&gt;="&amp;'Daily Challenges'!$C$8,Donations!$F:$F,"&lt;="&amp;'Daily Challenges'!$D$8))</f>
        <v/>
      </c>
      <c r="H305" s="38">
        <f>IF($A305="","",SUMIFS(Donations!$D:$D,Donations!$G:$G,$A305,Donations!$F:$F,"&lt;="&amp;'Daily Challenges'!$D$9))</f>
        <v/>
      </c>
      <c r="I305" s="38">
        <f>IF($A305="","",SUMIFS(Donations!$D:$D,Donations!$G:$G,$A305,Donations!$F:$F,"&gt;="&amp;'Daily Challenges'!$C$10,Donations!$F:$F,"&lt;="&amp;'Daily Challenges'!$D$10))</f>
        <v/>
      </c>
      <c r="J305" s="38">
        <f>IF($A305="","",SUMIFS(Donations!$D:$D,Donations!$G:$G,$A305,Donations!$F:$F,"&lt;="&amp;'Daily Challenges'!$D$12))</f>
        <v/>
      </c>
    </row>
    <row r="306">
      <c r="A306" s="32" t="inlineStr">
        <is>
          <t>Ava Murphy</t>
        </is>
      </c>
      <c r="B306" s="32" t="inlineStr">
        <is>
          <t>Ms. Quinlan</t>
        </is>
      </c>
      <c r="C306" s="36" t="inlineStr">
        <is>
          <t>6</t>
        </is>
      </c>
      <c r="D306" s="37">
        <f>IF(A306="","",SUMIFS(Donations!$D:$D,Donations!$G:$G,A306))</f>
        <v/>
      </c>
      <c r="E306" s="35">
        <f>IF(A306="","",IF(D306&gt;0,"Yes",""))</f>
        <v/>
      </c>
      <c r="F306" s="38">
        <f>IF($A306="","",SUMIFS(Donations!$D:$D,Donations!$G:$G,$A306,Donations!$F:$F,"&gt;="&amp;'Daily Challenges'!$C$7,Donations!$F:$F,"&lt;="&amp;'Daily Challenges'!$D$7))</f>
        <v/>
      </c>
      <c r="G306" s="38">
        <f>IF($A306="","",SUMIFS(Donations!$D:$D,Donations!$G:$G,$A306,Donations!$F:$F,"&gt;="&amp;'Daily Challenges'!$C$8,Donations!$F:$F,"&lt;="&amp;'Daily Challenges'!$D$8))</f>
        <v/>
      </c>
      <c r="H306" s="38">
        <f>IF($A306="","",SUMIFS(Donations!$D:$D,Donations!$G:$G,$A306,Donations!$F:$F,"&lt;="&amp;'Daily Challenges'!$D$9))</f>
        <v/>
      </c>
      <c r="I306" s="38">
        <f>IF($A306="","",SUMIFS(Donations!$D:$D,Donations!$G:$G,$A306,Donations!$F:$F,"&gt;="&amp;'Daily Challenges'!$C$10,Donations!$F:$F,"&lt;="&amp;'Daily Challenges'!$D$10))</f>
        <v/>
      </c>
      <c r="J306" s="38">
        <f>IF($A306="","",SUMIFS(Donations!$D:$D,Donations!$G:$G,$A306,Donations!$F:$F,"&lt;="&amp;'Daily Challenges'!$D$12))</f>
        <v/>
      </c>
    </row>
    <row r="307">
      <c r="A307" s="32" t="inlineStr">
        <is>
          <t>Liam Ortiz</t>
        </is>
      </c>
      <c r="B307" s="32" t="inlineStr">
        <is>
          <t>Ms. Quinlan</t>
        </is>
      </c>
      <c r="C307" s="36" t="inlineStr">
        <is>
          <t>6</t>
        </is>
      </c>
      <c r="D307" s="37">
        <f>IF(A307="","",SUMIFS(Donations!$D:$D,Donations!$G:$G,A307))</f>
        <v/>
      </c>
      <c r="E307" s="35">
        <f>IF(A307="","",IF(D307&gt;0,"Yes",""))</f>
        <v/>
      </c>
      <c r="F307" s="38">
        <f>IF($A307="","",SUMIFS(Donations!$D:$D,Donations!$G:$G,$A307,Donations!$F:$F,"&gt;="&amp;'Daily Challenges'!$C$7,Donations!$F:$F,"&lt;="&amp;'Daily Challenges'!$D$7))</f>
        <v/>
      </c>
      <c r="G307" s="38">
        <f>IF($A307="","",SUMIFS(Donations!$D:$D,Donations!$G:$G,$A307,Donations!$F:$F,"&gt;="&amp;'Daily Challenges'!$C$8,Donations!$F:$F,"&lt;="&amp;'Daily Challenges'!$D$8))</f>
        <v/>
      </c>
      <c r="H307" s="38">
        <f>IF($A307="","",SUMIFS(Donations!$D:$D,Donations!$G:$G,$A307,Donations!$F:$F,"&lt;="&amp;'Daily Challenges'!$D$9))</f>
        <v/>
      </c>
      <c r="I307" s="38">
        <f>IF($A307="","",SUMIFS(Donations!$D:$D,Donations!$G:$G,$A307,Donations!$F:$F,"&gt;="&amp;'Daily Challenges'!$C$10,Donations!$F:$F,"&lt;="&amp;'Daily Challenges'!$D$10))</f>
        <v/>
      </c>
      <c r="J307" s="38">
        <f>IF($A307="","",SUMIFS(Donations!$D:$D,Donations!$G:$G,$A307,Donations!$F:$F,"&lt;="&amp;'Daily Challenges'!$D$12))</f>
        <v/>
      </c>
    </row>
    <row r="308">
      <c r="A308" s="32" t="inlineStr">
        <is>
          <t>Mia Vasquez</t>
        </is>
      </c>
      <c r="B308" s="32" t="inlineStr">
        <is>
          <t>Ms. Quinlan</t>
        </is>
      </c>
      <c r="C308" s="36" t="inlineStr">
        <is>
          <t>6</t>
        </is>
      </c>
      <c r="D308" s="37">
        <f>IF(A308="","",SUMIFS(Donations!$D:$D,Donations!$G:$G,A308))</f>
        <v/>
      </c>
      <c r="E308" s="35">
        <f>IF(A308="","",IF(D308&gt;0,"Yes",""))</f>
        <v/>
      </c>
      <c r="F308" s="38">
        <f>IF($A308="","",SUMIFS(Donations!$D:$D,Donations!$G:$G,$A308,Donations!$F:$F,"&gt;="&amp;'Daily Challenges'!$C$7,Donations!$F:$F,"&lt;="&amp;'Daily Challenges'!$D$7))</f>
        <v/>
      </c>
      <c r="G308" s="38">
        <f>IF($A308="","",SUMIFS(Donations!$D:$D,Donations!$G:$G,$A308,Donations!$F:$F,"&gt;="&amp;'Daily Challenges'!$C$8,Donations!$F:$F,"&lt;="&amp;'Daily Challenges'!$D$8))</f>
        <v/>
      </c>
      <c r="H308" s="38">
        <f>IF($A308="","",SUMIFS(Donations!$D:$D,Donations!$G:$G,$A308,Donations!$F:$F,"&lt;="&amp;'Daily Challenges'!$D$9))</f>
        <v/>
      </c>
      <c r="I308" s="38">
        <f>IF($A308="","",SUMIFS(Donations!$D:$D,Donations!$G:$G,$A308,Donations!$F:$F,"&gt;="&amp;'Daily Challenges'!$C$10,Donations!$F:$F,"&lt;="&amp;'Daily Challenges'!$D$10))</f>
        <v/>
      </c>
      <c r="J308" s="38">
        <f>IF($A308="","",SUMIFS(Donations!$D:$D,Donations!$G:$G,$A308,Donations!$F:$F,"&lt;="&amp;'Daily Challenges'!$D$12))</f>
        <v/>
      </c>
    </row>
    <row r="309">
      <c r="A309" s="32" t="inlineStr">
        <is>
          <t>Olivia Cruz</t>
        </is>
      </c>
      <c r="B309" s="32" t="inlineStr">
        <is>
          <t>Ms. Quinlan</t>
        </is>
      </c>
      <c r="C309" s="36" t="inlineStr">
        <is>
          <t>6</t>
        </is>
      </c>
      <c r="D309" s="37">
        <f>IF(A309="","",SUMIFS(Donations!$D:$D,Donations!$G:$G,A309))</f>
        <v/>
      </c>
      <c r="E309" s="35">
        <f>IF(A309="","",IF(D309&gt;0,"Yes",""))</f>
        <v/>
      </c>
      <c r="F309" s="38">
        <f>IF($A309="","",SUMIFS(Donations!$D:$D,Donations!$G:$G,$A309,Donations!$F:$F,"&gt;="&amp;'Daily Challenges'!$C$7,Donations!$F:$F,"&lt;="&amp;'Daily Challenges'!$D$7))</f>
        <v/>
      </c>
      <c r="G309" s="38">
        <f>IF($A309="","",SUMIFS(Donations!$D:$D,Donations!$G:$G,$A309,Donations!$F:$F,"&gt;="&amp;'Daily Challenges'!$C$8,Donations!$F:$F,"&lt;="&amp;'Daily Challenges'!$D$8))</f>
        <v/>
      </c>
      <c r="H309" s="38">
        <f>IF($A309="","",SUMIFS(Donations!$D:$D,Donations!$G:$G,$A309,Donations!$F:$F,"&lt;="&amp;'Daily Challenges'!$D$9))</f>
        <v/>
      </c>
      <c r="I309" s="38">
        <f>IF($A309="","",SUMIFS(Donations!$D:$D,Donations!$G:$G,$A309,Donations!$F:$F,"&gt;="&amp;'Daily Challenges'!$C$10,Donations!$F:$F,"&lt;="&amp;'Daily Challenges'!$D$10))</f>
        <v/>
      </c>
      <c r="J309" s="38">
        <f>IF($A309="","",SUMIFS(Donations!$D:$D,Donations!$G:$G,$A309,Donations!$F:$F,"&lt;="&amp;'Daily Challenges'!$D$12))</f>
        <v/>
      </c>
    </row>
    <row r="310">
      <c r="A310" s="32" t="inlineStr">
        <is>
          <t>Lucas Kelly</t>
        </is>
      </c>
      <c r="B310" s="32" t="inlineStr">
        <is>
          <t>Ms. Quinlan</t>
        </is>
      </c>
      <c r="C310" s="36" t="inlineStr">
        <is>
          <t>6</t>
        </is>
      </c>
      <c r="D310" s="37">
        <f>IF(A310="","",SUMIFS(Donations!$D:$D,Donations!$G:$G,A310))</f>
        <v/>
      </c>
      <c r="E310" s="35">
        <f>IF(A310="","",IF(D310&gt;0,"Yes",""))</f>
        <v/>
      </c>
      <c r="F310" s="38">
        <f>IF($A310="","",SUMIFS(Donations!$D:$D,Donations!$G:$G,$A310,Donations!$F:$F,"&gt;="&amp;'Daily Challenges'!$C$7,Donations!$F:$F,"&lt;="&amp;'Daily Challenges'!$D$7))</f>
        <v/>
      </c>
      <c r="G310" s="38">
        <f>IF($A310="","",SUMIFS(Donations!$D:$D,Donations!$G:$G,$A310,Donations!$F:$F,"&gt;="&amp;'Daily Challenges'!$C$8,Donations!$F:$F,"&lt;="&amp;'Daily Challenges'!$D$8))</f>
        <v/>
      </c>
      <c r="H310" s="38">
        <f>IF($A310="","",SUMIFS(Donations!$D:$D,Donations!$G:$G,$A310,Donations!$F:$F,"&lt;="&amp;'Daily Challenges'!$D$9))</f>
        <v/>
      </c>
      <c r="I310" s="38">
        <f>IF($A310="","",SUMIFS(Donations!$D:$D,Donations!$G:$G,$A310,Donations!$F:$F,"&gt;="&amp;'Daily Challenges'!$C$10,Donations!$F:$F,"&lt;="&amp;'Daily Challenges'!$D$10))</f>
        <v/>
      </c>
      <c r="J310" s="38">
        <f>IF($A310="","",SUMIFS(Donations!$D:$D,Donations!$G:$G,$A310,Donations!$F:$F,"&lt;="&amp;'Daily Challenges'!$D$12))</f>
        <v/>
      </c>
    </row>
    <row r="311">
      <c r="A311" s="32" t="inlineStr">
        <is>
          <t>Grace O'Brien</t>
        </is>
      </c>
      <c r="B311" s="32" t="inlineStr">
        <is>
          <t>Ms. Quinlan</t>
        </is>
      </c>
      <c r="C311" s="36" t="inlineStr">
        <is>
          <t>6</t>
        </is>
      </c>
      <c r="D311" s="37">
        <f>IF(A311="","",SUMIFS(Donations!$D:$D,Donations!$G:$G,A311))</f>
        <v/>
      </c>
      <c r="E311" s="35">
        <f>IF(A311="","",IF(D311&gt;0,"Yes",""))</f>
        <v/>
      </c>
      <c r="F311" s="38">
        <f>IF($A311="","",SUMIFS(Donations!$D:$D,Donations!$G:$G,$A311,Donations!$F:$F,"&gt;="&amp;'Daily Challenges'!$C$7,Donations!$F:$F,"&lt;="&amp;'Daily Challenges'!$D$7))</f>
        <v/>
      </c>
      <c r="G311" s="38">
        <f>IF($A311="","",SUMIFS(Donations!$D:$D,Donations!$G:$G,$A311,Donations!$F:$F,"&gt;="&amp;'Daily Challenges'!$C$8,Donations!$F:$F,"&lt;="&amp;'Daily Challenges'!$D$8))</f>
        <v/>
      </c>
      <c r="H311" s="38">
        <f>IF($A311="","",SUMIFS(Donations!$D:$D,Donations!$G:$G,$A311,Donations!$F:$F,"&lt;="&amp;'Daily Challenges'!$D$9))</f>
        <v/>
      </c>
      <c r="I311" s="38">
        <f>IF($A311="","",SUMIFS(Donations!$D:$D,Donations!$G:$G,$A311,Donations!$F:$F,"&gt;="&amp;'Daily Challenges'!$C$10,Donations!$F:$F,"&lt;="&amp;'Daily Challenges'!$D$10))</f>
        <v/>
      </c>
      <c r="J311" s="38">
        <f>IF($A311="","",SUMIFS(Donations!$D:$D,Donations!$G:$G,$A311,Donations!$F:$F,"&lt;="&amp;'Daily Challenges'!$D$12))</f>
        <v/>
      </c>
    </row>
    <row r="312">
      <c r="A312" s="32" t="inlineStr">
        <is>
          <t>Grace Lopez</t>
        </is>
      </c>
      <c r="B312" s="32" t="inlineStr">
        <is>
          <t>Ms. Quinlan</t>
        </is>
      </c>
      <c r="C312" s="36" t="inlineStr">
        <is>
          <t>6</t>
        </is>
      </c>
      <c r="D312" s="37">
        <f>IF(A312="","",SUMIFS(Donations!$D:$D,Donations!$G:$G,A312))</f>
        <v/>
      </c>
      <c r="E312" s="35">
        <f>IF(A312="","",IF(D312&gt;0,"Yes",""))</f>
        <v/>
      </c>
      <c r="F312" s="38">
        <f>IF($A312="","",SUMIFS(Donations!$D:$D,Donations!$G:$G,$A312,Donations!$F:$F,"&gt;="&amp;'Daily Challenges'!$C$7,Donations!$F:$F,"&lt;="&amp;'Daily Challenges'!$D$7))</f>
        <v/>
      </c>
      <c r="G312" s="38">
        <f>IF($A312="","",SUMIFS(Donations!$D:$D,Donations!$G:$G,$A312,Donations!$F:$F,"&gt;="&amp;'Daily Challenges'!$C$8,Donations!$F:$F,"&lt;="&amp;'Daily Challenges'!$D$8))</f>
        <v/>
      </c>
      <c r="H312" s="38">
        <f>IF($A312="","",SUMIFS(Donations!$D:$D,Donations!$G:$G,$A312,Donations!$F:$F,"&lt;="&amp;'Daily Challenges'!$D$9))</f>
        <v/>
      </c>
      <c r="I312" s="38">
        <f>IF($A312="","",SUMIFS(Donations!$D:$D,Donations!$G:$G,$A312,Donations!$F:$F,"&gt;="&amp;'Daily Challenges'!$C$10,Donations!$F:$F,"&lt;="&amp;'Daily Challenges'!$D$10))</f>
        <v/>
      </c>
      <c r="J312" s="38">
        <f>IF($A312="","",SUMIFS(Donations!$D:$D,Donations!$G:$G,$A312,Donations!$F:$F,"&lt;="&amp;'Daily Challenges'!$D$12))</f>
        <v/>
      </c>
    </row>
    <row r="313">
      <c r="A313" s="32" t="inlineStr">
        <is>
          <t>Noah Sullivan</t>
        </is>
      </c>
      <c r="B313" s="32" t="inlineStr">
        <is>
          <t>Ms. Quinlan</t>
        </is>
      </c>
      <c r="C313" s="36" t="inlineStr">
        <is>
          <t>6</t>
        </is>
      </c>
      <c r="D313" s="37">
        <f>IF(A313="","",SUMIFS(Donations!$D:$D,Donations!$G:$G,A313))</f>
        <v/>
      </c>
      <c r="E313" s="35">
        <f>IF(A313="","",IF(D313&gt;0,"Yes",""))</f>
        <v/>
      </c>
      <c r="F313" s="38">
        <f>IF($A313="","",SUMIFS(Donations!$D:$D,Donations!$G:$G,$A313,Donations!$F:$F,"&gt;="&amp;'Daily Challenges'!$C$7,Donations!$F:$F,"&lt;="&amp;'Daily Challenges'!$D$7))</f>
        <v/>
      </c>
      <c r="G313" s="38">
        <f>IF($A313="","",SUMIFS(Donations!$D:$D,Donations!$G:$G,$A313,Donations!$F:$F,"&gt;="&amp;'Daily Challenges'!$C$8,Donations!$F:$F,"&lt;="&amp;'Daily Challenges'!$D$8))</f>
        <v/>
      </c>
      <c r="H313" s="38">
        <f>IF($A313="","",SUMIFS(Donations!$D:$D,Donations!$G:$G,$A313,Donations!$F:$F,"&lt;="&amp;'Daily Challenges'!$D$9))</f>
        <v/>
      </c>
      <c r="I313" s="38">
        <f>IF($A313="","",SUMIFS(Donations!$D:$D,Donations!$G:$G,$A313,Donations!$F:$F,"&gt;="&amp;'Daily Challenges'!$C$10,Donations!$F:$F,"&lt;="&amp;'Daily Challenges'!$D$10))</f>
        <v/>
      </c>
      <c r="J313" s="38">
        <f>IF($A313="","",SUMIFS(Donations!$D:$D,Donations!$G:$G,$A313,Donations!$F:$F,"&lt;="&amp;'Daily Challenges'!$D$12))</f>
        <v/>
      </c>
    </row>
    <row r="314">
      <c r="A314" s="32" t="inlineStr">
        <is>
          <t>Nora Flores</t>
        </is>
      </c>
      <c r="B314" s="32" t="inlineStr">
        <is>
          <t>Ms. Quinlan</t>
        </is>
      </c>
      <c r="C314" s="36" t="inlineStr">
        <is>
          <t>6</t>
        </is>
      </c>
      <c r="D314" s="37">
        <f>IF(A314="","",SUMIFS(Donations!$D:$D,Donations!$G:$G,A314))</f>
        <v/>
      </c>
      <c r="E314" s="35">
        <f>IF(A314="","",IF(D314&gt;0,"Yes",""))</f>
        <v/>
      </c>
      <c r="F314" s="38">
        <f>IF($A314="","",SUMIFS(Donations!$D:$D,Donations!$G:$G,$A314,Donations!$F:$F,"&gt;="&amp;'Daily Challenges'!$C$7,Donations!$F:$F,"&lt;="&amp;'Daily Challenges'!$D$7))</f>
        <v/>
      </c>
      <c r="G314" s="38">
        <f>IF($A314="","",SUMIFS(Donations!$D:$D,Donations!$G:$G,$A314,Donations!$F:$F,"&gt;="&amp;'Daily Challenges'!$C$8,Donations!$F:$F,"&lt;="&amp;'Daily Challenges'!$D$8))</f>
        <v/>
      </c>
      <c r="H314" s="38">
        <f>IF($A314="","",SUMIFS(Donations!$D:$D,Donations!$G:$G,$A314,Donations!$F:$F,"&lt;="&amp;'Daily Challenges'!$D$9))</f>
        <v/>
      </c>
      <c r="I314" s="38">
        <f>IF($A314="","",SUMIFS(Donations!$D:$D,Donations!$G:$G,$A314,Donations!$F:$F,"&gt;="&amp;'Daily Challenges'!$C$10,Donations!$F:$F,"&lt;="&amp;'Daily Challenges'!$D$10))</f>
        <v/>
      </c>
      <c r="J314" s="38">
        <f>IF($A314="","",SUMIFS(Donations!$D:$D,Donations!$G:$G,$A314,Donations!$F:$F,"&lt;="&amp;'Daily Challenges'!$D$12))</f>
        <v/>
      </c>
    </row>
    <row r="315">
      <c r="A315" s="32" t="inlineStr">
        <is>
          <t>Leo Gutierrez</t>
        </is>
      </c>
      <c r="B315" s="32" t="inlineStr">
        <is>
          <t>Ms. Quinlan</t>
        </is>
      </c>
      <c r="C315" s="36" t="inlineStr">
        <is>
          <t>6</t>
        </is>
      </c>
      <c r="D315" s="37">
        <f>IF(A315="","",SUMIFS(Donations!$D:$D,Donations!$G:$G,A315))</f>
        <v/>
      </c>
      <c r="E315" s="35">
        <f>IF(A315="","",IF(D315&gt;0,"Yes",""))</f>
        <v/>
      </c>
      <c r="F315" s="38">
        <f>IF($A315="","",SUMIFS(Donations!$D:$D,Donations!$G:$G,$A315,Donations!$F:$F,"&gt;="&amp;'Daily Challenges'!$C$7,Donations!$F:$F,"&lt;="&amp;'Daily Challenges'!$D$7))</f>
        <v/>
      </c>
      <c r="G315" s="38">
        <f>IF($A315="","",SUMIFS(Donations!$D:$D,Donations!$G:$G,$A315,Donations!$F:$F,"&gt;="&amp;'Daily Challenges'!$C$8,Donations!$F:$F,"&lt;="&amp;'Daily Challenges'!$D$8))</f>
        <v/>
      </c>
      <c r="H315" s="38">
        <f>IF($A315="","",SUMIFS(Donations!$D:$D,Donations!$G:$G,$A315,Donations!$F:$F,"&lt;="&amp;'Daily Challenges'!$D$9))</f>
        <v/>
      </c>
      <c r="I315" s="38">
        <f>IF($A315="","",SUMIFS(Donations!$D:$D,Donations!$G:$G,$A315,Donations!$F:$F,"&gt;="&amp;'Daily Challenges'!$C$10,Donations!$F:$F,"&lt;="&amp;'Daily Challenges'!$D$10))</f>
        <v/>
      </c>
      <c r="J315" s="38">
        <f>IF($A315="","",SUMIFS(Donations!$D:$D,Donations!$G:$G,$A315,Donations!$F:$F,"&lt;="&amp;'Daily Challenges'!$D$12))</f>
        <v/>
      </c>
    </row>
    <row r="316">
      <c r="A316" s="32" t="inlineStr">
        <is>
          <t>Zoe Gomez</t>
        </is>
      </c>
      <c r="B316" s="32" t="inlineStr">
        <is>
          <t>Ms. Quinlan</t>
        </is>
      </c>
      <c r="C316" s="36" t="inlineStr">
        <is>
          <t>6</t>
        </is>
      </c>
      <c r="D316" s="37">
        <f>IF(A316="","",SUMIFS(Donations!$D:$D,Donations!$G:$G,A316))</f>
        <v/>
      </c>
      <c r="E316" s="35">
        <f>IF(A316="","",IF(D316&gt;0,"Yes",""))</f>
        <v/>
      </c>
      <c r="F316" s="38">
        <f>IF($A316="","",SUMIFS(Donations!$D:$D,Donations!$G:$G,$A316,Donations!$F:$F,"&gt;="&amp;'Daily Challenges'!$C$7,Donations!$F:$F,"&lt;="&amp;'Daily Challenges'!$D$7))</f>
        <v/>
      </c>
      <c r="G316" s="38">
        <f>IF($A316="","",SUMIFS(Donations!$D:$D,Donations!$G:$G,$A316,Donations!$F:$F,"&gt;="&amp;'Daily Challenges'!$C$8,Donations!$F:$F,"&lt;="&amp;'Daily Challenges'!$D$8))</f>
        <v/>
      </c>
      <c r="H316" s="38">
        <f>IF($A316="","",SUMIFS(Donations!$D:$D,Donations!$G:$G,$A316,Donations!$F:$F,"&lt;="&amp;'Daily Challenges'!$D$9))</f>
        <v/>
      </c>
      <c r="I316" s="38">
        <f>IF($A316="","",SUMIFS(Donations!$D:$D,Donations!$G:$G,$A316,Donations!$F:$F,"&gt;="&amp;'Daily Challenges'!$C$10,Donations!$F:$F,"&lt;="&amp;'Daily Challenges'!$D$10))</f>
        <v/>
      </c>
      <c r="J316" s="38">
        <f>IF($A316="","",SUMIFS(Donations!$D:$D,Donations!$G:$G,$A316,Donations!$F:$F,"&lt;="&amp;'Daily Challenges'!$D$12))</f>
        <v/>
      </c>
    </row>
    <row r="317">
      <c r="A317" s="32" t="inlineStr">
        <is>
          <t>David Morales</t>
        </is>
      </c>
      <c r="B317" s="32" t="inlineStr">
        <is>
          <t>Ms. Quinlan</t>
        </is>
      </c>
      <c r="C317" s="36" t="inlineStr">
        <is>
          <t>6</t>
        </is>
      </c>
      <c r="D317" s="37">
        <f>IF(A317="","",SUMIFS(Donations!$D:$D,Donations!$G:$G,A317))</f>
        <v/>
      </c>
      <c r="E317" s="35">
        <f>IF(A317="","",IF(D317&gt;0,"Yes",""))</f>
        <v/>
      </c>
      <c r="F317" s="38">
        <f>IF($A317="","",SUMIFS(Donations!$D:$D,Donations!$G:$G,$A317,Donations!$F:$F,"&gt;="&amp;'Daily Challenges'!$C$7,Donations!$F:$F,"&lt;="&amp;'Daily Challenges'!$D$7))</f>
        <v/>
      </c>
      <c r="G317" s="38">
        <f>IF($A317="","",SUMIFS(Donations!$D:$D,Donations!$G:$G,$A317,Donations!$F:$F,"&gt;="&amp;'Daily Challenges'!$C$8,Donations!$F:$F,"&lt;="&amp;'Daily Challenges'!$D$8))</f>
        <v/>
      </c>
      <c r="H317" s="38">
        <f>IF($A317="","",SUMIFS(Donations!$D:$D,Donations!$G:$G,$A317,Donations!$F:$F,"&lt;="&amp;'Daily Challenges'!$D$9))</f>
        <v/>
      </c>
      <c r="I317" s="38">
        <f>IF($A317="","",SUMIFS(Donations!$D:$D,Donations!$G:$G,$A317,Donations!$F:$F,"&gt;="&amp;'Daily Challenges'!$C$10,Donations!$F:$F,"&lt;="&amp;'Daily Challenges'!$D$10))</f>
        <v/>
      </c>
      <c r="J317" s="38">
        <f>IF($A317="","",SUMIFS(Donations!$D:$D,Donations!$G:$G,$A317,Donations!$F:$F,"&lt;="&amp;'Daily Challenges'!$D$12))</f>
        <v/>
      </c>
    </row>
    <row r="318">
      <c r="A318" s="32" t="inlineStr">
        <is>
          <t>Amelia Lopez</t>
        </is>
      </c>
      <c r="B318" s="32" t="inlineStr">
        <is>
          <t>Ms. Quinlan</t>
        </is>
      </c>
      <c r="C318" s="36" t="inlineStr">
        <is>
          <t>6</t>
        </is>
      </c>
      <c r="D318" s="37">
        <f>IF(A318="","",SUMIFS(Donations!$D:$D,Donations!$G:$G,A318))</f>
        <v/>
      </c>
      <c r="E318" s="35">
        <f>IF(A318="","",IF(D318&gt;0,"Yes",""))</f>
        <v/>
      </c>
      <c r="F318" s="38">
        <f>IF($A318="","",SUMIFS(Donations!$D:$D,Donations!$G:$G,$A318,Donations!$F:$F,"&gt;="&amp;'Daily Challenges'!$C$7,Donations!$F:$F,"&lt;="&amp;'Daily Challenges'!$D$7))</f>
        <v/>
      </c>
      <c r="G318" s="38">
        <f>IF($A318="","",SUMIFS(Donations!$D:$D,Donations!$G:$G,$A318,Donations!$F:$F,"&gt;="&amp;'Daily Challenges'!$C$8,Donations!$F:$F,"&lt;="&amp;'Daily Challenges'!$D$8))</f>
        <v/>
      </c>
      <c r="H318" s="38">
        <f>IF($A318="","",SUMIFS(Donations!$D:$D,Donations!$G:$G,$A318,Donations!$F:$F,"&lt;="&amp;'Daily Challenges'!$D$9))</f>
        <v/>
      </c>
      <c r="I318" s="38">
        <f>IF($A318="","",SUMIFS(Donations!$D:$D,Donations!$G:$G,$A318,Donations!$F:$F,"&gt;="&amp;'Daily Challenges'!$C$10,Donations!$F:$F,"&lt;="&amp;'Daily Challenges'!$D$10))</f>
        <v/>
      </c>
      <c r="J318" s="38">
        <f>IF($A318="","",SUMIFS(Donations!$D:$D,Donations!$G:$G,$A318,Donations!$F:$F,"&lt;="&amp;'Daily Challenges'!$D$12))</f>
        <v/>
      </c>
    </row>
    <row r="319">
      <c r="A319" s="32" t="inlineStr">
        <is>
          <t>Thomas Nguyen</t>
        </is>
      </c>
      <c r="B319" s="32" t="inlineStr">
        <is>
          <t>Ms. Quinlan</t>
        </is>
      </c>
      <c r="C319" s="36" t="inlineStr">
        <is>
          <t>6</t>
        </is>
      </c>
      <c r="D319" s="37">
        <f>IF(A319="","",SUMIFS(Donations!$D:$D,Donations!$G:$G,A319))</f>
        <v/>
      </c>
      <c r="E319" s="35">
        <f>IF(A319="","",IF(D319&gt;0,"Yes",""))</f>
        <v/>
      </c>
      <c r="F319" s="38">
        <f>IF($A319="","",SUMIFS(Donations!$D:$D,Donations!$G:$G,$A319,Donations!$F:$F,"&gt;="&amp;'Daily Challenges'!$C$7,Donations!$F:$F,"&lt;="&amp;'Daily Challenges'!$D$7))</f>
        <v/>
      </c>
      <c r="G319" s="38">
        <f>IF($A319="","",SUMIFS(Donations!$D:$D,Donations!$G:$G,$A319,Donations!$F:$F,"&gt;="&amp;'Daily Challenges'!$C$8,Donations!$F:$F,"&lt;="&amp;'Daily Challenges'!$D$8))</f>
        <v/>
      </c>
      <c r="H319" s="38">
        <f>IF($A319="","",SUMIFS(Donations!$D:$D,Donations!$G:$G,$A319,Donations!$F:$F,"&lt;="&amp;'Daily Challenges'!$D$9))</f>
        <v/>
      </c>
      <c r="I319" s="38">
        <f>IF($A319="","",SUMIFS(Donations!$D:$D,Donations!$G:$G,$A319,Donations!$F:$F,"&gt;="&amp;'Daily Challenges'!$C$10,Donations!$F:$F,"&lt;="&amp;'Daily Challenges'!$D$10))</f>
        <v/>
      </c>
      <c r="J319" s="38">
        <f>IF($A319="","",SUMIFS(Donations!$D:$D,Donations!$G:$G,$A319,Donations!$F:$F,"&lt;="&amp;'Daily Challenges'!$D$12))</f>
        <v/>
      </c>
    </row>
    <row r="320">
      <c r="A320" s="32" t="inlineStr">
        <is>
          <t>Emma Martinez</t>
        </is>
      </c>
      <c r="B320" s="32" t="inlineStr">
        <is>
          <t>Ms. Quinlan</t>
        </is>
      </c>
      <c r="C320" s="36" t="inlineStr">
        <is>
          <t>6</t>
        </is>
      </c>
      <c r="D320" s="37">
        <f>IF(A320="","",SUMIFS(Donations!$D:$D,Donations!$G:$G,A320))</f>
        <v/>
      </c>
      <c r="E320" s="35">
        <f>IF(A320="","",IF(D320&gt;0,"Yes",""))</f>
        <v/>
      </c>
      <c r="F320" s="38">
        <f>IF($A320="","",SUMIFS(Donations!$D:$D,Donations!$G:$G,$A320,Donations!$F:$F,"&gt;="&amp;'Daily Challenges'!$C$7,Donations!$F:$F,"&lt;="&amp;'Daily Challenges'!$D$7))</f>
        <v/>
      </c>
      <c r="G320" s="38">
        <f>IF($A320="","",SUMIFS(Donations!$D:$D,Donations!$G:$G,$A320,Donations!$F:$F,"&gt;="&amp;'Daily Challenges'!$C$8,Donations!$F:$F,"&lt;="&amp;'Daily Challenges'!$D$8))</f>
        <v/>
      </c>
      <c r="H320" s="38">
        <f>IF($A320="","",SUMIFS(Donations!$D:$D,Donations!$G:$G,$A320,Donations!$F:$F,"&lt;="&amp;'Daily Challenges'!$D$9))</f>
        <v/>
      </c>
      <c r="I320" s="38">
        <f>IF($A320="","",SUMIFS(Donations!$D:$D,Donations!$G:$G,$A320,Donations!$F:$F,"&gt;="&amp;'Daily Challenges'!$C$10,Donations!$F:$F,"&lt;="&amp;'Daily Challenges'!$D$10))</f>
        <v/>
      </c>
      <c r="J320" s="38">
        <f>IF($A320="","",SUMIFS(Donations!$D:$D,Donations!$G:$G,$A320,Donations!$F:$F,"&lt;="&amp;'Daily Challenges'!$D$12))</f>
        <v/>
      </c>
    </row>
    <row r="321">
      <c r="A321" s="32" t="inlineStr">
        <is>
          <t>Zoe Chavez</t>
        </is>
      </c>
      <c r="B321" s="32" t="inlineStr">
        <is>
          <t>Ms. Quinlan</t>
        </is>
      </c>
      <c r="C321" s="36" t="inlineStr">
        <is>
          <t>6</t>
        </is>
      </c>
      <c r="D321" s="37">
        <f>IF(A321="","",SUMIFS(Donations!$D:$D,Donations!$G:$G,A321))</f>
        <v/>
      </c>
      <c r="E321" s="35">
        <f>IF(A321="","",IF(D321&gt;0,"Yes",""))</f>
        <v/>
      </c>
      <c r="F321" s="38">
        <f>IF($A321="","",SUMIFS(Donations!$D:$D,Donations!$G:$G,$A321,Donations!$F:$F,"&gt;="&amp;'Daily Challenges'!$C$7,Donations!$F:$F,"&lt;="&amp;'Daily Challenges'!$D$7))</f>
        <v/>
      </c>
      <c r="G321" s="38">
        <f>IF($A321="","",SUMIFS(Donations!$D:$D,Donations!$G:$G,$A321,Donations!$F:$F,"&gt;="&amp;'Daily Challenges'!$C$8,Donations!$F:$F,"&lt;="&amp;'Daily Challenges'!$D$8))</f>
        <v/>
      </c>
      <c r="H321" s="38">
        <f>IF($A321="","",SUMIFS(Donations!$D:$D,Donations!$G:$G,$A321,Donations!$F:$F,"&lt;="&amp;'Daily Challenges'!$D$9))</f>
        <v/>
      </c>
      <c r="I321" s="38">
        <f>IF($A321="","",SUMIFS(Donations!$D:$D,Donations!$G:$G,$A321,Donations!$F:$F,"&gt;="&amp;'Daily Challenges'!$C$10,Donations!$F:$F,"&lt;="&amp;'Daily Challenges'!$D$10))</f>
        <v/>
      </c>
      <c r="J321" s="38">
        <f>IF($A321="","",SUMIFS(Donations!$D:$D,Donations!$G:$G,$A321,Donations!$F:$F,"&lt;="&amp;'Daily Challenges'!$D$12))</f>
        <v/>
      </c>
    </row>
    <row r="322">
      <c r="A322" s="32" t="inlineStr">
        <is>
          <t>Amelia Vasquez</t>
        </is>
      </c>
      <c r="B322" s="32" t="inlineStr">
        <is>
          <t>Ms. Quinlan</t>
        </is>
      </c>
      <c r="C322" s="36" t="inlineStr">
        <is>
          <t>6</t>
        </is>
      </c>
      <c r="D322" s="37">
        <f>IF(A322="","",SUMIFS(Donations!$D:$D,Donations!$G:$G,A322))</f>
        <v/>
      </c>
      <c r="E322" s="35">
        <f>IF(A322="","",IF(D322&gt;0,"Yes",""))</f>
        <v/>
      </c>
      <c r="F322" s="38">
        <f>IF($A322="","",SUMIFS(Donations!$D:$D,Donations!$G:$G,$A322,Donations!$F:$F,"&gt;="&amp;'Daily Challenges'!$C$7,Donations!$F:$F,"&lt;="&amp;'Daily Challenges'!$D$7))</f>
        <v/>
      </c>
      <c r="G322" s="38">
        <f>IF($A322="","",SUMIFS(Donations!$D:$D,Donations!$G:$G,$A322,Donations!$F:$F,"&gt;="&amp;'Daily Challenges'!$C$8,Donations!$F:$F,"&lt;="&amp;'Daily Challenges'!$D$8))</f>
        <v/>
      </c>
      <c r="H322" s="38">
        <f>IF($A322="","",SUMIFS(Donations!$D:$D,Donations!$G:$G,$A322,Donations!$F:$F,"&lt;="&amp;'Daily Challenges'!$D$9))</f>
        <v/>
      </c>
      <c r="I322" s="38">
        <f>IF($A322="","",SUMIFS(Donations!$D:$D,Donations!$G:$G,$A322,Donations!$F:$F,"&gt;="&amp;'Daily Challenges'!$C$10,Donations!$F:$F,"&lt;="&amp;'Daily Challenges'!$D$10))</f>
        <v/>
      </c>
      <c r="J322" s="38">
        <f>IF($A322="","",SUMIFS(Donations!$D:$D,Donations!$G:$G,$A322,Donations!$F:$F,"&lt;="&amp;'Daily Challenges'!$D$12))</f>
        <v/>
      </c>
    </row>
    <row r="323">
      <c r="A323" s="32" t="inlineStr">
        <is>
          <t>Ava Chavez</t>
        </is>
      </c>
      <c r="B323" s="32" t="inlineStr">
        <is>
          <t>Ms. Quinlan</t>
        </is>
      </c>
      <c r="C323" s="36" t="inlineStr">
        <is>
          <t>6</t>
        </is>
      </c>
      <c r="D323" s="37">
        <f>IF(A323="","",SUMIFS(Donations!$D:$D,Donations!$G:$G,A323))</f>
        <v/>
      </c>
      <c r="E323" s="35">
        <f>IF(A323="","",IF(D323&gt;0,"Yes",""))</f>
        <v/>
      </c>
      <c r="F323" s="38">
        <f>IF($A323="","",SUMIFS(Donations!$D:$D,Donations!$G:$G,$A323,Donations!$F:$F,"&gt;="&amp;'Daily Challenges'!$C$7,Donations!$F:$F,"&lt;="&amp;'Daily Challenges'!$D$7))</f>
        <v/>
      </c>
      <c r="G323" s="38">
        <f>IF($A323="","",SUMIFS(Donations!$D:$D,Donations!$G:$G,$A323,Donations!$F:$F,"&gt;="&amp;'Daily Challenges'!$C$8,Donations!$F:$F,"&lt;="&amp;'Daily Challenges'!$D$8))</f>
        <v/>
      </c>
      <c r="H323" s="38">
        <f>IF($A323="","",SUMIFS(Donations!$D:$D,Donations!$G:$G,$A323,Donations!$F:$F,"&lt;="&amp;'Daily Challenges'!$D$9))</f>
        <v/>
      </c>
      <c r="I323" s="38">
        <f>IF($A323="","",SUMIFS(Donations!$D:$D,Donations!$G:$G,$A323,Donations!$F:$F,"&gt;="&amp;'Daily Challenges'!$C$10,Donations!$F:$F,"&lt;="&amp;'Daily Challenges'!$D$10))</f>
        <v/>
      </c>
      <c r="J323" s="38">
        <f>IF($A323="","",SUMIFS(Donations!$D:$D,Donations!$G:$G,$A323,Donations!$F:$F,"&lt;="&amp;'Daily Challenges'!$D$12))</f>
        <v/>
      </c>
    </row>
    <row r="324">
      <c r="A324" s="32" t="inlineStr">
        <is>
          <t>Benjamin Patel</t>
        </is>
      </c>
      <c r="B324" s="32" t="inlineStr">
        <is>
          <t>Ms. Quinlan</t>
        </is>
      </c>
      <c r="C324" s="36" t="inlineStr">
        <is>
          <t>6</t>
        </is>
      </c>
      <c r="D324" s="37">
        <f>IF(A324="","",SUMIFS(Donations!$D:$D,Donations!$G:$G,A324))</f>
        <v/>
      </c>
      <c r="E324" s="35">
        <f>IF(A324="","",IF(D324&gt;0,"Yes",""))</f>
        <v/>
      </c>
      <c r="F324" s="38">
        <f>IF($A324="","",SUMIFS(Donations!$D:$D,Donations!$G:$G,$A324,Donations!$F:$F,"&gt;="&amp;'Daily Challenges'!$C$7,Donations!$F:$F,"&lt;="&amp;'Daily Challenges'!$D$7))</f>
        <v/>
      </c>
      <c r="G324" s="38">
        <f>IF($A324="","",SUMIFS(Donations!$D:$D,Donations!$G:$G,$A324,Donations!$F:$F,"&gt;="&amp;'Daily Challenges'!$C$8,Donations!$F:$F,"&lt;="&amp;'Daily Challenges'!$D$8))</f>
        <v/>
      </c>
      <c r="H324" s="38">
        <f>IF($A324="","",SUMIFS(Donations!$D:$D,Donations!$G:$G,$A324,Donations!$F:$F,"&lt;="&amp;'Daily Challenges'!$D$9))</f>
        <v/>
      </c>
      <c r="I324" s="38">
        <f>IF($A324="","",SUMIFS(Donations!$D:$D,Donations!$G:$G,$A324,Donations!$F:$F,"&gt;="&amp;'Daily Challenges'!$C$10,Donations!$F:$F,"&lt;="&amp;'Daily Challenges'!$D$10))</f>
        <v/>
      </c>
      <c r="J324" s="38">
        <f>IF($A324="","",SUMIFS(Donations!$D:$D,Donations!$G:$G,$A324,Donations!$F:$F,"&lt;="&amp;'Daily Challenges'!$D$12))</f>
        <v/>
      </c>
    </row>
    <row r="325">
      <c r="A325" s="32" t="inlineStr">
        <is>
          <t>Elijah Walsh</t>
        </is>
      </c>
      <c r="B325" s="32" t="inlineStr">
        <is>
          <t>Ms. Quinlan</t>
        </is>
      </c>
      <c r="C325" s="36" t="inlineStr">
        <is>
          <t>6</t>
        </is>
      </c>
      <c r="D325" s="37">
        <f>IF(A325="","",SUMIFS(Donations!$D:$D,Donations!$G:$G,A325))</f>
        <v/>
      </c>
      <c r="E325" s="35">
        <f>IF(A325="","",IF(D325&gt;0,"Yes",""))</f>
        <v/>
      </c>
      <c r="F325" s="38">
        <f>IF($A325="","",SUMIFS(Donations!$D:$D,Donations!$G:$G,$A325,Donations!$F:$F,"&gt;="&amp;'Daily Challenges'!$C$7,Donations!$F:$F,"&lt;="&amp;'Daily Challenges'!$D$7))</f>
        <v/>
      </c>
      <c r="G325" s="38">
        <f>IF($A325="","",SUMIFS(Donations!$D:$D,Donations!$G:$G,$A325,Donations!$F:$F,"&gt;="&amp;'Daily Challenges'!$C$8,Donations!$F:$F,"&lt;="&amp;'Daily Challenges'!$D$8))</f>
        <v/>
      </c>
      <c r="H325" s="38">
        <f>IF($A325="","",SUMIFS(Donations!$D:$D,Donations!$G:$G,$A325,Donations!$F:$F,"&lt;="&amp;'Daily Challenges'!$D$9))</f>
        <v/>
      </c>
      <c r="I325" s="38">
        <f>IF($A325="","",SUMIFS(Donations!$D:$D,Donations!$G:$G,$A325,Donations!$F:$F,"&gt;="&amp;'Daily Challenges'!$C$10,Donations!$F:$F,"&lt;="&amp;'Daily Challenges'!$D$10))</f>
        <v/>
      </c>
      <c r="J325" s="38">
        <f>IF($A325="","",SUMIFS(Donations!$D:$D,Donations!$G:$G,$A325,Donations!$F:$F,"&lt;="&amp;'Daily Challenges'!$D$12))</f>
        <v/>
      </c>
    </row>
    <row r="326">
      <c r="A326" s="32" t="inlineStr">
        <is>
          <t>Santiago Alvarez</t>
        </is>
      </c>
      <c r="B326" s="32" t="inlineStr">
        <is>
          <t>Mrs. Ravel</t>
        </is>
      </c>
      <c r="C326" s="36" t="inlineStr">
        <is>
          <t>6</t>
        </is>
      </c>
      <c r="D326" s="37">
        <f>IF(A326="","",SUMIFS(Donations!$D:$D,Donations!$G:$G,A326))</f>
        <v/>
      </c>
      <c r="E326" s="35">
        <f>IF(A326="","",IF(D326&gt;0,"Yes",""))</f>
        <v/>
      </c>
      <c r="F326" s="38">
        <f>IF($A326="","",SUMIFS(Donations!$D:$D,Donations!$G:$G,$A326,Donations!$F:$F,"&gt;="&amp;'Daily Challenges'!$C$7,Donations!$F:$F,"&lt;="&amp;'Daily Challenges'!$D$7))</f>
        <v/>
      </c>
      <c r="G326" s="38">
        <f>IF($A326="","",SUMIFS(Donations!$D:$D,Donations!$G:$G,$A326,Donations!$F:$F,"&gt;="&amp;'Daily Challenges'!$C$8,Donations!$F:$F,"&lt;="&amp;'Daily Challenges'!$D$8))</f>
        <v/>
      </c>
      <c r="H326" s="38">
        <f>IF($A326="","",SUMIFS(Donations!$D:$D,Donations!$G:$G,$A326,Donations!$F:$F,"&lt;="&amp;'Daily Challenges'!$D$9))</f>
        <v/>
      </c>
      <c r="I326" s="38">
        <f>IF($A326="","",SUMIFS(Donations!$D:$D,Donations!$G:$G,$A326,Donations!$F:$F,"&gt;="&amp;'Daily Challenges'!$C$10,Donations!$F:$F,"&lt;="&amp;'Daily Challenges'!$D$10))</f>
        <v/>
      </c>
      <c r="J326" s="38">
        <f>IF($A326="","",SUMIFS(Donations!$D:$D,Donations!$G:$G,$A326,Donations!$F:$F,"&lt;="&amp;'Daily Challenges'!$D$12))</f>
        <v/>
      </c>
    </row>
    <row r="327">
      <c r="A327" s="32" t="inlineStr">
        <is>
          <t>Camila Patel</t>
        </is>
      </c>
      <c r="B327" s="32" t="inlineStr">
        <is>
          <t>Mrs. Ravel</t>
        </is>
      </c>
      <c r="C327" s="36" t="inlineStr">
        <is>
          <t>6</t>
        </is>
      </c>
      <c r="D327" s="37">
        <f>IF(A327="","",SUMIFS(Donations!$D:$D,Donations!$G:$G,A327))</f>
        <v/>
      </c>
      <c r="E327" s="35">
        <f>IF(A327="","",IF(D327&gt;0,"Yes",""))</f>
        <v/>
      </c>
      <c r="F327" s="38">
        <f>IF($A327="","",SUMIFS(Donations!$D:$D,Donations!$G:$G,$A327,Donations!$F:$F,"&gt;="&amp;'Daily Challenges'!$C$7,Donations!$F:$F,"&lt;="&amp;'Daily Challenges'!$D$7))</f>
        <v/>
      </c>
      <c r="G327" s="38">
        <f>IF($A327="","",SUMIFS(Donations!$D:$D,Donations!$G:$G,$A327,Donations!$F:$F,"&gt;="&amp;'Daily Challenges'!$C$8,Donations!$F:$F,"&lt;="&amp;'Daily Challenges'!$D$8))</f>
        <v/>
      </c>
      <c r="H327" s="38">
        <f>IF($A327="","",SUMIFS(Donations!$D:$D,Donations!$G:$G,$A327,Donations!$F:$F,"&lt;="&amp;'Daily Challenges'!$D$9))</f>
        <v/>
      </c>
      <c r="I327" s="38">
        <f>IF($A327="","",SUMIFS(Donations!$D:$D,Donations!$G:$G,$A327,Donations!$F:$F,"&gt;="&amp;'Daily Challenges'!$C$10,Donations!$F:$F,"&lt;="&amp;'Daily Challenges'!$D$10))</f>
        <v/>
      </c>
      <c r="J327" s="38">
        <f>IF($A327="","",SUMIFS(Donations!$D:$D,Donations!$G:$G,$A327,Donations!$F:$F,"&lt;="&amp;'Daily Challenges'!$D$12))</f>
        <v/>
      </c>
    </row>
    <row r="328">
      <c r="A328" s="32" t="inlineStr">
        <is>
          <t>Aria Cruz</t>
        </is>
      </c>
      <c r="B328" s="32" t="inlineStr">
        <is>
          <t>Mrs. Ravel</t>
        </is>
      </c>
      <c r="C328" s="36" t="inlineStr">
        <is>
          <t>6</t>
        </is>
      </c>
      <c r="D328" s="37">
        <f>IF(A328="","",SUMIFS(Donations!$D:$D,Donations!$G:$G,A328))</f>
        <v/>
      </c>
      <c r="E328" s="35">
        <f>IF(A328="","",IF(D328&gt;0,"Yes",""))</f>
        <v/>
      </c>
      <c r="F328" s="38">
        <f>IF($A328="","",SUMIFS(Donations!$D:$D,Donations!$G:$G,$A328,Donations!$F:$F,"&gt;="&amp;'Daily Challenges'!$C$7,Donations!$F:$F,"&lt;="&amp;'Daily Challenges'!$D$7))</f>
        <v/>
      </c>
      <c r="G328" s="38">
        <f>IF($A328="","",SUMIFS(Donations!$D:$D,Donations!$G:$G,$A328,Donations!$F:$F,"&gt;="&amp;'Daily Challenges'!$C$8,Donations!$F:$F,"&lt;="&amp;'Daily Challenges'!$D$8))</f>
        <v/>
      </c>
      <c r="H328" s="38">
        <f>IF($A328="","",SUMIFS(Donations!$D:$D,Donations!$G:$G,$A328,Donations!$F:$F,"&lt;="&amp;'Daily Challenges'!$D$9))</f>
        <v/>
      </c>
      <c r="I328" s="38">
        <f>IF($A328="","",SUMIFS(Donations!$D:$D,Donations!$G:$G,$A328,Donations!$F:$F,"&gt;="&amp;'Daily Challenges'!$C$10,Donations!$F:$F,"&lt;="&amp;'Daily Challenges'!$D$10))</f>
        <v/>
      </c>
      <c r="J328" s="38">
        <f>IF($A328="","",SUMIFS(Donations!$D:$D,Donations!$G:$G,$A328,Donations!$F:$F,"&lt;="&amp;'Daily Challenges'!$D$12))</f>
        <v/>
      </c>
    </row>
    <row r="329">
      <c r="A329" s="32" t="inlineStr">
        <is>
          <t>Zoe Ryan</t>
        </is>
      </c>
      <c r="B329" s="32" t="inlineStr">
        <is>
          <t>Mrs. Ravel</t>
        </is>
      </c>
      <c r="C329" s="36" t="inlineStr">
        <is>
          <t>6</t>
        </is>
      </c>
      <c r="D329" s="37">
        <f>IF(A329="","",SUMIFS(Donations!$D:$D,Donations!$G:$G,A329))</f>
        <v/>
      </c>
      <c r="E329" s="35">
        <f>IF(A329="","",IF(D329&gt;0,"Yes",""))</f>
        <v/>
      </c>
      <c r="F329" s="38">
        <f>IF($A329="","",SUMIFS(Donations!$D:$D,Donations!$G:$G,$A329,Donations!$F:$F,"&gt;="&amp;'Daily Challenges'!$C$7,Donations!$F:$F,"&lt;="&amp;'Daily Challenges'!$D$7))</f>
        <v/>
      </c>
      <c r="G329" s="38">
        <f>IF($A329="","",SUMIFS(Donations!$D:$D,Donations!$G:$G,$A329,Donations!$F:$F,"&gt;="&amp;'Daily Challenges'!$C$8,Donations!$F:$F,"&lt;="&amp;'Daily Challenges'!$D$8))</f>
        <v/>
      </c>
      <c r="H329" s="38">
        <f>IF($A329="","",SUMIFS(Donations!$D:$D,Donations!$G:$G,$A329,Donations!$F:$F,"&lt;="&amp;'Daily Challenges'!$D$9))</f>
        <v/>
      </c>
      <c r="I329" s="38">
        <f>IF($A329="","",SUMIFS(Donations!$D:$D,Donations!$G:$G,$A329,Donations!$F:$F,"&gt;="&amp;'Daily Challenges'!$C$10,Donations!$F:$F,"&lt;="&amp;'Daily Challenges'!$D$10))</f>
        <v/>
      </c>
      <c r="J329" s="38">
        <f>IF($A329="","",SUMIFS(Donations!$D:$D,Donations!$G:$G,$A329,Donations!$F:$F,"&lt;="&amp;'Daily Challenges'!$D$12))</f>
        <v/>
      </c>
    </row>
    <row r="330">
      <c r="A330" s="32" t="inlineStr">
        <is>
          <t>Lucas Patel</t>
        </is>
      </c>
      <c r="B330" s="32" t="inlineStr">
        <is>
          <t>Mrs. Ravel</t>
        </is>
      </c>
      <c r="C330" s="36" t="inlineStr">
        <is>
          <t>6</t>
        </is>
      </c>
      <c r="D330" s="37">
        <f>IF(A330="","",SUMIFS(Donations!$D:$D,Donations!$G:$G,A330))</f>
        <v/>
      </c>
      <c r="E330" s="35">
        <f>IF(A330="","",IF(D330&gt;0,"Yes",""))</f>
        <v/>
      </c>
      <c r="F330" s="38">
        <f>IF($A330="","",SUMIFS(Donations!$D:$D,Donations!$G:$G,$A330,Donations!$F:$F,"&gt;="&amp;'Daily Challenges'!$C$7,Donations!$F:$F,"&lt;="&amp;'Daily Challenges'!$D$7))</f>
        <v/>
      </c>
      <c r="G330" s="38">
        <f>IF($A330="","",SUMIFS(Donations!$D:$D,Donations!$G:$G,$A330,Donations!$F:$F,"&gt;="&amp;'Daily Challenges'!$C$8,Donations!$F:$F,"&lt;="&amp;'Daily Challenges'!$D$8))</f>
        <v/>
      </c>
      <c r="H330" s="38">
        <f>IF($A330="","",SUMIFS(Donations!$D:$D,Donations!$G:$G,$A330,Donations!$F:$F,"&lt;="&amp;'Daily Challenges'!$D$9))</f>
        <v/>
      </c>
      <c r="I330" s="38">
        <f>IF($A330="","",SUMIFS(Donations!$D:$D,Donations!$G:$G,$A330,Donations!$F:$F,"&gt;="&amp;'Daily Challenges'!$C$10,Donations!$F:$F,"&lt;="&amp;'Daily Challenges'!$D$10))</f>
        <v/>
      </c>
      <c r="J330" s="38">
        <f>IF($A330="","",SUMIFS(Donations!$D:$D,Donations!$G:$G,$A330,Donations!$F:$F,"&lt;="&amp;'Daily Challenges'!$D$12))</f>
        <v/>
      </c>
    </row>
    <row r="331">
      <c r="A331" s="32" t="inlineStr">
        <is>
          <t>Isaac Byrne</t>
        </is>
      </c>
      <c r="B331" s="32" t="inlineStr">
        <is>
          <t>Mrs. Ravel</t>
        </is>
      </c>
      <c r="C331" s="36" t="inlineStr">
        <is>
          <t>6</t>
        </is>
      </c>
      <c r="D331" s="37">
        <f>IF(A331="","",SUMIFS(Donations!$D:$D,Donations!$G:$G,A331))</f>
        <v/>
      </c>
      <c r="E331" s="35">
        <f>IF(A331="","",IF(D331&gt;0,"Yes",""))</f>
        <v/>
      </c>
      <c r="F331" s="38">
        <f>IF($A331="","",SUMIFS(Donations!$D:$D,Donations!$G:$G,$A331,Donations!$F:$F,"&gt;="&amp;'Daily Challenges'!$C$7,Donations!$F:$F,"&lt;="&amp;'Daily Challenges'!$D$7))</f>
        <v/>
      </c>
      <c r="G331" s="38">
        <f>IF($A331="","",SUMIFS(Donations!$D:$D,Donations!$G:$G,$A331,Donations!$F:$F,"&gt;="&amp;'Daily Challenges'!$C$8,Donations!$F:$F,"&lt;="&amp;'Daily Challenges'!$D$8))</f>
        <v/>
      </c>
      <c r="H331" s="38">
        <f>IF($A331="","",SUMIFS(Donations!$D:$D,Donations!$G:$G,$A331,Donations!$F:$F,"&lt;="&amp;'Daily Challenges'!$D$9))</f>
        <v/>
      </c>
      <c r="I331" s="38">
        <f>IF($A331="","",SUMIFS(Donations!$D:$D,Donations!$G:$G,$A331,Donations!$F:$F,"&gt;="&amp;'Daily Challenges'!$C$10,Donations!$F:$F,"&lt;="&amp;'Daily Challenges'!$D$10))</f>
        <v/>
      </c>
      <c r="J331" s="38">
        <f>IF($A331="","",SUMIFS(Donations!$D:$D,Donations!$G:$G,$A331,Donations!$F:$F,"&lt;="&amp;'Daily Challenges'!$D$12))</f>
        <v/>
      </c>
    </row>
    <row r="332">
      <c r="A332" s="32" t="inlineStr">
        <is>
          <t>Evelyn Ortiz</t>
        </is>
      </c>
      <c r="B332" s="32" t="inlineStr">
        <is>
          <t>Mrs. Ravel</t>
        </is>
      </c>
      <c r="C332" s="36" t="inlineStr">
        <is>
          <t>6</t>
        </is>
      </c>
      <c r="D332" s="37">
        <f>IF(A332="","",SUMIFS(Donations!$D:$D,Donations!$G:$G,A332))</f>
        <v/>
      </c>
      <c r="E332" s="35">
        <f>IF(A332="","",IF(D332&gt;0,"Yes",""))</f>
        <v/>
      </c>
      <c r="F332" s="38">
        <f>IF($A332="","",SUMIFS(Donations!$D:$D,Donations!$G:$G,$A332,Donations!$F:$F,"&gt;="&amp;'Daily Challenges'!$C$7,Donations!$F:$F,"&lt;="&amp;'Daily Challenges'!$D$7))</f>
        <v/>
      </c>
      <c r="G332" s="38">
        <f>IF($A332="","",SUMIFS(Donations!$D:$D,Donations!$G:$G,$A332,Donations!$F:$F,"&gt;="&amp;'Daily Challenges'!$C$8,Donations!$F:$F,"&lt;="&amp;'Daily Challenges'!$D$8))</f>
        <v/>
      </c>
      <c r="H332" s="38">
        <f>IF($A332="","",SUMIFS(Donations!$D:$D,Donations!$G:$G,$A332,Donations!$F:$F,"&lt;="&amp;'Daily Challenges'!$D$9))</f>
        <v/>
      </c>
      <c r="I332" s="38">
        <f>IF($A332="","",SUMIFS(Donations!$D:$D,Donations!$G:$G,$A332,Donations!$F:$F,"&gt;="&amp;'Daily Challenges'!$C$10,Donations!$F:$F,"&lt;="&amp;'Daily Challenges'!$D$10))</f>
        <v/>
      </c>
      <c r="J332" s="38">
        <f>IF($A332="","",SUMIFS(Donations!$D:$D,Donations!$G:$G,$A332,Donations!$F:$F,"&lt;="&amp;'Daily Challenges'!$D$12))</f>
        <v/>
      </c>
    </row>
    <row r="333">
      <c r="A333" s="32" t="inlineStr">
        <is>
          <t>Gabriel Sanchez</t>
        </is>
      </c>
      <c r="B333" s="32" t="inlineStr">
        <is>
          <t>Mrs. Ravel</t>
        </is>
      </c>
      <c r="C333" s="36" t="inlineStr">
        <is>
          <t>6</t>
        </is>
      </c>
      <c r="D333" s="37">
        <f>IF(A333="","",SUMIFS(Donations!$D:$D,Donations!$G:$G,A333))</f>
        <v/>
      </c>
      <c r="E333" s="35">
        <f>IF(A333="","",IF(D333&gt;0,"Yes",""))</f>
        <v/>
      </c>
      <c r="F333" s="38">
        <f>IF($A333="","",SUMIFS(Donations!$D:$D,Donations!$G:$G,$A333,Donations!$F:$F,"&gt;="&amp;'Daily Challenges'!$C$7,Donations!$F:$F,"&lt;="&amp;'Daily Challenges'!$D$7))</f>
        <v/>
      </c>
      <c r="G333" s="38">
        <f>IF($A333="","",SUMIFS(Donations!$D:$D,Donations!$G:$G,$A333,Donations!$F:$F,"&gt;="&amp;'Daily Challenges'!$C$8,Donations!$F:$F,"&lt;="&amp;'Daily Challenges'!$D$8))</f>
        <v/>
      </c>
      <c r="H333" s="38">
        <f>IF($A333="","",SUMIFS(Donations!$D:$D,Donations!$G:$G,$A333,Donations!$F:$F,"&lt;="&amp;'Daily Challenges'!$D$9))</f>
        <v/>
      </c>
      <c r="I333" s="38">
        <f>IF($A333="","",SUMIFS(Donations!$D:$D,Donations!$G:$G,$A333,Donations!$F:$F,"&gt;="&amp;'Daily Challenges'!$C$10,Donations!$F:$F,"&lt;="&amp;'Daily Challenges'!$D$10))</f>
        <v/>
      </c>
      <c r="J333" s="38">
        <f>IF($A333="","",SUMIFS(Donations!$D:$D,Donations!$G:$G,$A333,Donations!$F:$F,"&lt;="&amp;'Daily Challenges'!$D$12))</f>
        <v/>
      </c>
    </row>
    <row r="334">
      <c r="A334" s="32" t="inlineStr">
        <is>
          <t>Isaac O'Brien</t>
        </is>
      </c>
      <c r="B334" s="32" t="inlineStr">
        <is>
          <t>Mrs. Ravel</t>
        </is>
      </c>
      <c r="C334" s="36" t="inlineStr">
        <is>
          <t>6</t>
        </is>
      </c>
      <c r="D334" s="37">
        <f>IF(A334="","",SUMIFS(Donations!$D:$D,Donations!$G:$G,A334))</f>
        <v/>
      </c>
      <c r="E334" s="35">
        <f>IF(A334="","",IF(D334&gt;0,"Yes",""))</f>
        <v/>
      </c>
      <c r="F334" s="38">
        <f>IF($A334="","",SUMIFS(Donations!$D:$D,Donations!$G:$G,$A334,Donations!$F:$F,"&gt;="&amp;'Daily Challenges'!$C$7,Donations!$F:$F,"&lt;="&amp;'Daily Challenges'!$D$7))</f>
        <v/>
      </c>
      <c r="G334" s="38">
        <f>IF($A334="","",SUMIFS(Donations!$D:$D,Donations!$G:$G,$A334,Donations!$F:$F,"&gt;="&amp;'Daily Challenges'!$C$8,Donations!$F:$F,"&lt;="&amp;'Daily Challenges'!$D$8))</f>
        <v/>
      </c>
      <c r="H334" s="38">
        <f>IF($A334="","",SUMIFS(Donations!$D:$D,Donations!$G:$G,$A334,Donations!$F:$F,"&lt;="&amp;'Daily Challenges'!$D$9))</f>
        <v/>
      </c>
      <c r="I334" s="38">
        <f>IF($A334="","",SUMIFS(Donations!$D:$D,Donations!$G:$G,$A334,Donations!$F:$F,"&gt;="&amp;'Daily Challenges'!$C$10,Donations!$F:$F,"&lt;="&amp;'Daily Challenges'!$D$10))</f>
        <v/>
      </c>
      <c r="J334" s="38">
        <f>IF($A334="","",SUMIFS(Donations!$D:$D,Donations!$G:$G,$A334,Donations!$F:$F,"&lt;="&amp;'Daily Challenges'!$D$12))</f>
        <v/>
      </c>
    </row>
    <row r="335">
      <c r="A335" s="32" t="inlineStr">
        <is>
          <t>Chloe Williams</t>
        </is>
      </c>
      <c r="B335" s="32" t="inlineStr">
        <is>
          <t>Mrs. Ravel</t>
        </is>
      </c>
      <c r="C335" s="36" t="inlineStr">
        <is>
          <t>6</t>
        </is>
      </c>
      <c r="D335" s="37">
        <f>IF(A335="","",SUMIFS(Donations!$D:$D,Donations!$G:$G,A335))</f>
        <v/>
      </c>
      <c r="E335" s="35">
        <f>IF(A335="","",IF(D335&gt;0,"Yes",""))</f>
        <v/>
      </c>
      <c r="F335" s="38">
        <f>IF($A335="","",SUMIFS(Donations!$D:$D,Donations!$G:$G,$A335,Donations!$F:$F,"&gt;="&amp;'Daily Challenges'!$C$7,Donations!$F:$F,"&lt;="&amp;'Daily Challenges'!$D$7))</f>
        <v/>
      </c>
      <c r="G335" s="38">
        <f>IF($A335="","",SUMIFS(Donations!$D:$D,Donations!$G:$G,$A335,Donations!$F:$F,"&gt;="&amp;'Daily Challenges'!$C$8,Donations!$F:$F,"&lt;="&amp;'Daily Challenges'!$D$8))</f>
        <v/>
      </c>
      <c r="H335" s="38">
        <f>IF($A335="","",SUMIFS(Donations!$D:$D,Donations!$G:$G,$A335,Donations!$F:$F,"&lt;="&amp;'Daily Challenges'!$D$9))</f>
        <v/>
      </c>
      <c r="I335" s="38">
        <f>IF($A335="","",SUMIFS(Donations!$D:$D,Donations!$G:$G,$A335,Donations!$F:$F,"&gt;="&amp;'Daily Challenges'!$C$10,Donations!$F:$F,"&lt;="&amp;'Daily Challenges'!$D$10))</f>
        <v/>
      </c>
      <c r="J335" s="38">
        <f>IF($A335="","",SUMIFS(Donations!$D:$D,Donations!$G:$G,$A335,Donations!$F:$F,"&lt;="&amp;'Daily Challenges'!$D$12))</f>
        <v/>
      </c>
    </row>
    <row r="336">
      <c r="A336" s="32" t="inlineStr">
        <is>
          <t>Maya Torres</t>
        </is>
      </c>
      <c r="B336" s="32" t="inlineStr">
        <is>
          <t>Mrs. Ravel</t>
        </is>
      </c>
      <c r="C336" s="36" t="inlineStr">
        <is>
          <t>6</t>
        </is>
      </c>
      <c r="D336" s="37">
        <f>IF(A336="","",SUMIFS(Donations!$D:$D,Donations!$G:$G,A336))</f>
        <v/>
      </c>
      <c r="E336" s="35">
        <f>IF(A336="","",IF(D336&gt;0,"Yes",""))</f>
        <v/>
      </c>
      <c r="F336" s="38">
        <f>IF($A336="","",SUMIFS(Donations!$D:$D,Donations!$G:$G,$A336,Donations!$F:$F,"&gt;="&amp;'Daily Challenges'!$C$7,Donations!$F:$F,"&lt;="&amp;'Daily Challenges'!$D$7))</f>
        <v/>
      </c>
      <c r="G336" s="38">
        <f>IF($A336="","",SUMIFS(Donations!$D:$D,Donations!$G:$G,$A336,Donations!$F:$F,"&gt;="&amp;'Daily Challenges'!$C$8,Donations!$F:$F,"&lt;="&amp;'Daily Challenges'!$D$8))</f>
        <v/>
      </c>
      <c r="H336" s="38">
        <f>IF($A336="","",SUMIFS(Donations!$D:$D,Donations!$G:$G,$A336,Donations!$F:$F,"&lt;="&amp;'Daily Challenges'!$D$9))</f>
        <v/>
      </c>
      <c r="I336" s="38">
        <f>IF($A336="","",SUMIFS(Donations!$D:$D,Donations!$G:$G,$A336,Donations!$F:$F,"&gt;="&amp;'Daily Challenges'!$C$10,Donations!$F:$F,"&lt;="&amp;'Daily Challenges'!$D$10))</f>
        <v/>
      </c>
      <c r="J336" s="38">
        <f>IF($A336="","",SUMIFS(Donations!$D:$D,Donations!$G:$G,$A336,Donations!$F:$F,"&lt;="&amp;'Daily Challenges'!$D$12))</f>
        <v/>
      </c>
    </row>
    <row r="337">
      <c r="A337" s="32" t="inlineStr">
        <is>
          <t>Mateo Vasquez</t>
        </is>
      </c>
      <c r="B337" s="32" t="inlineStr">
        <is>
          <t>Mrs. Ravel</t>
        </is>
      </c>
      <c r="C337" s="36" t="inlineStr">
        <is>
          <t>6</t>
        </is>
      </c>
      <c r="D337" s="37">
        <f>IF(A337="","",SUMIFS(Donations!$D:$D,Donations!$G:$G,A337))</f>
        <v/>
      </c>
      <c r="E337" s="35">
        <f>IF(A337="","",IF(D337&gt;0,"Yes",""))</f>
        <v/>
      </c>
      <c r="F337" s="38">
        <f>IF($A337="","",SUMIFS(Donations!$D:$D,Donations!$G:$G,$A337,Donations!$F:$F,"&gt;="&amp;'Daily Challenges'!$C$7,Donations!$F:$F,"&lt;="&amp;'Daily Challenges'!$D$7))</f>
        <v/>
      </c>
      <c r="G337" s="38">
        <f>IF($A337="","",SUMIFS(Donations!$D:$D,Donations!$G:$G,$A337,Donations!$F:$F,"&gt;="&amp;'Daily Challenges'!$C$8,Donations!$F:$F,"&lt;="&amp;'Daily Challenges'!$D$8))</f>
        <v/>
      </c>
      <c r="H337" s="38">
        <f>IF($A337="","",SUMIFS(Donations!$D:$D,Donations!$G:$G,$A337,Donations!$F:$F,"&lt;="&amp;'Daily Challenges'!$D$9))</f>
        <v/>
      </c>
      <c r="I337" s="38">
        <f>IF($A337="","",SUMIFS(Donations!$D:$D,Donations!$G:$G,$A337,Donations!$F:$F,"&gt;="&amp;'Daily Challenges'!$C$10,Donations!$F:$F,"&lt;="&amp;'Daily Challenges'!$D$10))</f>
        <v/>
      </c>
      <c r="J337" s="38">
        <f>IF($A337="","",SUMIFS(Donations!$D:$D,Donations!$G:$G,$A337,Donations!$F:$F,"&lt;="&amp;'Daily Challenges'!$D$12))</f>
        <v/>
      </c>
    </row>
    <row r="338">
      <c r="A338" s="32" t="inlineStr">
        <is>
          <t>James Torres</t>
        </is>
      </c>
      <c r="B338" s="32" t="inlineStr">
        <is>
          <t>Mrs. Ravel</t>
        </is>
      </c>
      <c r="C338" s="36" t="inlineStr">
        <is>
          <t>6</t>
        </is>
      </c>
      <c r="D338" s="37">
        <f>IF(A338="","",SUMIFS(Donations!$D:$D,Donations!$G:$G,A338))</f>
        <v/>
      </c>
      <c r="E338" s="35">
        <f>IF(A338="","",IF(D338&gt;0,"Yes",""))</f>
        <v/>
      </c>
      <c r="F338" s="38">
        <f>IF($A338="","",SUMIFS(Donations!$D:$D,Donations!$G:$G,$A338,Donations!$F:$F,"&gt;="&amp;'Daily Challenges'!$C$7,Donations!$F:$F,"&lt;="&amp;'Daily Challenges'!$D$7))</f>
        <v/>
      </c>
      <c r="G338" s="38">
        <f>IF($A338="","",SUMIFS(Donations!$D:$D,Donations!$G:$G,$A338,Donations!$F:$F,"&gt;="&amp;'Daily Challenges'!$C$8,Donations!$F:$F,"&lt;="&amp;'Daily Challenges'!$D$8))</f>
        <v/>
      </c>
      <c r="H338" s="38">
        <f>IF($A338="","",SUMIFS(Donations!$D:$D,Donations!$G:$G,$A338,Donations!$F:$F,"&lt;="&amp;'Daily Challenges'!$D$9))</f>
        <v/>
      </c>
      <c r="I338" s="38">
        <f>IF($A338="","",SUMIFS(Donations!$D:$D,Donations!$G:$G,$A338,Donations!$F:$F,"&gt;="&amp;'Daily Challenges'!$C$10,Donations!$F:$F,"&lt;="&amp;'Daily Challenges'!$D$10))</f>
        <v/>
      </c>
      <c r="J338" s="38">
        <f>IF($A338="","",SUMIFS(Donations!$D:$D,Donations!$G:$G,$A338,Donations!$F:$F,"&lt;="&amp;'Daily Challenges'!$D$12))</f>
        <v/>
      </c>
    </row>
    <row r="339">
      <c r="A339" s="32" t="inlineStr">
        <is>
          <t>Isaac Rodriguez</t>
        </is>
      </c>
      <c r="B339" s="32" t="inlineStr">
        <is>
          <t>Mrs. Ravel</t>
        </is>
      </c>
      <c r="C339" s="36" t="inlineStr">
        <is>
          <t>6</t>
        </is>
      </c>
      <c r="D339" s="37">
        <f>IF(A339="","",SUMIFS(Donations!$D:$D,Donations!$G:$G,A339))</f>
        <v/>
      </c>
      <c r="E339" s="35">
        <f>IF(A339="","",IF(D339&gt;0,"Yes",""))</f>
        <v/>
      </c>
      <c r="F339" s="38">
        <f>IF($A339="","",SUMIFS(Donations!$D:$D,Donations!$G:$G,$A339,Donations!$F:$F,"&gt;="&amp;'Daily Challenges'!$C$7,Donations!$F:$F,"&lt;="&amp;'Daily Challenges'!$D$7))</f>
        <v/>
      </c>
      <c r="G339" s="38">
        <f>IF($A339="","",SUMIFS(Donations!$D:$D,Donations!$G:$G,$A339,Donations!$F:$F,"&gt;="&amp;'Daily Challenges'!$C$8,Donations!$F:$F,"&lt;="&amp;'Daily Challenges'!$D$8))</f>
        <v/>
      </c>
      <c r="H339" s="38">
        <f>IF($A339="","",SUMIFS(Donations!$D:$D,Donations!$G:$G,$A339,Donations!$F:$F,"&lt;="&amp;'Daily Challenges'!$D$9))</f>
        <v/>
      </c>
      <c r="I339" s="38">
        <f>IF($A339="","",SUMIFS(Donations!$D:$D,Donations!$G:$G,$A339,Donations!$F:$F,"&gt;="&amp;'Daily Challenges'!$C$10,Donations!$F:$F,"&lt;="&amp;'Daily Challenges'!$D$10))</f>
        <v/>
      </c>
      <c r="J339" s="38">
        <f>IF($A339="","",SUMIFS(Donations!$D:$D,Donations!$G:$G,$A339,Donations!$F:$F,"&lt;="&amp;'Daily Challenges'!$D$12))</f>
        <v/>
      </c>
    </row>
    <row r="340">
      <c r="A340" s="32" t="inlineStr">
        <is>
          <t>Nora Torres</t>
        </is>
      </c>
      <c r="B340" s="32" t="inlineStr">
        <is>
          <t>Mrs. Ravel</t>
        </is>
      </c>
      <c r="C340" s="36" t="inlineStr">
        <is>
          <t>6</t>
        </is>
      </c>
      <c r="D340" s="37">
        <f>IF(A340="","",SUMIFS(Donations!$D:$D,Donations!$G:$G,A340))</f>
        <v/>
      </c>
      <c r="E340" s="35">
        <f>IF(A340="","",IF(D340&gt;0,"Yes",""))</f>
        <v/>
      </c>
      <c r="F340" s="38">
        <f>IF($A340="","",SUMIFS(Donations!$D:$D,Donations!$G:$G,$A340,Donations!$F:$F,"&gt;="&amp;'Daily Challenges'!$C$7,Donations!$F:$F,"&lt;="&amp;'Daily Challenges'!$D$7))</f>
        <v/>
      </c>
      <c r="G340" s="38">
        <f>IF($A340="","",SUMIFS(Donations!$D:$D,Donations!$G:$G,$A340,Donations!$F:$F,"&gt;="&amp;'Daily Challenges'!$C$8,Donations!$F:$F,"&lt;="&amp;'Daily Challenges'!$D$8))</f>
        <v/>
      </c>
      <c r="H340" s="38">
        <f>IF($A340="","",SUMIFS(Donations!$D:$D,Donations!$G:$G,$A340,Donations!$F:$F,"&lt;="&amp;'Daily Challenges'!$D$9))</f>
        <v/>
      </c>
      <c r="I340" s="38">
        <f>IF($A340="","",SUMIFS(Donations!$D:$D,Donations!$G:$G,$A340,Donations!$F:$F,"&gt;="&amp;'Daily Challenges'!$C$10,Donations!$F:$F,"&lt;="&amp;'Daily Challenges'!$D$10))</f>
        <v/>
      </c>
      <c r="J340" s="38">
        <f>IF($A340="","",SUMIFS(Donations!$D:$D,Donations!$G:$G,$A340,Donations!$F:$F,"&lt;="&amp;'Daily Challenges'!$D$12))</f>
        <v/>
      </c>
    </row>
    <row r="341">
      <c r="A341" s="32" t="inlineStr">
        <is>
          <t>Benjamin Nguyen</t>
        </is>
      </c>
      <c r="B341" s="32" t="inlineStr">
        <is>
          <t>Mrs. Ravel</t>
        </is>
      </c>
      <c r="C341" s="36" t="inlineStr">
        <is>
          <t>6</t>
        </is>
      </c>
      <c r="D341" s="37">
        <f>IF(A341="","",SUMIFS(Donations!$D:$D,Donations!$G:$G,A341))</f>
        <v/>
      </c>
      <c r="E341" s="35">
        <f>IF(A341="","",IF(D341&gt;0,"Yes",""))</f>
        <v/>
      </c>
      <c r="F341" s="38">
        <f>IF($A341="","",SUMIFS(Donations!$D:$D,Donations!$G:$G,$A341,Donations!$F:$F,"&gt;="&amp;'Daily Challenges'!$C$7,Donations!$F:$F,"&lt;="&amp;'Daily Challenges'!$D$7))</f>
        <v/>
      </c>
      <c r="G341" s="38">
        <f>IF($A341="","",SUMIFS(Donations!$D:$D,Donations!$G:$G,$A341,Donations!$F:$F,"&gt;="&amp;'Daily Challenges'!$C$8,Donations!$F:$F,"&lt;="&amp;'Daily Challenges'!$D$8))</f>
        <v/>
      </c>
      <c r="H341" s="38">
        <f>IF($A341="","",SUMIFS(Donations!$D:$D,Donations!$G:$G,$A341,Donations!$F:$F,"&lt;="&amp;'Daily Challenges'!$D$9))</f>
        <v/>
      </c>
      <c r="I341" s="38">
        <f>IF($A341="","",SUMIFS(Donations!$D:$D,Donations!$G:$G,$A341,Donations!$F:$F,"&gt;="&amp;'Daily Challenges'!$C$10,Donations!$F:$F,"&lt;="&amp;'Daily Challenges'!$D$10))</f>
        <v/>
      </c>
      <c r="J341" s="38">
        <f>IF($A341="","",SUMIFS(Donations!$D:$D,Donations!$G:$G,$A341,Donations!$F:$F,"&lt;="&amp;'Daily Challenges'!$D$12))</f>
        <v/>
      </c>
    </row>
    <row r="342">
      <c r="A342" s="32" t="inlineStr">
        <is>
          <t>Emma Sullivan</t>
        </is>
      </c>
      <c r="B342" s="32" t="inlineStr">
        <is>
          <t>Mrs. Ravel</t>
        </is>
      </c>
      <c r="C342" s="36" t="inlineStr">
        <is>
          <t>6</t>
        </is>
      </c>
      <c r="D342" s="37">
        <f>IF(A342="","",SUMIFS(Donations!$D:$D,Donations!$G:$G,A342))</f>
        <v/>
      </c>
      <c r="E342" s="35">
        <f>IF(A342="","",IF(D342&gt;0,"Yes",""))</f>
        <v/>
      </c>
      <c r="F342" s="38">
        <f>IF($A342="","",SUMIFS(Donations!$D:$D,Donations!$G:$G,$A342,Donations!$F:$F,"&gt;="&amp;'Daily Challenges'!$C$7,Donations!$F:$F,"&lt;="&amp;'Daily Challenges'!$D$7))</f>
        <v/>
      </c>
      <c r="G342" s="38">
        <f>IF($A342="","",SUMIFS(Donations!$D:$D,Donations!$G:$G,$A342,Donations!$F:$F,"&gt;="&amp;'Daily Challenges'!$C$8,Donations!$F:$F,"&lt;="&amp;'Daily Challenges'!$D$8))</f>
        <v/>
      </c>
      <c r="H342" s="38">
        <f>IF($A342="","",SUMIFS(Donations!$D:$D,Donations!$G:$G,$A342,Donations!$F:$F,"&lt;="&amp;'Daily Challenges'!$D$9))</f>
        <v/>
      </c>
      <c r="I342" s="38">
        <f>IF($A342="","",SUMIFS(Donations!$D:$D,Donations!$G:$G,$A342,Donations!$F:$F,"&gt;="&amp;'Daily Challenges'!$C$10,Donations!$F:$F,"&lt;="&amp;'Daily Challenges'!$D$10))</f>
        <v/>
      </c>
      <c r="J342" s="38">
        <f>IF($A342="","",SUMIFS(Donations!$D:$D,Donations!$G:$G,$A342,Donations!$F:$F,"&lt;="&amp;'Daily Challenges'!$D$12))</f>
        <v/>
      </c>
    </row>
    <row r="343">
      <c r="A343" s="32" t="inlineStr">
        <is>
          <t>Evelyn Chavez</t>
        </is>
      </c>
      <c r="B343" s="32" t="inlineStr">
        <is>
          <t>Mrs. Ravel</t>
        </is>
      </c>
      <c r="C343" s="36" t="inlineStr">
        <is>
          <t>6</t>
        </is>
      </c>
      <c r="D343" s="37">
        <f>IF(A343="","",SUMIFS(Donations!$D:$D,Donations!$G:$G,A343))</f>
        <v/>
      </c>
      <c r="E343" s="35">
        <f>IF(A343="","",IF(D343&gt;0,"Yes",""))</f>
        <v/>
      </c>
      <c r="F343" s="38">
        <f>IF($A343="","",SUMIFS(Donations!$D:$D,Donations!$G:$G,$A343,Donations!$F:$F,"&gt;="&amp;'Daily Challenges'!$C$7,Donations!$F:$F,"&lt;="&amp;'Daily Challenges'!$D$7))</f>
        <v/>
      </c>
      <c r="G343" s="38">
        <f>IF($A343="","",SUMIFS(Donations!$D:$D,Donations!$G:$G,$A343,Donations!$F:$F,"&gt;="&amp;'Daily Challenges'!$C$8,Donations!$F:$F,"&lt;="&amp;'Daily Challenges'!$D$8))</f>
        <v/>
      </c>
      <c r="H343" s="38">
        <f>IF($A343="","",SUMIFS(Donations!$D:$D,Donations!$G:$G,$A343,Donations!$F:$F,"&lt;="&amp;'Daily Challenges'!$D$9))</f>
        <v/>
      </c>
      <c r="I343" s="38">
        <f>IF($A343="","",SUMIFS(Donations!$D:$D,Donations!$G:$G,$A343,Donations!$F:$F,"&gt;="&amp;'Daily Challenges'!$C$10,Donations!$F:$F,"&lt;="&amp;'Daily Challenges'!$D$10))</f>
        <v/>
      </c>
      <c r="J343" s="38">
        <f>IF($A343="","",SUMIFS(Donations!$D:$D,Donations!$G:$G,$A343,Donations!$F:$F,"&lt;="&amp;'Daily Challenges'!$D$12))</f>
        <v/>
      </c>
    </row>
    <row r="344">
      <c r="A344" s="32" t="inlineStr">
        <is>
          <t>Thomas Ruiz</t>
        </is>
      </c>
      <c r="B344" s="32" t="inlineStr">
        <is>
          <t>Mrs. Ravel</t>
        </is>
      </c>
      <c r="C344" s="36" t="inlineStr">
        <is>
          <t>6</t>
        </is>
      </c>
      <c r="D344" s="37">
        <f>IF(A344="","",SUMIFS(Donations!$D:$D,Donations!$G:$G,A344))</f>
        <v/>
      </c>
      <c r="E344" s="35">
        <f>IF(A344="","",IF(D344&gt;0,"Yes",""))</f>
        <v/>
      </c>
      <c r="F344" s="38">
        <f>IF($A344="","",SUMIFS(Donations!$D:$D,Donations!$G:$G,$A344,Donations!$F:$F,"&gt;="&amp;'Daily Challenges'!$C$7,Donations!$F:$F,"&lt;="&amp;'Daily Challenges'!$D$7))</f>
        <v/>
      </c>
      <c r="G344" s="38">
        <f>IF($A344="","",SUMIFS(Donations!$D:$D,Donations!$G:$G,$A344,Donations!$F:$F,"&gt;="&amp;'Daily Challenges'!$C$8,Donations!$F:$F,"&lt;="&amp;'Daily Challenges'!$D$8))</f>
        <v/>
      </c>
      <c r="H344" s="38">
        <f>IF($A344="","",SUMIFS(Donations!$D:$D,Donations!$G:$G,$A344,Donations!$F:$F,"&lt;="&amp;'Daily Challenges'!$D$9))</f>
        <v/>
      </c>
      <c r="I344" s="38">
        <f>IF($A344="","",SUMIFS(Donations!$D:$D,Donations!$G:$G,$A344,Donations!$F:$F,"&gt;="&amp;'Daily Challenges'!$C$10,Donations!$F:$F,"&lt;="&amp;'Daily Challenges'!$D$10))</f>
        <v/>
      </c>
      <c r="J344" s="38">
        <f>IF($A344="","",SUMIFS(Donations!$D:$D,Donations!$G:$G,$A344,Donations!$F:$F,"&lt;="&amp;'Daily Challenges'!$D$12))</f>
        <v/>
      </c>
    </row>
    <row r="345">
      <c r="A345" s="32" t="inlineStr">
        <is>
          <t>Aria Ryan</t>
        </is>
      </c>
      <c r="B345" s="32" t="inlineStr">
        <is>
          <t>Mrs. Ravel</t>
        </is>
      </c>
      <c r="C345" s="36" t="inlineStr">
        <is>
          <t>6</t>
        </is>
      </c>
      <c r="D345" s="37">
        <f>IF(A345="","",SUMIFS(Donations!$D:$D,Donations!$G:$G,A345))</f>
        <v/>
      </c>
      <c r="E345" s="35">
        <f>IF(A345="","",IF(D345&gt;0,"Yes",""))</f>
        <v/>
      </c>
      <c r="F345" s="38">
        <f>IF($A345="","",SUMIFS(Donations!$D:$D,Donations!$G:$G,$A345,Donations!$F:$F,"&gt;="&amp;'Daily Challenges'!$C$7,Donations!$F:$F,"&lt;="&amp;'Daily Challenges'!$D$7))</f>
        <v/>
      </c>
      <c r="G345" s="38">
        <f>IF($A345="","",SUMIFS(Donations!$D:$D,Donations!$G:$G,$A345,Donations!$F:$F,"&gt;="&amp;'Daily Challenges'!$C$8,Donations!$F:$F,"&lt;="&amp;'Daily Challenges'!$D$8))</f>
        <v/>
      </c>
      <c r="H345" s="38">
        <f>IF($A345="","",SUMIFS(Donations!$D:$D,Donations!$G:$G,$A345,Donations!$F:$F,"&lt;="&amp;'Daily Challenges'!$D$9))</f>
        <v/>
      </c>
      <c r="I345" s="38">
        <f>IF($A345="","",SUMIFS(Donations!$D:$D,Donations!$G:$G,$A345,Donations!$F:$F,"&gt;="&amp;'Daily Challenges'!$C$10,Donations!$F:$F,"&lt;="&amp;'Daily Challenges'!$D$10))</f>
        <v/>
      </c>
      <c r="J345" s="38">
        <f>IF($A345="","",SUMIFS(Donations!$D:$D,Donations!$G:$G,$A345,Donations!$F:$F,"&lt;="&amp;'Daily Challenges'!$D$12))</f>
        <v/>
      </c>
    </row>
    <row r="346">
      <c r="A346" s="32" t="inlineStr">
        <is>
          <t>Aria Ramirez</t>
        </is>
      </c>
      <c r="B346" s="32" t="inlineStr">
        <is>
          <t>Mr. Stanton</t>
        </is>
      </c>
      <c r="C346" s="36" t="inlineStr">
        <is>
          <t>7</t>
        </is>
      </c>
      <c r="D346" s="37">
        <f>IF(A346="","",SUMIFS(Donations!$D:$D,Donations!$G:$G,A346))</f>
        <v/>
      </c>
      <c r="E346" s="35">
        <f>IF(A346="","",IF(D346&gt;0,"Yes",""))</f>
        <v/>
      </c>
      <c r="F346" s="38">
        <f>IF($A346="","",SUMIFS(Donations!$D:$D,Donations!$G:$G,$A346,Donations!$F:$F,"&gt;="&amp;'Daily Challenges'!$C$7,Donations!$F:$F,"&lt;="&amp;'Daily Challenges'!$D$7))</f>
        <v/>
      </c>
      <c r="G346" s="38">
        <f>IF($A346="","",SUMIFS(Donations!$D:$D,Donations!$G:$G,$A346,Donations!$F:$F,"&gt;="&amp;'Daily Challenges'!$C$8,Donations!$F:$F,"&lt;="&amp;'Daily Challenges'!$D$8))</f>
        <v/>
      </c>
      <c r="H346" s="38">
        <f>IF($A346="","",SUMIFS(Donations!$D:$D,Donations!$G:$G,$A346,Donations!$F:$F,"&lt;="&amp;'Daily Challenges'!$D$9))</f>
        <v/>
      </c>
      <c r="I346" s="38">
        <f>IF($A346="","",SUMIFS(Donations!$D:$D,Donations!$G:$G,$A346,Donations!$F:$F,"&gt;="&amp;'Daily Challenges'!$C$10,Donations!$F:$F,"&lt;="&amp;'Daily Challenges'!$D$10))</f>
        <v/>
      </c>
      <c r="J346" s="38">
        <f>IF($A346="","",SUMIFS(Donations!$D:$D,Donations!$G:$G,$A346,Donations!$F:$F,"&lt;="&amp;'Daily Challenges'!$D$12))</f>
        <v/>
      </c>
    </row>
    <row r="347">
      <c r="A347" s="32" t="inlineStr">
        <is>
          <t>Adrian Gonzalez</t>
        </is>
      </c>
      <c r="B347" s="32" t="inlineStr">
        <is>
          <t>Mr. Stanton</t>
        </is>
      </c>
      <c r="C347" s="36" t="inlineStr">
        <is>
          <t>7</t>
        </is>
      </c>
      <c r="D347" s="37">
        <f>IF(A347="","",SUMIFS(Donations!$D:$D,Donations!$G:$G,A347))</f>
        <v/>
      </c>
      <c r="E347" s="35">
        <f>IF(A347="","",IF(D347&gt;0,"Yes",""))</f>
        <v/>
      </c>
      <c r="F347" s="38">
        <f>IF($A347="","",SUMIFS(Donations!$D:$D,Donations!$G:$G,$A347,Donations!$F:$F,"&gt;="&amp;'Daily Challenges'!$C$7,Donations!$F:$F,"&lt;="&amp;'Daily Challenges'!$D$7))</f>
        <v/>
      </c>
      <c r="G347" s="38">
        <f>IF($A347="","",SUMIFS(Donations!$D:$D,Donations!$G:$G,$A347,Donations!$F:$F,"&gt;="&amp;'Daily Challenges'!$C$8,Donations!$F:$F,"&lt;="&amp;'Daily Challenges'!$D$8))</f>
        <v/>
      </c>
      <c r="H347" s="38">
        <f>IF($A347="","",SUMIFS(Donations!$D:$D,Donations!$G:$G,$A347,Donations!$F:$F,"&lt;="&amp;'Daily Challenges'!$D$9))</f>
        <v/>
      </c>
      <c r="I347" s="38">
        <f>IF($A347="","",SUMIFS(Donations!$D:$D,Donations!$G:$G,$A347,Donations!$F:$F,"&gt;="&amp;'Daily Challenges'!$C$10,Donations!$F:$F,"&lt;="&amp;'Daily Challenges'!$D$10))</f>
        <v/>
      </c>
      <c r="J347" s="38">
        <f>IF($A347="","",SUMIFS(Donations!$D:$D,Donations!$G:$G,$A347,Donations!$F:$F,"&lt;="&amp;'Daily Challenges'!$D$12))</f>
        <v/>
      </c>
    </row>
    <row r="348">
      <c r="A348" s="32" t="inlineStr">
        <is>
          <t>Liam Rodriguez</t>
        </is>
      </c>
      <c r="B348" s="32" t="inlineStr">
        <is>
          <t>Mr. Stanton</t>
        </is>
      </c>
      <c r="C348" s="36" t="inlineStr">
        <is>
          <t>7</t>
        </is>
      </c>
      <c r="D348" s="37">
        <f>IF(A348="","",SUMIFS(Donations!$D:$D,Donations!$G:$G,A348))</f>
        <v/>
      </c>
      <c r="E348" s="35">
        <f>IF(A348="","",IF(D348&gt;0,"Yes",""))</f>
        <v/>
      </c>
      <c r="F348" s="38">
        <f>IF($A348="","",SUMIFS(Donations!$D:$D,Donations!$G:$G,$A348,Donations!$F:$F,"&gt;="&amp;'Daily Challenges'!$C$7,Donations!$F:$F,"&lt;="&amp;'Daily Challenges'!$D$7))</f>
        <v/>
      </c>
      <c r="G348" s="38">
        <f>IF($A348="","",SUMIFS(Donations!$D:$D,Donations!$G:$G,$A348,Donations!$F:$F,"&gt;="&amp;'Daily Challenges'!$C$8,Donations!$F:$F,"&lt;="&amp;'Daily Challenges'!$D$8))</f>
        <v/>
      </c>
      <c r="H348" s="38">
        <f>IF($A348="","",SUMIFS(Donations!$D:$D,Donations!$G:$G,$A348,Donations!$F:$F,"&lt;="&amp;'Daily Challenges'!$D$9))</f>
        <v/>
      </c>
      <c r="I348" s="38">
        <f>IF($A348="","",SUMIFS(Donations!$D:$D,Donations!$G:$G,$A348,Donations!$F:$F,"&gt;="&amp;'Daily Challenges'!$C$10,Donations!$F:$F,"&lt;="&amp;'Daily Challenges'!$D$10))</f>
        <v/>
      </c>
      <c r="J348" s="38">
        <f>IF($A348="","",SUMIFS(Donations!$D:$D,Donations!$G:$G,$A348,Donations!$F:$F,"&lt;="&amp;'Daily Challenges'!$D$12))</f>
        <v/>
      </c>
    </row>
    <row r="349">
      <c r="A349" s="32" t="inlineStr">
        <is>
          <t>Clara Kelly</t>
        </is>
      </c>
      <c r="B349" s="32" t="inlineStr">
        <is>
          <t>Mr. Stanton</t>
        </is>
      </c>
      <c r="C349" s="36" t="inlineStr">
        <is>
          <t>7</t>
        </is>
      </c>
      <c r="D349" s="37">
        <f>IF(A349="","",SUMIFS(Donations!$D:$D,Donations!$G:$G,A349))</f>
        <v/>
      </c>
      <c r="E349" s="35">
        <f>IF(A349="","",IF(D349&gt;0,"Yes",""))</f>
        <v/>
      </c>
      <c r="F349" s="38">
        <f>IF($A349="","",SUMIFS(Donations!$D:$D,Donations!$G:$G,$A349,Donations!$F:$F,"&gt;="&amp;'Daily Challenges'!$C$7,Donations!$F:$F,"&lt;="&amp;'Daily Challenges'!$D$7))</f>
        <v/>
      </c>
      <c r="G349" s="38">
        <f>IF($A349="","",SUMIFS(Donations!$D:$D,Donations!$G:$G,$A349,Donations!$F:$F,"&gt;="&amp;'Daily Challenges'!$C$8,Donations!$F:$F,"&lt;="&amp;'Daily Challenges'!$D$8))</f>
        <v/>
      </c>
      <c r="H349" s="38">
        <f>IF($A349="","",SUMIFS(Donations!$D:$D,Donations!$G:$G,$A349,Donations!$F:$F,"&lt;="&amp;'Daily Challenges'!$D$9))</f>
        <v/>
      </c>
      <c r="I349" s="38">
        <f>IF($A349="","",SUMIFS(Donations!$D:$D,Donations!$G:$G,$A349,Donations!$F:$F,"&gt;="&amp;'Daily Challenges'!$C$10,Donations!$F:$F,"&lt;="&amp;'Daily Challenges'!$D$10))</f>
        <v/>
      </c>
      <c r="J349" s="38">
        <f>IF($A349="","",SUMIFS(Donations!$D:$D,Donations!$G:$G,$A349,Donations!$F:$F,"&lt;="&amp;'Daily Challenges'!$D$12))</f>
        <v/>
      </c>
    </row>
    <row r="350">
      <c r="A350" s="32" t="inlineStr">
        <is>
          <t>Santiago Lopez</t>
        </is>
      </c>
      <c r="B350" s="32" t="inlineStr">
        <is>
          <t>Mr. Stanton</t>
        </is>
      </c>
      <c r="C350" s="36" t="inlineStr">
        <is>
          <t>7</t>
        </is>
      </c>
      <c r="D350" s="37">
        <f>IF(A350="","",SUMIFS(Donations!$D:$D,Donations!$G:$G,A350))</f>
        <v/>
      </c>
      <c r="E350" s="35">
        <f>IF(A350="","",IF(D350&gt;0,"Yes",""))</f>
        <v/>
      </c>
      <c r="F350" s="38">
        <f>IF($A350="","",SUMIFS(Donations!$D:$D,Donations!$G:$G,$A350,Donations!$F:$F,"&gt;="&amp;'Daily Challenges'!$C$7,Donations!$F:$F,"&lt;="&amp;'Daily Challenges'!$D$7))</f>
        <v/>
      </c>
      <c r="G350" s="38">
        <f>IF($A350="","",SUMIFS(Donations!$D:$D,Donations!$G:$G,$A350,Donations!$F:$F,"&gt;="&amp;'Daily Challenges'!$C$8,Donations!$F:$F,"&lt;="&amp;'Daily Challenges'!$D$8))</f>
        <v/>
      </c>
      <c r="H350" s="38">
        <f>IF($A350="","",SUMIFS(Donations!$D:$D,Donations!$G:$G,$A350,Donations!$F:$F,"&lt;="&amp;'Daily Challenges'!$D$9))</f>
        <v/>
      </c>
      <c r="I350" s="38">
        <f>IF($A350="","",SUMIFS(Donations!$D:$D,Donations!$G:$G,$A350,Donations!$F:$F,"&gt;="&amp;'Daily Challenges'!$C$10,Donations!$F:$F,"&lt;="&amp;'Daily Challenges'!$D$10))</f>
        <v/>
      </c>
      <c r="J350" s="38">
        <f>IF($A350="","",SUMIFS(Donations!$D:$D,Donations!$G:$G,$A350,Donations!$F:$F,"&lt;="&amp;'Daily Challenges'!$D$12))</f>
        <v/>
      </c>
    </row>
    <row r="351">
      <c r="A351" s="32" t="inlineStr">
        <is>
          <t>Benjamin Cruz</t>
        </is>
      </c>
      <c r="B351" s="32" t="inlineStr">
        <is>
          <t>Mr. Stanton</t>
        </is>
      </c>
      <c r="C351" s="36" t="inlineStr">
        <is>
          <t>7</t>
        </is>
      </c>
      <c r="D351" s="37">
        <f>IF(A351="","",SUMIFS(Donations!$D:$D,Donations!$G:$G,A351))</f>
        <v/>
      </c>
      <c r="E351" s="35">
        <f>IF(A351="","",IF(D351&gt;0,"Yes",""))</f>
        <v/>
      </c>
      <c r="F351" s="38">
        <f>IF($A351="","",SUMIFS(Donations!$D:$D,Donations!$G:$G,$A351,Donations!$F:$F,"&gt;="&amp;'Daily Challenges'!$C$7,Donations!$F:$F,"&lt;="&amp;'Daily Challenges'!$D$7))</f>
        <v/>
      </c>
      <c r="G351" s="38">
        <f>IF($A351="","",SUMIFS(Donations!$D:$D,Donations!$G:$G,$A351,Donations!$F:$F,"&gt;="&amp;'Daily Challenges'!$C$8,Donations!$F:$F,"&lt;="&amp;'Daily Challenges'!$D$8))</f>
        <v/>
      </c>
      <c r="H351" s="38">
        <f>IF($A351="","",SUMIFS(Donations!$D:$D,Donations!$G:$G,$A351,Donations!$F:$F,"&lt;="&amp;'Daily Challenges'!$D$9))</f>
        <v/>
      </c>
      <c r="I351" s="38">
        <f>IF($A351="","",SUMIFS(Donations!$D:$D,Donations!$G:$G,$A351,Donations!$F:$F,"&gt;="&amp;'Daily Challenges'!$C$10,Donations!$F:$F,"&lt;="&amp;'Daily Challenges'!$D$10))</f>
        <v/>
      </c>
      <c r="J351" s="38">
        <f>IF($A351="","",SUMIFS(Donations!$D:$D,Donations!$G:$G,$A351,Donations!$F:$F,"&lt;="&amp;'Daily Challenges'!$D$12))</f>
        <v/>
      </c>
    </row>
    <row r="352">
      <c r="A352" s="32" t="inlineStr">
        <is>
          <t>Noah Rodriguez</t>
        </is>
      </c>
      <c r="B352" s="32" t="inlineStr">
        <is>
          <t>Mr. Stanton</t>
        </is>
      </c>
      <c r="C352" s="36" t="inlineStr">
        <is>
          <t>7</t>
        </is>
      </c>
      <c r="D352" s="37">
        <f>IF(A352="","",SUMIFS(Donations!$D:$D,Donations!$G:$G,A352))</f>
        <v/>
      </c>
      <c r="E352" s="35">
        <f>IF(A352="","",IF(D352&gt;0,"Yes",""))</f>
        <v/>
      </c>
      <c r="F352" s="38">
        <f>IF($A352="","",SUMIFS(Donations!$D:$D,Donations!$G:$G,$A352,Donations!$F:$F,"&gt;="&amp;'Daily Challenges'!$C$7,Donations!$F:$F,"&lt;="&amp;'Daily Challenges'!$D$7))</f>
        <v/>
      </c>
      <c r="G352" s="38">
        <f>IF($A352="","",SUMIFS(Donations!$D:$D,Donations!$G:$G,$A352,Donations!$F:$F,"&gt;="&amp;'Daily Challenges'!$C$8,Donations!$F:$F,"&lt;="&amp;'Daily Challenges'!$D$8))</f>
        <v/>
      </c>
      <c r="H352" s="38">
        <f>IF($A352="","",SUMIFS(Donations!$D:$D,Donations!$G:$G,$A352,Donations!$F:$F,"&lt;="&amp;'Daily Challenges'!$D$9))</f>
        <v/>
      </c>
      <c r="I352" s="38">
        <f>IF($A352="","",SUMIFS(Donations!$D:$D,Donations!$G:$G,$A352,Donations!$F:$F,"&gt;="&amp;'Daily Challenges'!$C$10,Donations!$F:$F,"&lt;="&amp;'Daily Challenges'!$D$10))</f>
        <v/>
      </c>
      <c r="J352" s="38">
        <f>IF($A352="","",SUMIFS(Donations!$D:$D,Donations!$G:$G,$A352,Donations!$F:$F,"&lt;="&amp;'Daily Challenges'!$D$12))</f>
        <v/>
      </c>
    </row>
    <row r="353">
      <c r="A353" s="32" t="inlineStr">
        <is>
          <t>Benjamin Murphy</t>
        </is>
      </c>
      <c r="B353" s="32" t="inlineStr">
        <is>
          <t>Mr. Stanton</t>
        </is>
      </c>
      <c r="C353" s="36" t="inlineStr">
        <is>
          <t>7</t>
        </is>
      </c>
      <c r="D353" s="37">
        <f>IF(A353="","",SUMIFS(Donations!$D:$D,Donations!$G:$G,A353))</f>
        <v/>
      </c>
      <c r="E353" s="35">
        <f>IF(A353="","",IF(D353&gt;0,"Yes",""))</f>
        <v/>
      </c>
      <c r="F353" s="38">
        <f>IF($A353="","",SUMIFS(Donations!$D:$D,Donations!$G:$G,$A353,Donations!$F:$F,"&gt;="&amp;'Daily Challenges'!$C$7,Donations!$F:$F,"&lt;="&amp;'Daily Challenges'!$D$7))</f>
        <v/>
      </c>
      <c r="G353" s="38">
        <f>IF($A353="","",SUMIFS(Donations!$D:$D,Donations!$G:$G,$A353,Donations!$F:$F,"&gt;="&amp;'Daily Challenges'!$C$8,Donations!$F:$F,"&lt;="&amp;'Daily Challenges'!$D$8))</f>
        <v/>
      </c>
      <c r="H353" s="38">
        <f>IF($A353="","",SUMIFS(Donations!$D:$D,Donations!$G:$G,$A353,Donations!$F:$F,"&lt;="&amp;'Daily Challenges'!$D$9))</f>
        <v/>
      </c>
      <c r="I353" s="38">
        <f>IF($A353="","",SUMIFS(Donations!$D:$D,Donations!$G:$G,$A353,Donations!$F:$F,"&gt;="&amp;'Daily Challenges'!$C$10,Donations!$F:$F,"&lt;="&amp;'Daily Challenges'!$D$10))</f>
        <v/>
      </c>
      <c r="J353" s="38">
        <f>IF($A353="","",SUMIFS(Donations!$D:$D,Donations!$G:$G,$A353,Donations!$F:$F,"&lt;="&amp;'Daily Challenges'!$D$12))</f>
        <v/>
      </c>
    </row>
    <row r="354">
      <c r="A354" s="32" t="inlineStr">
        <is>
          <t>Luna Rodriguez</t>
        </is>
      </c>
      <c r="B354" s="32" t="inlineStr">
        <is>
          <t>Mr. Stanton</t>
        </is>
      </c>
      <c r="C354" s="36" t="inlineStr">
        <is>
          <t>7</t>
        </is>
      </c>
      <c r="D354" s="37">
        <f>IF(A354="","",SUMIFS(Donations!$D:$D,Donations!$G:$G,A354))</f>
        <v/>
      </c>
      <c r="E354" s="35">
        <f>IF(A354="","",IF(D354&gt;0,"Yes",""))</f>
        <v/>
      </c>
      <c r="F354" s="38">
        <f>IF($A354="","",SUMIFS(Donations!$D:$D,Donations!$G:$G,$A354,Donations!$F:$F,"&gt;="&amp;'Daily Challenges'!$C$7,Donations!$F:$F,"&lt;="&amp;'Daily Challenges'!$D$7))</f>
        <v/>
      </c>
      <c r="G354" s="38">
        <f>IF($A354="","",SUMIFS(Donations!$D:$D,Donations!$G:$G,$A354,Donations!$F:$F,"&gt;="&amp;'Daily Challenges'!$C$8,Donations!$F:$F,"&lt;="&amp;'Daily Challenges'!$D$8))</f>
        <v/>
      </c>
      <c r="H354" s="38">
        <f>IF($A354="","",SUMIFS(Donations!$D:$D,Donations!$G:$G,$A354,Donations!$F:$F,"&lt;="&amp;'Daily Challenges'!$D$9))</f>
        <v/>
      </c>
      <c r="I354" s="38">
        <f>IF($A354="","",SUMIFS(Donations!$D:$D,Donations!$G:$G,$A354,Donations!$F:$F,"&gt;="&amp;'Daily Challenges'!$C$10,Donations!$F:$F,"&lt;="&amp;'Daily Challenges'!$D$10))</f>
        <v/>
      </c>
      <c r="J354" s="38">
        <f>IF($A354="","",SUMIFS(Donations!$D:$D,Donations!$G:$G,$A354,Donations!$F:$F,"&lt;="&amp;'Daily Challenges'!$D$12))</f>
        <v/>
      </c>
    </row>
    <row r="355">
      <c r="A355" s="32" t="inlineStr">
        <is>
          <t>Joseph Perez</t>
        </is>
      </c>
      <c r="B355" s="32" t="inlineStr">
        <is>
          <t>Mr. Stanton</t>
        </is>
      </c>
      <c r="C355" s="36" t="inlineStr">
        <is>
          <t>7</t>
        </is>
      </c>
      <c r="D355" s="37">
        <f>IF(A355="","",SUMIFS(Donations!$D:$D,Donations!$G:$G,A355))</f>
        <v/>
      </c>
      <c r="E355" s="35">
        <f>IF(A355="","",IF(D355&gt;0,"Yes",""))</f>
        <v/>
      </c>
      <c r="F355" s="38">
        <f>IF($A355="","",SUMIFS(Donations!$D:$D,Donations!$G:$G,$A355,Donations!$F:$F,"&gt;="&amp;'Daily Challenges'!$C$7,Donations!$F:$F,"&lt;="&amp;'Daily Challenges'!$D$7))</f>
        <v/>
      </c>
      <c r="G355" s="38">
        <f>IF($A355="","",SUMIFS(Donations!$D:$D,Donations!$G:$G,$A355,Donations!$F:$F,"&gt;="&amp;'Daily Challenges'!$C$8,Donations!$F:$F,"&lt;="&amp;'Daily Challenges'!$D$8))</f>
        <v/>
      </c>
      <c r="H355" s="38">
        <f>IF($A355="","",SUMIFS(Donations!$D:$D,Donations!$G:$G,$A355,Donations!$F:$F,"&lt;="&amp;'Daily Challenges'!$D$9))</f>
        <v/>
      </c>
      <c r="I355" s="38">
        <f>IF($A355="","",SUMIFS(Donations!$D:$D,Donations!$G:$G,$A355,Donations!$F:$F,"&gt;="&amp;'Daily Challenges'!$C$10,Donations!$F:$F,"&lt;="&amp;'Daily Challenges'!$D$10))</f>
        <v/>
      </c>
      <c r="J355" s="38">
        <f>IF($A355="","",SUMIFS(Donations!$D:$D,Donations!$G:$G,$A355,Donations!$F:$F,"&lt;="&amp;'Daily Challenges'!$D$12))</f>
        <v/>
      </c>
    </row>
    <row r="356">
      <c r="A356" s="32" t="inlineStr">
        <is>
          <t>Noah Hernandez</t>
        </is>
      </c>
      <c r="B356" s="32" t="inlineStr">
        <is>
          <t>Mr. Stanton</t>
        </is>
      </c>
      <c r="C356" s="36" t="inlineStr">
        <is>
          <t>7</t>
        </is>
      </c>
      <c r="D356" s="37">
        <f>IF(A356="","",SUMIFS(Donations!$D:$D,Donations!$G:$G,A356))</f>
        <v/>
      </c>
      <c r="E356" s="35">
        <f>IF(A356="","",IF(D356&gt;0,"Yes",""))</f>
        <v/>
      </c>
      <c r="F356" s="38">
        <f>IF($A356="","",SUMIFS(Donations!$D:$D,Donations!$G:$G,$A356,Donations!$F:$F,"&gt;="&amp;'Daily Challenges'!$C$7,Donations!$F:$F,"&lt;="&amp;'Daily Challenges'!$D$7))</f>
        <v/>
      </c>
      <c r="G356" s="38">
        <f>IF($A356="","",SUMIFS(Donations!$D:$D,Donations!$G:$G,$A356,Donations!$F:$F,"&gt;="&amp;'Daily Challenges'!$C$8,Donations!$F:$F,"&lt;="&amp;'Daily Challenges'!$D$8))</f>
        <v/>
      </c>
      <c r="H356" s="38">
        <f>IF($A356="","",SUMIFS(Donations!$D:$D,Donations!$G:$G,$A356,Donations!$F:$F,"&lt;="&amp;'Daily Challenges'!$D$9))</f>
        <v/>
      </c>
      <c r="I356" s="38">
        <f>IF($A356="","",SUMIFS(Donations!$D:$D,Donations!$G:$G,$A356,Donations!$F:$F,"&gt;="&amp;'Daily Challenges'!$C$10,Donations!$F:$F,"&lt;="&amp;'Daily Challenges'!$D$10))</f>
        <v/>
      </c>
      <c r="J356" s="38">
        <f>IF($A356="","",SUMIFS(Donations!$D:$D,Donations!$G:$G,$A356,Donations!$F:$F,"&lt;="&amp;'Daily Challenges'!$D$12))</f>
        <v/>
      </c>
    </row>
    <row r="357">
      <c r="A357" s="32" t="inlineStr">
        <is>
          <t>Noah Gonzalez</t>
        </is>
      </c>
      <c r="B357" s="32" t="inlineStr">
        <is>
          <t>Mr. Stanton</t>
        </is>
      </c>
      <c r="C357" s="36" t="inlineStr">
        <is>
          <t>7</t>
        </is>
      </c>
      <c r="D357" s="37">
        <f>IF(A357="","",SUMIFS(Donations!$D:$D,Donations!$G:$G,A357))</f>
        <v/>
      </c>
      <c r="E357" s="35">
        <f>IF(A357="","",IF(D357&gt;0,"Yes",""))</f>
        <v/>
      </c>
      <c r="F357" s="38">
        <f>IF($A357="","",SUMIFS(Donations!$D:$D,Donations!$G:$G,$A357,Donations!$F:$F,"&gt;="&amp;'Daily Challenges'!$C$7,Donations!$F:$F,"&lt;="&amp;'Daily Challenges'!$D$7))</f>
        <v/>
      </c>
      <c r="G357" s="38">
        <f>IF($A357="","",SUMIFS(Donations!$D:$D,Donations!$G:$G,$A357,Donations!$F:$F,"&gt;="&amp;'Daily Challenges'!$C$8,Donations!$F:$F,"&lt;="&amp;'Daily Challenges'!$D$8))</f>
        <v/>
      </c>
      <c r="H357" s="38">
        <f>IF($A357="","",SUMIFS(Donations!$D:$D,Donations!$G:$G,$A357,Donations!$F:$F,"&lt;="&amp;'Daily Challenges'!$D$9))</f>
        <v/>
      </c>
      <c r="I357" s="38">
        <f>IF($A357="","",SUMIFS(Donations!$D:$D,Donations!$G:$G,$A357,Donations!$F:$F,"&gt;="&amp;'Daily Challenges'!$C$10,Donations!$F:$F,"&lt;="&amp;'Daily Challenges'!$D$10))</f>
        <v/>
      </c>
      <c r="J357" s="38">
        <f>IF($A357="","",SUMIFS(Donations!$D:$D,Donations!$G:$G,$A357,Donations!$F:$F,"&lt;="&amp;'Daily Challenges'!$D$12))</f>
        <v/>
      </c>
    </row>
    <row r="358">
      <c r="A358" s="32" t="inlineStr">
        <is>
          <t>Grace Ryan</t>
        </is>
      </c>
      <c r="B358" s="32" t="inlineStr">
        <is>
          <t>Mr. Stanton</t>
        </is>
      </c>
      <c r="C358" s="36" t="inlineStr">
        <is>
          <t>7</t>
        </is>
      </c>
      <c r="D358" s="37">
        <f>IF(A358="","",SUMIFS(Donations!$D:$D,Donations!$G:$G,A358))</f>
        <v/>
      </c>
      <c r="E358" s="35">
        <f>IF(A358="","",IF(D358&gt;0,"Yes",""))</f>
        <v/>
      </c>
      <c r="F358" s="38">
        <f>IF($A358="","",SUMIFS(Donations!$D:$D,Donations!$G:$G,$A358,Donations!$F:$F,"&gt;="&amp;'Daily Challenges'!$C$7,Donations!$F:$F,"&lt;="&amp;'Daily Challenges'!$D$7))</f>
        <v/>
      </c>
      <c r="G358" s="38">
        <f>IF($A358="","",SUMIFS(Donations!$D:$D,Donations!$G:$G,$A358,Donations!$F:$F,"&gt;="&amp;'Daily Challenges'!$C$8,Donations!$F:$F,"&lt;="&amp;'Daily Challenges'!$D$8))</f>
        <v/>
      </c>
      <c r="H358" s="38">
        <f>IF($A358="","",SUMIFS(Donations!$D:$D,Donations!$G:$G,$A358,Donations!$F:$F,"&lt;="&amp;'Daily Challenges'!$D$9))</f>
        <v/>
      </c>
      <c r="I358" s="38">
        <f>IF($A358="","",SUMIFS(Donations!$D:$D,Donations!$G:$G,$A358,Donations!$F:$F,"&gt;="&amp;'Daily Challenges'!$C$10,Donations!$F:$F,"&lt;="&amp;'Daily Challenges'!$D$10))</f>
        <v/>
      </c>
      <c r="J358" s="38">
        <f>IF($A358="","",SUMIFS(Donations!$D:$D,Donations!$G:$G,$A358,Donations!$F:$F,"&lt;="&amp;'Daily Challenges'!$D$12))</f>
        <v/>
      </c>
    </row>
    <row r="359">
      <c r="A359" s="32" t="inlineStr">
        <is>
          <t>David Murphy</t>
        </is>
      </c>
      <c r="B359" s="32" t="inlineStr">
        <is>
          <t>Mr. Stanton</t>
        </is>
      </c>
      <c r="C359" s="36" t="inlineStr">
        <is>
          <t>7</t>
        </is>
      </c>
      <c r="D359" s="37">
        <f>IF(A359="","",SUMIFS(Donations!$D:$D,Donations!$G:$G,A359))</f>
        <v/>
      </c>
      <c r="E359" s="35">
        <f>IF(A359="","",IF(D359&gt;0,"Yes",""))</f>
        <v/>
      </c>
      <c r="F359" s="38">
        <f>IF($A359="","",SUMIFS(Donations!$D:$D,Donations!$G:$G,$A359,Donations!$F:$F,"&gt;="&amp;'Daily Challenges'!$C$7,Donations!$F:$F,"&lt;="&amp;'Daily Challenges'!$D$7))</f>
        <v/>
      </c>
      <c r="G359" s="38">
        <f>IF($A359="","",SUMIFS(Donations!$D:$D,Donations!$G:$G,$A359,Donations!$F:$F,"&gt;="&amp;'Daily Challenges'!$C$8,Donations!$F:$F,"&lt;="&amp;'Daily Challenges'!$D$8))</f>
        <v/>
      </c>
      <c r="H359" s="38">
        <f>IF($A359="","",SUMIFS(Donations!$D:$D,Donations!$G:$G,$A359,Donations!$F:$F,"&lt;="&amp;'Daily Challenges'!$D$9))</f>
        <v/>
      </c>
      <c r="I359" s="38">
        <f>IF($A359="","",SUMIFS(Donations!$D:$D,Donations!$G:$G,$A359,Donations!$F:$F,"&gt;="&amp;'Daily Challenges'!$C$10,Donations!$F:$F,"&lt;="&amp;'Daily Challenges'!$D$10))</f>
        <v/>
      </c>
      <c r="J359" s="38">
        <f>IF($A359="","",SUMIFS(Donations!$D:$D,Donations!$G:$G,$A359,Donations!$F:$F,"&lt;="&amp;'Daily Challenges'!$D$12))</f>
        <v/>
      </c>
    </row>
    <row r="360">
      <c r="A360" s="32" t="inlineStr">
        <is>
          <t>Mateo Cruz</t>
        </is>
      </c>
      <c r="B360" s="32" t="inlineStr">
        <is>
          <t>Mr. Stanton</t>
        </is>
      </c>
      <c r="C360" s="36" t="inlineStr">
        <is>
          <t>7</t>
        </is>
      </c>
      <c r="D360" s="37">
        <f>IF(A360="","",SUMIFS(Donations!$D:$D,Donations!$G:$G,A360))</f>
        <v/>
      </c>
      <c r="E360" s="35">
        <f>IF(A360="","",IF(D360&gt;0,"Yes",""))</f>
        <v/>
      </c>
      <c r="F360" s="38">
        <f>IF($A360="","",SUMIFS(Donations!$D:$D,Donations!$G:$G,$A360,Donations!$F:$F,"&gt;="&amp;'Daily Challenges'!$C$7,Donations!$F:$F,"&lt;="&amp;'Daily Challenges'!$D$7))</f>
        <v/>
      </c>
      <c r="G360" s="38">
        <f>IF($A360="","",SUMIFS(Donations!$D:$D,Donations!$G:$G,$A360,Donations!$F:$F,"&gt;="&amp;'Daily Challenges'!$C$8,Donations!$F:$F,"&lt;="&amp;'Daily Challenges'!$D$8))</f>
        <v/>
      </c>
      <c r="H360" s="38">
        <f>IF($A360="","",SUMIFS(Donations!$D:$D,Donations!$G:$G,$A360,Donations!$F:$F,"&lt;="&amp;'Daily Challenges'!$D$9))</f>
        <v/>
      </c>
      <c r="I360" s="38">
        <f>IF($A360="","",SUMIFS(Donations!$D:$D,Donations!$G:$G,$A360,Donations!$F:$F,"&gt;="&amp;'Daily Challenges'!$C$10,Donations!$F:$F,"&lt;="&amp;'Daily Challenges'!$D$10))</f>
        <v/>
      </c>
      <c r="J360" s="38">
        <f>IF($A360="","",SUMIFS(Donations!$D:$D,Donations!$G:$G,$A360,Donations!$F:$F,"&lt;="&amp;'Daily Challenges'!$D$12))</f>
        <v/>
      </c>
    </row>
    <row r="361">
      <c r="A361" s="32" t="inlineStr">
        <is>
          <t>Evelyn Gonzalez</t>
        </is>
      </c>
      <c r="B361" s="32" t="inlineStr">
        <is>
          <t>Mr. Stanton</t>
        </is>
      </c>
      <c r="C361" s="36" t="inlineStr">
        <is>
          <t>7</t>
        </is>
      </c>
      <c r="D361" s="37">
        <f>IF(A361="","",SUMIFS(Donations!$D:$D,Donations!$G:$G,A361))</f>
        <v/>
      </c>
      <c r="E361" s="35">
        <f>IF(A361="","",IF(D361&gt;0,"Yes",""))</f>
        <v/>
      </c>
      <c r="F361" s="38">
        <f>IF($A361="","",SUMIFS(Donations!$D:$D,Donations!$G:$G,$A361,Donations!$F:$F,"&gt;="&amp;'Daily Challenges'!$C$7,Donations!$F:$F,"&lt;="&amp;'Daily Challenges'!$D$7))</f>
        <v/>
      </c>
      <c r="G361" s="38">
        <f>IF($A361="","",SUMIFS(Donations!$D:$D,Donations!$G:$G,$A361,Donations!$F:$F,"&gt;="&amp;'Daily Challenges'!$C$8,Donations!$F:$F,"&lt;="&amp;'Daily Challenges'!$D$8))</f>
        <v/>
      </c>
      <c r="H361" s="38">
        <f>IF($A361="","",SUMIFS(Donations!$D:$D,Donations!$G:$G,$A361,Donations!$F:$F,"&lt;="&amp;'Daily Challenges'!$D$9))</f>
        <v/>
      </c>
      <c r="I361" s="38">
        <f>IF($A361="","",SUMIFS(Donations!$D:$D,Donations!$G:$G,$A361,Donations!$F:$F,"&gt;="&amp;'Daily Challenges'!$C$10,Donations!$F:$F,"&lt;="&amp;'Daily Challenges'!$D$10))</f>
        <v/>
      </c>
      <c r="J361" s="38">
        <f>IF($A361="","",SUMIFS(Donations!$D:$D,Donations!$G:$G,$A361,Donations!$F:$F,"&lt;="&amp;'Daily Challenges'!$D$12))</f>
        <v/>
      </c>
    </row>
    <row r="362">
      <c r="A362" s="32" t="inlineStr">
        <is>
          <t>Nora Lopez</t>
        </is>
      </c>
      <c r="B362" s="32" t="inlineStr">
        <is>
          <t>Mr. Stanton</t>
        </is>
      </c>
      <c r="C362" s="36" t="inlineStr">
        <is>
          <t>7</t>
        </is>
      </c>
      <c r="D362" s="37">
        <f>IF(A362="","",SUMIFS(Donations!$D:$D,Donations!$G:$G,A362))</f>
        <v/>
      </c>
      <c r="E362" s="35">
        <f>IF(A362="","",IF(D362&gt;0,"Yes",""))</f>
        <v/>
      </c>
      <c r="F362" s="38">
        <f>IF($A362="","",SUMIFS(Donations!$D:$D,Donations!$G:$G,$A362,Donations!$F:$F,"&gt;="&amp;'Daily Challenges'!$C$7,Donations!$F:$F,"&lt;="&amp;'Daily Challenges'!$D$7))</f>
        <v/>
      </c>
      <c r="G362" s="38">
        <f>IF($A362="","",SUMIFS(Donations!$D:$D,Donations!$G:$G,$A362,Donations!$F:$F,"&gt;="&amp;'Daily Challenges'!$C$8,Donations!$F:$F,"&lt;="&amp;'Daily Challenges'!$D$8))</f>
        <v/>
      </c>
      <c r="H362" s="38">
        <f>IF($A362="","",SUMIFS(Donations!$D:$D,Donations!$G:$G,$A362,Donations!$F:$F,"&lt;="&amp;'Daily Challenges'!$D$9))</f>
        <v/>
      </c>
      <c r="I362" s="38">
        <f>IF($A362="","",SUMIFS(Donations!$D:$D,Donations!$G:$G,$A362,Donations!$F:$F,"&gt;="&amp;'Daily Challenges'!$C$10,Donations!$F:$F,"&lt;="&amp;'Daily Challenges'!$D$10))</f>
        <v/>
      </c>
      <c r="J362" s="38">
        <f>IF($A362="","",SUMIFS(Donations!$D:$D,Donations!$G:$G,$A362,Donations!$F:$F,"&lt;="&amp;'Daily Challenges'!$D$12))</f>
        <v/>
      </c>
    </row>
    <row r="363">
      <c r="A363" s="32" t="inlineStr">
        <is>
          <t>Zoe Garcia</t>
        </is>
      </c>
      <c r="B363" s="32" t="inlineStr">
        <is>
          <t>Mr. Stanton</t>
        </is>
      </c>
      <c r="C363" s="36" t="inlineStr">
        <is>
          <t>7</t>
        </is>
      </c>
      <c r="D363" s="37">
        <f>IF(A363="","",SUMIFS(Donations!$D:$D,Donations!$G:$G,A363))</f>
        <v/>
      </c>
      <c r="E363" s="35">
        <f>IF(A363="","",IF(D363&gt;0,"Yes",""))</f>
        <v/>
      </c>
      <c r="F363" s="38">
        <f>IF($A363="","",SUMIFS(Donations!$D:$D,Donations!$G:$G,$A363,Donations!$F:$F,"&gt;="&amp;'Daily Challenges'!$C$7,Donations!$F:$F,"&lt;="&amp;'Daily Challenges'!$D$7))</f>
        <v/>
      </c>
      <c r="G363" s="38">
        <f>IF($A363="","",SUMIFS(Donations!$D:$D,Donations!$G:$G,$A363,Donations!$F:$F,"&gt;="&amp;'Daily Challenges'!$C$8,Donations!$F:$F,"&lt;="&amp;'Daily Challenges'!$D$8))</f>
        <v/>
      </c>
      <c r="H363" s="38">
        <f>IF($A363="","",SUMIFS(Donations!$D:$D,Donations!$G:$G,$A363,Donations!$F:$F,"&lt;="&amp;'Daily Challenges'!$D$9))</f>
        <v/>
      </c>
      <c r="I363" s="38">
        <f>IF($A363="","",SUMIFS(Donations!$D:$D,Donations!$G:$G,$A363,Donations!$F:$F,"&gt;="&amp;'Daily Challenges'!$C$10,Donations!$F:$F,"&lt;="&amp;'Daily Challenges'!$D$10))</f>
        <v/>
      </c>
      <c r="J363" s="38">
        <f>IF($A363="","",SUMIFS(Donations!$D:$D,Donations!$G:$G,$A363,Donations!$F:$F,"&lt;="&amp;'Daily Challenges'!$D$12))</f>
        <v/>
      </c>
    </row>
    <row r="364">
      <c r="A364" s="32" t="inlineStr">
        <is>
          <t>Luna Walsh</t>
        </is>
      </c>
      <c r="B364" s="32" t="inlineStr">
        <is>
          <t>Mr. Stanton</t>
        </is>
      </c>
      <c r="C364" s="36" t="inlineStr">
        <is>
          <t>7</t>
        </is>
      </c>
      <c r="D364" s="37">
        <f>IF(A364="","",SUMIFS(Donations!$D:$D,Donations!$G:$G,A364))</f>
        <v/>
      </c>
      <c r="E364" s="35">
        <f>IF(A364="","",IF(D364&gt;0,"Yes",""))</f>
        <v/>
      </c>
      <c r="F364" s="38">
        <f>IF($A364="","",SUMIFS(Donations!$D:$D,Donations!$G:$G,$A364,Donations!$F:$F,"&gt;="&amp;'Daily Challenges'!$C$7,Donations!$F:$F,"&lt;="&amp;'Daily Challenges'!$D$7))</f>
        <v/>
      </c>
      <c r="G364" s="38">
        <f>IF($A364="","",SUMIFS(Donations!$D:$D,Donations!$G:$G,$A364,Donations!$F:$F,"&gt;="&amp;'Daily Challenges'!$C$8,Donations!$F:$F,"&lt;="&amp;'Daily Challenges'!$D$8))</f>
        <v/>
      </c>
      <c r="H364" s="38">
        <f>IF($A364="","",SUMIFS(Donations!$D:$D,Donations!$G:$G,$A364,Donations!$F:$F,"&lt;="&amp;'Daily Challenges'!$D$9))</f>
        <v/>
      </c>
      <c r="I364" s="38">
        <f>IF($A364="","",SUMIFS(Donations!$D:$D,Donations!$G:$G,$A364,Donations!$F:$F,"&gt;="&amp;'Daily Challenges'!$C$10,Donations!$F:$F,"&lt;="&amp;'Daily Challenges'!$D$10))</f>
        <v/>
      </c>
      <c r="J364" s="38">
        <f>IF($A364="","",SUMIFS(Donations!$D:$D,Donations!$G:$G,$A364,Donations!$F:$F,"&lt;="&amp;'Daily Challenges'!$D$12))</f>
        <v/>
      </c>
    </row>
    <row r="365">
      <c r="A365" s="32" t="inlineStr">
        <is>
          <t>Mateo Perez</t>
        </is>
      </c>
      <c r="B365" s="32" t="inlineStr">
        <is>
          <t>Mr. Stanton</t>
        </is>
      </c>
      <c r="C365" s="36" t="inlineStr">
        <is>
          <t>7</t>
        </is>
      </c>
      <c r="D365" s="37">
        <f>IF(A365="","",SUMIFS(Donations!$D:$D,Donations!$G:$G,A365))</f>
        <v/>
      </c>
      <c r="E365" s="35">
        <f>IF(A365="","",IF(D365&gt;0,"Yes",""))</f>
        <v/>
      </c>
      <c r="F365" s="38">
        <f>IF($A365="","",SUMIFS(Donations!$D:$D,Donations!$G:$G,$A365,Donations!$F:$F,"&gt;="&amp;'Daily Challenges'!$C$7,Donations!$F:$F,"&lt;="&amp;'Daily Challenges'!$D$7))</f>
        <v/>
      </c>
      <c r="G365" s="38">
        <f>IF($A365="","",SUMIFS(Donations!$D:$D,Donations!$G:$G,$A365,Donations!$F:$F,"&gt;="&amp;'Daily Challenges'!$C$8,Donations!$F:$F,"&lt;="&amp;'Daily Challenges'!$D$8))</f>
        <v/>
      </c>
      <c r="H365" s="38">
        <f>IF($A365="","",SUMIFS(Donations!$D:$D,Donations!$G:$G,$A365,Donations!$F:$F,"&lt;="&amp;'Daily Challenges'!$D$9))</f>
        <v/>
      </c>
      <c r="I365" s="38">
        <f>IF($A365="","",SUMIFS(Donations!$D:$D,Donations!$G:$G,$A365,Donations!$F:$F,"&gt;="&amp;'Daily Challenges'!$C$10,Donations!$F:$F,"&lt;="&amp;'Daily Challenges'!$D$10))</f>
        <v/>
      </c>
      <c r="J365" s="38">
        <f>IF($A365="","",SUMIFS(Donations!$D:$D,Donations!$G:$G,$A365,Donations!$F:$F,"&lt;="&amp;'Daily Challenges'!$D$12))</f>
        <v/>
      </c>
    </row>
    <row r="366">
      <c r="A366" s="32" t="inlineStr">
        <is>
          <t>Nora Ramirez</t>
        </is>
      </c>
      <c r="B366" s="32" t="inlineStr">
        <is>
          <t>Mrs. Thorne</t>
        </is>
      </c>
      <c r="C366" s="36" t="inlineStr">
        <is>
          <t>7</t>
        </is>
      </c>
      <c r="D366" s="37">
        <f>IF(A366="","",SUMIFS(Donations!$D:$D,Donations!$G:$G,A366))</f>
        <v/>
      </c>
      <c r="E366" s="35">
        <f>IF(A366="","",IF(D366&gt;0,"Yes",""))</f>
        <v/>
      </c>
      <c r="F366" s="38">
        <f>IF($A366="","",SUMIFS(Donations!$D:$D,Donations!$G:$G,$A366,Donations!$F:$F,"&gt;="&amp;'Daily Challenges'!$C$7,Donations!$F:$F,"&lt;="&amp;'Daily Challenges'!$D$7))</f>
        <v/>
      </c>
      <c r="G366" s="38">
        <f>IF($A366="","",SUMIFS(Donations!$D:$D,Donations!$G:$G,$A366,Donations!$F:$F,"&gt;="&amp;'Daily Challenges'!$C$8,Donations!$F:$F,"&lt;="&amp;'Daily Challenges'!$D$8))</f>
        <v/>
      </c>
      <c r="H366" s="38">
        <f>IF($A366="","",SUMIFS(Donations!$D:$D,Donations!$G:$G,$A366,Donations!$F:$F,"&lt;="&amp;'Daily Challenges'!$D$9))</f>
        <v/>
      </c>
      <c r="I366" s="38">
        <f>IF($A366="","",SUMIFS(Donations!$D:$D,Donations!$G:$G,$A366,Donations!$F:$F,"&gt;="&amp;'Daily Challenges'!$C$10,Donations!$F:$F,"&lt;="&amp;'Daily Challenges'!$D$10))</f>
        <v/>
      </c>
      <c r="J366" s="38">
        <f>IF($A366="","",SUMIFS(Donations!$D:$D,Donations!$G:$G,$A366,Donations!$F:$F,"&lt;="&amp;'Daily Challenges'!$D$12))</f>
        <v/>
      </c>
    </row>
    <row r="367">
      <c r="A367" s="32" t="inlineStr">
        <is>
          <t>Lucas Mendoza</t>
        </is>
      </c>
      <c r="B367" s="32" t="inlineStr">
        <is>
          <t>Mrs. Thorne</t>
        </is>
      </c>
      <c r="C367" s="36" t="inlineStr">
        <is>
          <t>7</t>
        </is>
      </c>
      <c r="D367" s="37">
        <f>IF(A367="","",SUMIFS(Donations!$D:$D,Donations!$G:$G,A367))</f>
        <v/>
      </c>
      <c r="E367" s="35">
        <f>IF(A367="","",IF(D367&gt;0,"Yes",""))</f>
        <v/>
      </c>
      <c r="F367" s="38">
        <f>IF($A367="","",SUMIFS(Donations!$D:$D,Donations!$G:$G,$A367,Donations!$F:$F,"&gt;="&amp;'Daily Challenges'!$C$7,Donations!$F:$F,"&lt;="&amp;'Daily Challenges'!$D$7))</f>
        <v/>
      </c>
      <c r="G367" s="38">
        <f>IF($A367="","",SUMIFS(Donations!$D:$D,Donations!$G:$G,$A367,Donations!$F:$F,"&gt;="&amp;'Daily Challenges'!$C$8,Donations!$F:$F,"&lt;="&amp;'Daily Challenges'!$D$8))</f>
        <v/>
      </c>
      <c r="H367" s="38">
        <f>IF($A367="","",SUMIFS(Donations!$D:$D,Donations!$G:$G,$A367,Donations!$F:$F,"&lt;="&amp;'Daily Challenges'!$D$9))</f>
        <v/>
      </c>
      <c r="I367" s="38">
        <f>IF($A367="","",SUMIFS(Donations!$D:$D,Donations!$G:$G,$A367,Donations!$F:$F,"&gt;="&amp;'Daily Challenges'!$C$10,Donations!$F:$F,"&lt;="&amp;'Daily Challenges'!$D$10))</f>
        <v/>
      </c>
      <c r="J367" s="38">
        <f>IF($A367="","",SUMIFS(Donations!$D:$D,Donations!$G:$G,$A367,Donations!$F:$F,"&lt;="&amp;'Daily Challenges'!$D$12))</f>
        <v/>
      </c>
    </row>
    <row r="368">
      <c r="A368" s="32" t="inlineStr">
        <is>
          <t>Clara Mendoza</t>
        </is>
      </c>
      <c r="B368" s="32" t="inlineStr">
        <is>
          <t>Mrs. Thorne</t>
        </is>
      </c>
      <c r="C368" s="36" t="inlineStr">
        <is>
          <t>7</t>
        </is>
      </c>
      <c r="D368" s="37">
        <f>IF(A368="","",SUMIFS(Donations!$D:$D,Donations!$G:$G,A368))</f>
        <v/>
      </c>
      <c r="E368" s="35">
        <f>IF(A368="","",IF(D368&gt;0,"Yes",""))</f>
        <v/>
      </c>
      <c r="F368" s="38">
        <f>IF($A368="","",SUMIFS(Donations!$D:$D,Donations!$G:$G,$A368,Donations!$F:$F,"&gt;="&amp;'Daily Challenges'!$C$7,Donations!$F:$F,"&lt;="&amp;'Daily Challenges'!$D$7))</f>
        <v/>
      </c>
      <c r="G368" s="38">
        <f>IF($A368="","",SUMIFS(Donations!$D:$D,Donations!$G:$G,$A368,Donations!$F:$F,"&gt;="&amp;'Daily Challenges'!$C$8,Donations!$F:$F,"&lt;="&amp;'Daily Challenges'!$D$8))</f>
        <v/>
      </c>
      <c r="H368" s="38">
        <f>IF($A368="","",SUMIFS(Donations!$D:$D,Donations!$G:$G,$A368,Donations!$F:$F,"&lt;="&amp;'Daily Challenges'!$D$9))</f>
        <v/>
      </c>
      <c r="I368" s="38">
        <f>IF($A368="","",SUMIFS(Donations!$D:$D,Donations!$G:$G,$A368,Donations!$F:$F,"&gt;="&amp;'Daily Challenges'!$C$10,Donations!$F:$F,"&lt;="&amp;'Daily Challenges'!$D$10))</f>
        <v/>
      </c>
      <c r="J368" s="38">
        <f>IF($A368="","",SUMIFS(Donations!$D:$D,Donations!$G:$G,$A368,Donations!$F:$F,"&lt;="&amp;'Daily Challenges'!$D$12))</f>
        <v/>
      </c>
    </row>
    <row r="369">
      <c r="A369" s="32" t="inlineStr">
        <is>
          <t>James Flores</t>
        </is>
      </c>
      <c r="B369" s="32" t="inlineStr">
        <is>
          <t>Mrs. Thorne</t>
        </is>
      </c>
      <c r="C369" s="36" t="inlineStr">
        <is>
          <t>7</t>
        </is>
      </c>
      <c r="D369" s="37">
        <f>IF(A369="","",SUMIFS(Donations!$D:$D,Donations!$G:$G,A369))</f>
        <v/>
      </c>
      <c r="E369" s="35">
        <f>IF(A369="","",IF(D369&gt;0,"Yes",""))</f>
        <v/>
      </c>
      <c r="F369" s="38">
        <f>IF($A369="","",SUMIFS(Donations!$D:$D,Donations!$G:$G,$A369,Donations!$F:$F,"&gt;="&amp;'Daily Challenges'!$C$7,Donations!$F:$F,"&lt;="&amp;'Daily Challenges'!$D$7))</f>
        <v/>
      </c>
      <c r="G369" s="38">
        <f>IF($A369="","",SUMIFS(Donations!$D:$D,Donations!$G:$G,$A369,Donations!$F:$F,"&gt;="&amp;'Daily Challenges'!$C$8,Donations!$F:$F,"&lt;="&amp;'Daily Challenges'!$D$8))</f>
        <v/>
      </c>
      <c r="H369" s="38">
        <f>IF($A369="","",SUMIFS(Donations!$D:$D,Donations!$G:$G,$A369,Donations!$F:$F,"&lt;="&amp;'Daily Challenges'!$D$9))</f>
        <v/>
      </c>
      <c r="I369" s="38">
        <f>IF($A369="","",SUMIFS(Donations!$D:$D,Donations!$G:$G,$A369,Donations!$F:$F,"&gt;="&amp;'Daily Challenges'!$C$10,Donations!$F:$F,"&lt;="&amp;'Daily Challenges'!$D$10))</f>
        <v/>
      </c>
      <c r="J369" s="38">
        <f>IF($A369="","",SUMIFS(Donations!$D:$D,Donations!$G:$G,$A369,Donations!$F:$F,"&lt;="&amp;'Daily Challenges'!$D$12))</f>
        <v/>
      </c>
    </row>
    <row r="370">
      <c r="A370" s="32" t="inlineStr">
        <is>
          <t>Clara Nguyen</t>
        </is>
      </c>
      <c r="B370" s="32" t="inlineStr">
        <is>
          <t>Mrs. Thorne</t>
        </is>
      </c>
      <c r="C370" s="36" t="inlineStr">
        <is>
          <t>7</t>
        </is>
      </c>
      <c r="D370" s="37">
        <f>IF(A370="","",SUMIFS(Donations!$D:$D,Donations!$G:$G,A370))</f>
        <v/>
      </c>
      <c r="E370" s="35">
        <f>IF(A370="","",IF(D370&gt;0,"Yes",""))</f>
        <v/>
      </c>
      <c r="F370" s="38">
        <f>IF($A370="","",SUMIFS(Donations!$D:$D,Donations!$G:$G,$A370,Donations!$F:$F,"&gt;="&amp;'Daily Challenges'!$C$7,Donations!$F:$F,"&lt;="&amp;'Daily Challenges'!$D$7))</f>
        <v/>
      </c>
      <c r="G370" s="38">
        <f>IF($A370="","",SUMIFS(Donations!$D:$D,Donations!$G:$G,$A370,Donations!$F:$F,"&gt;="&amp;'Daily Challenges'!$C$8,Donations!$F:$F,"&lt;="&amp;'Daily Challenges'!$D$8))</f>
        <v/>
      </c>
      <c r="H370" s="38">
        <f>IF($A370="","",SUMIFS(Donations!$D:$D,Donations!$G:$G,$A370,Donations!$F:$F,"&lt;="&amp;'Daily Challenges'!$D$9))</f>
        <v/>
      </c>
      <c r="I370" s="38">
        <f>IF($A370="","",SUMIFS(Donations!$D:$D,Donations!$G:$G,$A370,Donations!$F:$F,"&gt;="&amp;'Daily Challenges'!$C$10,Donations!$F:$F,"&lt;="&amp;'Daily Challenges'!$D$10))</f>
        <v/>
      </c>
      <c r="J370" s="38">
        <f>IF($A370="","",SUMIFS(Donations!$D:$D,Donations!$G:$G,$A370,Donations!$F:$F,"&lt;="&amp;'Daily Challenges'!$D$12))</f>
        <v/>
      </c>
    </row>
    <row r="371">
      <c r="A371" s="32" t="inlineStr">
        <is>
          <t>Elijah Chavez</t>
        </is>
      </c>
      <c r="B371" s="32" t="inlineStr">
        <is>
          <t>Mrs. Thorne</t>
        </is>
      </c>
      <c r="C371" s="36" t="inlineStr">
        <is>
          <t>7</t>
        </is>
      </c>
      <c r="D371" s="37">
        <f>IF(A371="","",SUMIFS(Donations!$D:$D,Donations!$G:$G,A371))</f>
        <v/>
      </c>
      <c r="E371" s="35">
        <f>IF(A371="","",IF(D371&gt;0,"Yes",""))</f>
        <v/>
      </c>
      <c r="F371" s="38">
        <f>IF($A371="","",SUMIFS(Donations!$D:$D,Donations!$G:$G,$A371,Donations!$F:$F,"&gt;="&amp;'Daily Challenges'!$C$7,Donations!$F:$F,"&lt;="&amp;'Daily Challenges'!$D$7))</f>
        <v/>
      </c>
      <c r="G371" s="38">
        <f>IF($A371="","",SUMIFS(Donations!$D:$D,Donations!$G:$G,$A371,Donations!$F:$F,"&gt;="&amp;'Daily Challenges'!$C$8,Donations!$F:$F,"&lt;="&amp;'Daily Challenges'!$D$8))</f>
        <v/>
      </c>
      <c r="H371" s="38">
        <f>IF($A371="","",SUMIFS(Donations!$D:$D,Donations!$G:$G,$A371,Donations!$F:$F,"&lt;="&amp;'Daily Challenges'!$D$9))</f>
        <v/>
      </c>
      <c r="I371" s="38">
        <f>IF($A371="","",SUMIFS(Donations!$D:$D,Donations!$G:$G,$A371,Donations!$F:$F,"&gt;="&amp;'Daily Challenges'!$C$10,Donations!$F:$F,"&lt;="&amp;'Daily Challenges'!$D$10))</f>
        <v/>
      </c>
      <c r="J371" s="38">
        <f>IF($A371="","",SUMIFS(Donations!$D:$D,Donations!$G:$G,$A371,Donations!$F:$F,"&lt;="&amp;'Daily Challenges'!$D$12))</f>
        <v/>
      </c>
    </row>
    <row r="372">
      <c r="A372" s="32" t="inlineStr">
        <is>
          <t>Olivia Murphy</t>
        </is>
      </c>
      <c r="B372" s="32" t="inlineStr">
        <is>
          <t>Mrs. Thorne</t>
        </is>
      </c>
      <c r="C372" s="36" t="inlineStr">
        <is>
          <t>7</t>
        </is>
      </c>
      <c r="D372" s="37">
        <f>IF(A372="","",SUMIFS(Donations!$D:$D,Donations!$G:$G,A372))</f>
        <v/>
      </c>
      <c r="E372" s="35">
        <f>IF(A372="","",IF(D372&gt;0,"Yes",""))</f>
        <v/>
      </c>
      <c r="F372" s="38">
        <f>IF($A372="","",SUMIFS(Donations!$D:$D,Donations!$G:$G,$A372,Donations!$F:$F,"&gt;="&amp;'Daily Challenges'!$C$7,Donations!$F:$F,"&lt;="&amp;'Daily Challenges'!$D$7))</f>
        <v/>
      </c>
      <c r="G372" s="38">
        <f>IF($A372="","",SUMIFS(Donations!$D:$D,Donations!$G:$G,$A372,Donations!$F:$F,"&gt;="&amp;'Daily Challenges'!$C$8,Donations!$F:$F,"&lt;="&amp;'Daily Challenges'!$D$8))</f>
        <v/>
      </c>
      <c r="H372" s="38">
        <f>IF($A372="","",SUMIFS(Donations!$D:$D,Donations!$G:$G,$A372,Donations!$F:$F,"&lt;="&amp;'Daily Challenges'!$D$9))</f>
        <v/>
      </c>
      <c r="I372" s="38">
        <f>IF($A372="","",SUMIFS(Donations!$D:$D,Donations!$G:$G,$A372,Donations!$F:$F,"&gt;="&amp;'Daily Challenges'!$C$10,Donations!$F:$F,"&lt;="&amp;'Daily Challenges'!$D$10))</f>
        <v/>
      </c>
      <c r="J372" s="38">
        <f>IF($A372="","",SUMIFS(Donations!$D:$D,Donations!$G:$G,$A372,Donations!$F:$F,"&lt;="&amp;'Daily Challenges'!$D$12))</f>
        <v/>
      </c>
    </row>
    <row r="373">
      <c r="A373" s="32" t="inlineStr">
        <is>
          <t>Samuel Mendoza</t>
        </is>
      </c>
      <c r="B373" s="32" t="inlineStr">
        <is>
          <t>Mrs. Thorne</t>
        </is>
      </c>
      <c r="C373" s="36" t="inlineStr">
        <is>
          <t>7</t>
        </is>
      </c>
      <c r="D373" s="37">
        <f>IF(A373="","",SUMIFS(Donations!$D:$D,Donations!$G:$G,A373))</f>
        <v/>
      </c>
      <c r="E373" s="35">
        <f>IF(A373="","",IF(D373&gt;0,"Yes",""))</f>
        <v/>
      </c>
      <c r="F373" s="38">
        <f>IF($A373="","",SUMIFS(Donations!$D:$D,Donations!$G:$G,$A373,Donations!$F:$F,"&gt;="&amp;'Daily Challenges'!$C$7,Donations!$F:$F,"&lt;="&amp;'Daily Challenges'!$D$7))</f>
        <v/>
      </c>
      <c r="G373" s="38">
        <f>IF($A373="","",SUMIFS(Donations!$D:$D,Donations!$G:$G,$A373,Donations!$F:$F,"&gt;="&amp;'Daily Challenges'!$C$8,Donations!$F:$F,"&lt;="&amp;'Daily Challenges'!$D$8))</f>
        <v/>
      </c>
      <c r="H373" s="38">
        <f>IF($A373="","",SUMIFS(Donations!$D:$D,Donations!$G:$G,$A373,Donations!$F:$F,"&lt;="&amp;'Daily Challenges'!$D$9))</f>
        <v/>
      </c>
      <c r="I373" s="38">
        <f>IF($A373="","",SUMIFS(Donations!$D:$D,Donations!$G:$G,$A373,Donations!$F:$F,"&gt;="&amp;'Daily Challenges'!$C$10,Donations!$F:$F,"&lt;="&amp;'Daily Challenges'!$D$10))</f>
        <v/>
      </c>
      <c r="J373" s="38">
        <f>IF($A373="","",SUMIFS(Donations!$D:$D,Donations!$G:$G,$A373,Donations!$F:$F,"&lt;="&amp;'Daily Challenges'!$D$12))</f>
        <v/>
      </c>
    </row>
    <row r="374">
      <c r="A374" s="32" t="inlineStr">
        <is>
          <t>Joseph Chavez</t>
        </is>
      </c>
      <c r="B374" s="32" t="inlineStr">
        <is>
          <t>Mrs. Thorne</t>
        </is>
      </c>
      <c r="C374" s="36" t="inlineStr">
        <is>
          <t>7</t>
        </is>
      </c>
      <c r="D374" s="37">
        <f>IF(A374="","",SUMIFS(Donations!$D:$D,Donations!$G:$G,A374))</f>
        <v/>
      </c>
      <c r="E374" s="35">
        <f>IF(A374="","",IF(D374&gt;0,"Yes",""))</f>
        <v/>
      </c>
      <c r="F374" s="38">
        <f>IF($A374="","",SUMIFS(Donations!$D:$D,Donations!$G:$G,$A374,Donations!$F:$F,"&gt;="&amp;'Daily Challenges'!$C$7,Donations!$F:$F,"&lt;="&amp;'Daily Challenges'!$D$7))</f>
        <v/>
      </c>
      <c r="G374" s="38">
        <f>IF($A374="","",SUMIFS(Donations!$D:$D,Donations!$G:$G,$A374,Donations!$F:$F,"&gt;="&amp;'Daily Challenges'!$C$8,Donations!$F:$F,"&lt;="&amp;'Daily Challenges'!$D$8))</f>
        <v/>
      </c>
      <c r="H374" s="38">
        <f>IF($A374="","",SUMIFS(Donations!$D:$D,Donations!$G:$G,$A374,Donations!$F:$F,"&lt;="&amp;'Daily Challenges'!$D$9))</f>
        <v/>
      </c>
      <c r="I374" s="38">
        <f>IF($A374="","",SUMIFS(Donations!$D:$D,Donations!$G:$G,$A374,Donations!$F:$F,"&gt;="&amp;'Daily Challenges'!$C$10,Donations!$F:$F,"&lt;="&amp;'Daily Challenges'!$D$10))</f>
        <v/>
      </c>
      <c r="J374" s="38">
        <f>IF($A374="","",SUMIFS(Donations!$D:$D,Donations!$G:$G,$A374,Donations!$F:$F,"&lt;="&amp;'Daily Challenges'!$D$12))</f>
        <v/>
      </c>
    </row>
    <row r="375">
      <c r="A375" s="32" t="inlineStr">
        <is>
          <t>Elijah Cruz</t>
        </is>
      </c>
      <c r="B375" s="32" t="inlineStr">
        <is>
          <t>Mrs. Thorne</t>
        </is>
      </c>
      <c r="C375" s="36" t="inlineStr">
        <is>
          <t>7</t>
        </is>
      </c>
      <c r="D375" s="37">
        <f>IF(A375="","",SUMIFS(Donations!$D:$D,Donations!$G:$G,A375))</f>
        <v/>
      </c>
      <c r="E375" s="35">
        <f>IF(A375="","",IF(D375&gt;0,"Yes",""))</f>
        <v/>
      </c>
      <c r="F375" s="38">
        <f>IF($A375="","",SUMIFS(Donations!$D:$D,Donations!$G:$G,$A375,Donations!$F:$F,"&gt;="&amp;'Daily Challenges'!$C$7,Donations!$F:$F,"&lt;="&amp;'Daily Challenges'!$D$7))</f>
        <v/>
      </c>
      <c r="G375" s="38">
        <f>IF($A375="","",SUMIFS(Donations!$D:$D,Donations!$G:$G,$A375,Donations!$F:$F,"&gt;="&amp;'Daily Challenges'!$C$8,Donations!$F:$F,"&lt;="&amp;'Daily Challenges'!$D$8))</f>
        <v/>
      </c>
      <c r="H375" s="38">
        <f>IF($A375="","",SUMIFS(Donations!$D:$D,Donations!$G:$G,$A375,Donations!$F:$F,"&lt;="&amp;'Daily Challenges'!$D$9))</f>
        <v/>
      </c>
      <c r="I375" s="38">
        <f>IF($A375="","",SUMIFS(Donations!$D:$D,Donations!$G:$G,$A375,Donations!$F:$F,"&gt;="&amp;'Daily Challenges'!$C$10,Donations!$F:$F,"&lt;="&amp;'Daily Challenges'!$D$10))</f>
        <v/>
      </c>
      <c r="J375" s="38">
        <f>IF($A375="","",SUMIFS(Donations!$D:$D,Donations!$G:$G,$A375,Donations!$F:$F,"&lt;="&amp;'Daily Challenges'!$D$12))</f>
        <v/>
      </c>
    </row>
    <row r="376">
      <c r="A376" s="32" t="inlineStr">
        <is>
          <t>Elena Castillo</t>
        </is>
      </c>
      <c r="B376" s="32" t="inlineStr">
        <is>
          <t>Mrs. Thorne</t>
        </is>
      </c>
      <c r="C376" s="36" t="inlineStr">
        <is>
          <t>7</t>
        </is>
      </c>
      <c r="D376" s="37">
        <f>IF(A376="","",SUMIFS(Donations!$D:$D,Donations!$G:$G,A376))</f>
        <v/>
      </c>
      <c r="E376" s="35">
        <f>IF(A376="","",IF(D376&gt;0,"Yes",""))</f>
        <v/>
      </c>
      <c r="F376" s="38">
        <f>IF($A376="","",SUMIFS(Donations!$D:$D,Donations!$G:$G,$A376,Donations!$F:$F,"&gt;="&amp;'Daily Challenges'!$C$7,Donations!$F:$F,"&lt;="&amp;'Daily Challenges'!$D$7))</f>
        <v/>
      </c>
      <c r="G376" s="38">
        <f>IF($A376="","",SUMIFS(Donations!$D:$D,Donations!$G:$G,$A376,Donations!$F:$F,"&gt;="&amp;'Daily Challenges'!$C$8,Donations!$F:$F,"&lt;="&amp;'Daily Challenges'!$D$8))</f>
        <v/>
      </c>
      <c r="H376" s="38">
        <f>IF($A376="","",SUMIFS(Donations!$D:$D,Donations!$G:$G,$A376,Donations!$F:$F,"&lt;="&amp;'Daily Challenges'!$D$9))</f>
        <v/>
      </c>
      <c r="I376" s="38">
        <f>IF($A376="","",SUMIFS(Donations!$D:$D,Donations!$G:$G,$A376,Donations!$F:$F,"&gt;="&amp;'Daily Challenges'!$C$10,Donations!$F:$F,"&lt;="&amp;'Daily Challenges'!$D$10))</f>
        <v/>
      </c>
      <c r="J376" s="38">
        <f>IF($A376="","",SUMIFS(Donations!$D:$D,Donations!$G:$G,$A376,Donations!$F:$F,"&lt;="&amp;'Daily Challenges'!$D$12))</f>
        <v/>
      </c>
    </row>
    <row r="377">
      <c r="A377" s="32" t="inlineStr">
        <is>
          <t>Adrian Byrne</t>
        </is>
      </c>
      <c r="B377" s="32" t="inlineStr">
        <is>
          <t>Mrs. Thorne</t>
        </is>
      </c>
      <c r="C377" s="36" t="inlineStr">
        <is>
          <t>7</t>
        </is>
      </c>
      <c r="D377" s="37">
        <f>IF(A377="","",SUMIFS(Donations!$D:$D,Donations!$G:$G,A377))</f>
        <v/>
      </c>
      <c r="E377" s="35">
        <f>IF(A377="","",IF(D377&gt;0,"Yes",""))</f>
        <v/>
      </c>
      <c r="F377" s="38">
        <f>IF($A377="","",SUMIFS(Donations!$D:$D,Donations!$G:$G,$A377,Donations!$F:$F,"&gt;="&amp;'Daily Challenges'!$C$7,Donations!$F:$F,"&lt;="&amp;'Daily Challenges'!$D$7))</f>
        <v/>
      </c>
      <c r="G377" s="38">
        <f>IF($A377="","",SUMIFS(Donations!$D:$D,Donations!$G:$G,$A377,Donations!$F:$F,"&gt;="&amp;'Daily Challenges'!$C$8,Donations!$F:$F,"&lt;="&amp;'Daily Challenges'!$D$8))</f>
        <v/>
      </c>
      <c r="H377" s="38">
        <f>IF($A377="","",SUMIFS(Donations!$D:$D,Donations!$G:$G,$A377,Donations!$F:$F,"&lt;="&amp;'Daily Challenges'!$D$9))</f>
        <v/>
      </c>
      <c r="I377" s="38">
        <f>IF($A377="","",SUMIFS(Donations!$D:$D,Donations!$G:$G,$A377,Donations!$F:$F,"&gt;="&amp;'Daily Challenges'!$C$10,Donations!$F:$F,"&lt;="&amp;'Daily Challenges'!$D$10))</f>
        <v/>
      </c>
      <c r="J377" s="38">
        <f>IF($A377="","",SUMIFS(Donations!$D:$D,Donations!$G:$G,$A377,Donations!$F:$F,"&lt;="&amp;'Daily Challenges'!$D$12))</f>
        <v/>
      </c>
    </row>
    <row r="378">
      <c r="A378" s="32" t="inlineStr">
        <is>
          <t>Zoe Johnson</t>
        </is>
      </c>
      <c r="B378" s="32" t="inlineStr">
        <is>
          <t>Mrs. Thorne</t>
        </is>
      </c>
      <c r="C378" s="36" t="inlineStr">
        <is>
          <t>7</t>
        </is>
      </c>
      <c r="D378" s="37">
        <f>IF(A378="","",SUMIFS(Donations!$D:$D,Donations!$G:$G,A378))</f>
        <v/>
      </c>
      <c r="E378" s="35">
        <f>IF(A378="","",IF(D378&gt;0,"Yes",""))</f>
        <v/>
      </c>
      <c r="F378" s="38">
        <f>IF($A378="","",SUMIFS(Donations!$D:$D,Donations!$G:$G,$A378,Donations!$F:$F,"&gt;="&amp;'Daily Challenges'!$C$7,Donations!$F:$F,"&lt;="&amp;'Daily Challenges'!$D$7))</f>
        <v/>
      </c>
      <c r="G378" s="38">
        <f>IF($A378="","",SUMIFS(Donations!$D:$D,Donations!$G:$G,$A378,Donations!$F:$F,"&gt;="&amp;'Daily Challenges'!$C$8,Donations!$F:$F,"&lt;="&amp;'Daily Challenges'!$D$8))</f>
        <v/>
      </c>
      <c r="H378" s="38">
        <f>IF($A378="","",SUMIFS(Donations!$D:$D,Donations!$G:$G,$A378,Donations!$F:$F,"&lt;="&amp;'Daily Challenges'!$D$9))</f>
        <v/>
      </c>
      <c r="I378" s="38">
        <f>IF($A378="","",SUMIFS(Donations!$D:$D,Donations!$G:$G,$A378,Donations!$F:$F,"&gt;="&amp;'Daily Challenges'!$C$10,Donations!$F:$F,"&lt;="&amp;'Daily Challenges'!$D$10))</f>
        <v/>
      </c>
      <c r="J378" s="38">
        <f>IF($A378="","",SUMIFS(Donations!$D:$D,Donations!$G:$G,$A378,Donations!$F:$F,"&lt;="&amp;'Daily Challenges'!$D$12))</f>
        <v/>
      </c>
    </row>
    <row r="379">
      <c r="A379" s="32" t="inlineStr">
        <is>
          <t>Elijah Ramirez</t>
        </is>
      </c>
      <c r="B379" s="32" t="inlineStr">
        <is>
          <t>Mrs. Thorne</t>
        </is>
      </c>
      <c r="C379" s="36" t="inlineStr">
        <is>
          <t>7</t>
        </is>
      </c>
      <c r="D379" s="37">
        <f>IF(A379="","",SUMIFS(Donations!$D:$D,Donations!$G:$G,A379))</f>
        <v/>
      </c>
      <c r="E379" s="35">
        <f>IF(A379="","",IF(D379&gt;0,"Yes",""))</f>
        <v/>
      </c>
      <c r="F379" s="38">
        <f>IF($A379="","",SUMIFS(Donations!$D:$D,Donations!$G:$G,$A379,Donations!$F:$F,"&gt;="&amp;'Daily Challenges'!$C$7,Donations!$F:$F,"&lt;="&amp;'Daily Challenges'!$D$7))</f>
        <v/>
      </c>
      <c r="G379" s="38">
        <f>IF($A379="","",SUMIFS(Donations!$D:$D,Donations!$G:$G,$A379,Donations!$F:$F,"&gt;="&amp;'Daily Challenges'!$C$8,Donations!$F:$F,"&lt;="&amp;'Daily Challenges'!$D$8))</f>
        <v/>
      </c>
      <c r="H379" s="38">
        <f>IF($A379="","",SUMIFS(Donations!$D:$D,Donations!$G:$G,$A379,Donations!$F:$F,"&lt;="&amp;'Daily Challenges'!$D$9))</f>
        <v/>
      </c>
      <c r="I379" s="38">
        <f>IF($A379="","",SUMIFS(Donations!$D:$D,Donations!$G:$G,$A379,Donations!$F:$F,"&gt;="&amp;'Daily Challenges'!$C$10,Donations!$F:$F,"&lt;="&amp;'Daily Challenges'!$D$10))</f>
        <v/>
      </c>
      <c r="J379" s="38">
        <f>IF($A379="","",SUMIFS(Donations!$D:$D,Donations!$G:$G,$A379,Donations!$F:$F,"&lt;="&amp;'Daily Challenges'!$D$12))</f>
        <v/>
      </c>
    </row>
    <row r="380">
      <c r="A380" s="32" t="inlineStr">
        <is>
          <t>Diego Johnson</t>
        </is>
      </c>
      <c r="B380" s="32" t="inlineStr">
        <is>
          <t>Mrs. Thorne</t>
        </is>
      </c>
      <c r="C380" s="36" t="inlineStr">
        <is>
          <t>7</t>
        </is>
      </c>
      <c r="D380" s="37">
        <f>IF(A380="","",SUMIFS(Donations!$D:$D,Donations!$G:$G,A380))</f>
        <v/>
      </c>
      <c r="E380" s="35">
        <f>IF(A380="","",IF(D380&gt;0,"Yes",""))</f>
        <v/>
      </c>
      <c r="F380" s="38">
        <f>IF($A380="","",SUMIFS(Donations!$D:$D,Donations!$G:$G,$A380,Donations!$F:$F,"&gt;="&amp;'Daily Challenges'!$C$7,Donations!$F:$F,"&lt;="&amp;'Daily Challenges'!$D$7))</f>
        <v/>
      </c>
      <c r="G380" s="38">
        <f>IF($A380="","",SUMIFS(Donations!$D:$D,Donations!$G:$G,$A380,Donations!$F:$F,"&gt;="&amp;'Daily Challenges'!$C$8,Donations!$F:$F,"&lt;="&amp;'Daily Challenges'!$D$8))</f>
        <v/>
      </c>
      <c r="H380" s="38">
        <f>IF($A380="","",SUMIFS(Donations!$D:$D,Donations!$G:$G,$A380,Donations!$F:$F,"&lt;="&amp;'Daily Challenges'!$D$9))</f>
        <v/>
      </c>
      <c r="I380" s="38">
        <f>IF($A380="","",SUMIFS(Donations!$D:$D,Donations!$G:$G,$A380,Donations!$F:$F,"&gt;="&amp;'Daily Challenges'!$C$10,Donations!$F:$F,"&lt;="&amp;'Daily Challenges'!$D$10))</f>
        <v/>
      </c>
      <c r="J380" s="38">
        <f>IF($A380="","",SUMIFS(Donations!$D:$D,Donations!$G:$G,$A380,Donations!$F:$F,"&lt;="&amp;'Daily Challenges'!$D$12))</f>
        <v/>
      </c>
    </row>
    <row r="381">
      <c r="A381" s="32" t="inlineStr">
        <is>
          <t>Luna Ryan</t>
        </is>
      </c>
      <c r="B381" s="32" t="inlineStr">
        <is>
          <t>Mrs. Thorne</t>
        </is>
      </c>
      <c r="C381" s="36" t="inlineStr">
        <is>
          <t>7</t>
        </is>
      </c>
      <c r="D381" s="37">
        <f>IF(A381="","",SUMIFS(Donations!$D:$D,Donations!$G:$G,A381))</f>
        <v/>
      </c>
      <c r="E381" s="35">
        <f>IF(A381="","",IF(D381&gt;0,"Yes",""))</f>
        <v/>
      </c>
      <c r="F381" s="38">
        <f>IF($A381="","",SUMIFS(Donations!$D:$D,Donations!$G:$G,$A381,Donations!$F:$F,"&gt;="&amp;'Daily Challenges'!$C$7,Donations!$F:$F,"&lt;="&amp;'Daily Challenges'!$D$7))</f>
        <v/>
      </c>
      <c r="G381" s="38">
        <f>IF($A381="","",SUMIFS(Donations!$D:$D,Donations!$G:$G,$A381,Donations!$F:$F,"&gt;="&amp;'Daily Challenges'!$C$8,Donations!$F:$F,"&lt;="&amp;'Daily Challenges'!$D$8))</f>
        <v/>
      </c>
      <c r="H381" s="38">
        <f>IF($A381="","",SUMIFS(Donations!$D:$D,Donations!$G:$G,$A381,Donations!$F:$F,"&lt;="&amp;'Daily Challenges'!$D$9))</f>
        <v/>
      </c>
      <c r="I381" s="38">
        <f>IF($A381="","",SUMIFS(Donations!$D:$D,Donations!$G:$G,$A381,Donations!$F:$F,"&gt;="&amp;'Daily Challenges'!$C$10,Donations!$F:$F,"&lt;="&amp;'Daily Challenges'!$D$10))</f>
        <v/>
      </c>
      <c r="J381" s="38">
        <f>IF($A381="","",SUMIFS(Donations!$D:$D,Donations!$G:$G,$A381,Donations!$F:$F,"&lt;="&amp;'Daily Challenges'!$D$12))</f>
        <v/>
      </c>
    </row>
    <row r="382">
      <c r="A382" s="32" t="inlineStr">
        <is>
          <t>Olivia Brown</t>
        </is>
      </c>
      <c r="B382" s="32" t="inlineStr">
        <is>
          <t>Mrs. Thorne</t>
        </is>
      </c>
      <c r="C382" s="36" t="inlineStr">
        <is>
          <t>7</t>
        </is>
      </c>
      <c r="D382" s="37">
        <f>IF(A382="","",SUMIFS(Donations!$D:$D,Donations!$G:$G,A382))</f>
        <v/>
      </c>
      <c r="E382" s="35">
        <f>IF(A382="","",IF(D382&gt;0,"Yes",""))</f>
        <v/>
      </c>
      <c r="F382" s="38">
        <f>IF($A382="","",SUMIFS(Donations!$D:$D,Donations!$G:$G,$A382,Donations!$F:$F,"&gt;="&amp;'Daily Challenges'!$C$7,Donations!$F:$F,"&lt;="&amp;'Daily Challenges'!$D$7))</f>
        <v/>
      </c>
      <c r="G382" s="38">
        <f>IF($A382="","",SUMIFS(Donations!$D:$D,Donations!$G:$G,$A382,Donations!$F:$F,"&gt;="&amp;'Daily Challenges'!$C$8,Donations!$F:$F,"&lt;="&amp;'Daily Challenges'!$D$8))</f>
        <v/>
      </c>
      <c r="H382" s="38">
        <f>IF($A382="","",SUMIFS(Donations!$D:$D,Donations!$G:$G,$A382,Donations!$F:$F,"&lt;="&amp;'Daily Challenges'!$D$9))</f>
        <v/>
      </c>
      <c r="I382" s="38">
        <f>IF($A382="","",SUMIFS(Donations!$D:$D,Donations!$G:$G,$A382,Donations!$F:$F,"&gt;="&amp;'Daily Challenges'!$C$10,Donations!$F:$F,"&lt;="&amp;'Daily Challenges'!$D$10))</f>
        <v/>
      </c>
      <c r="J382" s="38">
        <f>IF($A382="","",SUMIFS(Donations!$D:$D,Donations!$G:$G,$A382,Donations!$F:$F,"&lt;="&amp;'Daily Challenges'!$D$12))</f>
        <v/>
      </c>
    </row>
    <row r="383">
      <c r="A383" s="32" t="inlineStr">
        <is>
          <t>Noah Torres</t>
        </is>
      </c>
      <c r="B383" s="32" t="inlineStr">
        <is>
          <t>Mrs. Thorne</t>
        </is>
      </c>
      <c r="C383" s="36" t="inlineStr">
        <is>
          <t>7</t>
        </is>
      </c>
      <c r="D383" s="37">
        <f>IF(A383="","",SUMIFS(Donations!$D:$D,Donations!$G:$G,A383))</f>
        <v/>
      </c>
      <c r="E383" s="35">
        <f>IF(A383="","",IF(D383&gt;0,"Yes",""))</f>
        <v/>
      </c>
      <c r="F383" s="38">
        <f>IF($A383="","",SUMIFS(Donations!$D:$D,Donations!$G:$G,$A383,Donations!$F:$F,"&gt;="&amp;'Daily Challenges'!$C$7,Donations!$F:$F,"&lt;="&amp;'Daily Challenges'!$D$7))</f>
        <v/>
      </c>
      <c r="G383" s="38">
        <f>IF($A383="","",SUMIFS(Donations!$D:$D,Donations!$G:$G,$A383,Donations!$F:$F,"&gt;="&amp;'Daily Challenges'!$C$8,Donations!$F:$F,"&lt;="&amp;'Daily Challenges'!$D$8))</f>
        <v/>
      </c>
      <c r="H383" s="38">
        <f>IF($A383="","",SUMIFS(Donations!$D:$D,Donations!$G:$G,$A383,Donations!$F:$F,"&lt;="&amp;'Daily Challenges'!$D$9))</f>
        <v/>
      </c>
      <c r="I383" s="38">
        <f>IF($A383="","",SUMIFS(Donations!$D:$D,Donations!$G:$G,$A383,Donations!$F:$F,"&gt;="&amp;'Daily Challenges'!$C$10,Donations!$F:$F,"&lt;="&amp;'Daily Challenges'!$D$10))</f>
        <v/>
      </c>
      <c r="J383" s="38">
        <f>IF($A383="","",SUMIFS(Donations!$D:$D,Donations!$G:$G,$A383,Donations!$F:$F,"&lt;="&amp;'Daily Challenges'!$D$12))</f>
        <v/>
      </c>
    </row>
    <row r="384">
      <c r="A384" s="32" t="inlineStr">
        <is>
          <t>Thomas Mendoza</t>
        </is>
      </c>
      <c r="B384" s="32" t="inlineStr">
        <is>
          <t>Mrs. Thorne</t>
        </is>
      </c>
      <c r="C384" s="36" t="inlineStr">
        <is>
          <t>7</t>
        </is>
      </c>
      <c r="D384" s="37">
        <f>IF(A384="","",SUMIFS(Donations!$D:$D,Donations!$G:$G,A384))</f>
        <v/>
      </c>
      <c r="E384" s="35">
        <f>IF(A384="","",IF(D384&gt;0,"Yes",""))</f>
        <v/>
      </c>
      <c r="F384" s="38">
        <f>IF($A384="","",SUMIFS(Donations!$D:$D,Donations!$G:$G,$A384,Donations!$F:$F,"&gt;="&amp;'Daily Challenges'!$C$7,Donations!$F:$F,"&lt;="&amp;'Daily Challenges'!$D$7))</f>
        <v/>
      </c>
      <c r="G384" s="38">
        <f>IF($A384="","",SUMIFS(Donations!$D:$D,Donations!$G:$G,$A384,Donations!$F:$F,"&gt;="&amp;'Daily Challenges'!$C$8,Donations!$F:$F,"&lt;="&amp;'Daily Challenges'!$D$8))</f>
        <v/>
      </c>
      <c r="H384" s="38">
        <f>IF($A384="","",SUMIFS(Donations!$D:$D,Donations!$G:$G,$A384,Donations!$F:$F,"&lt;="&amp;'Daily Challenges'!$D$9))</f>
        <v/>
      </c>
      <c r="I384" s="38">
        <f>IF($A384="","",SUMIFS(Donations!$D:$D,Donations!$G:$G,$A384,Donations!$F:$F,"&gt;="&amp;'Daily Challenges'!$C$10,Donations!$F:$F,"&lt;="&amp;'Daily Challenges'!$D$10))</f>
        <v/>
      </c>
      <c r="J384" s="38">
        <f>IF($A384="","",SUMIFS(Donations!$D:$D,Donations!$G:$G,$A384,Donations!$F:$F,"&lt;="&amp;'Daily Challenges'!$D$12))</f>
        <v/>
      </c>
    </row>
    <row r="385">
      <c r="A385" s="32" t="inlineStr">
        <is>
          <t>Ava Mendoza</t>
        </is>
      </c>
      <c r="B385" s="32" t="inlineStr">
        <is>
          <t>Mrs. Thorne</t>
        </is>
      </c>
      <c r="C385" s="36" t="inlineStr">
        <is>
          <t>7</t>
        </is>
      </c>
      <c r="D385" s="37">
        <f>IF(A385="","",SUMIFS(Donations!$D:$D,Donations!$G:$G,A385))</f>
        <v/>
      </c>
      <c r="E385" s="35">
        <f>IF(A385="","",IF(D385&gt;0,"Yes",""))</f>
        <v/>
      </c>
      <c r="F385" s="38">
        <f>IF($A385="","",SUMIFS(Donations!$D:$D,Donations!$G:$G,$A385,Donations!$F:$F,"&gt;="&amp;'Daily Challenges'!$C$7,Donations!$F:$F,"&lt;="&amp;'Daily Challenges'!$D$7))</f>
        <v/>
      </c>
      <c r="G385" s="38">
        <f>IF($A385="","",SUMIFS(Donations!$D:$D,Donations!$G:$G,$A385,Donations!$F:$F,"&gt;="&amp;'Daily Challenges'!$C$8,Donations!$F:$F,"&lt;="&amp;'Daily Challenges'!$D$8))</f>
        <v/>
      </c>
      <c r="H385" s="38">
        <f>IF($A385="","",SUMIFS(Donations!$D:$D,Donations!$G:$G,$A385,Donations!$F:$F,"&lt;="&amp;'Daily Challenges'!$D$9))</f>
        <v/>
      </c>
      <c r="I385" s="38">
        <f>IF($A385="","",SUMIFS(Donations!$D:$D,Donations!$G:$G,$A385,Donations!$F:$F,"&gt;="&amp;'Daily Challenges'!$C$10,Donations!$F:$F,"&lt;="&amp;'Daily Challenges'!$D$10))</f>
        <v/>
      </c>
      <c r="J385" s="38">
        <f>IF($A385="","",SUMIFS(Donations!$D:$D,Donations!$G:$G,$A385,Donations!$F:$F,"&lt;="&amp;'Daily Challenges'!$D$12))</f>
        <v/>
      </c>
    </row>
    <row r="386">
      <c r="A386" s="32" t="inlineStr">
        <is>
          <t>Mateo Sullivan</t>
        </is>
      </c>
      <c r="B386" s="32" t="inlineStr">
        <is>
          <t>Ms. Underwood</t>
        </is>
      </c>
      <c r="C386" s="36" t="inlineStr">
        <is>
          <t>8</t>
        </is>
      </c>
      <c r="D386" s="37">
        <f>IF(A386="","",SUMIFS(Donations!$D:$D,Donations!$G:$G,A386))</f>
        <v/>
      </c>
      <c r="E386" s="35">
        <f>IF(A386="","",IF(D386&gt;0,"Yes",""))</f>
        <v/>
      </c>
      <c r="F386" s="38">
        <f>IF($A386="","",SUMIFS(Donations!$D:$D,Donations!$G:$G,$A386,Donations!$F:$F,"&gt;="&amp;'Daily Challenges'!$C$7,Donations!$F:$F,"&lt;="&amp;'Daily Challenges'!$D$7))</f>
        <v/>
      </c>
      <c r="G386" s="38">
        <f>IF($A386="","",SUMIFS(Donations!$D:$D,Donations!$G:$G,$A386,Donations!$F:$F,"&gt;="&amp;'Daily Challenges'!$C$8,Donations!$F:$F,"&lt;="&amp;'Daily Challenges'!$D$8))</f>
        <v/>
      </c>
      <c r="H386" s="38">
        <f>IF($A386="","",SUMIFS(Donations!$D:$D,Donations!$G:$G,$A386,Donations!$F:$F,"&lt;="&amp;'Daily Challenges'!$D$9))</f>
        <v/>
      </c>
      <c r="I386" s="38">
        <f>IF($A386="","",SUMIFS(Donations!$D:$D,Donations!$G:$G,$A386,Donations!$F:$F,"&gt;="&amp;'Daily Challenges'!$C$10,Donations!$F:$F,"&lt;="&amp;'Daily Challenges'!$D$10))</f>
        <v/>
      </c>
      <c r="J386" s="38">
        <f>IF($A386="","",SUMIFS(Donations!$D:$D,Donations!$G:$G,$A386,Donations!$F:$F,"&lt;="&amp;'Daily Challenges'!$D$12))</f>
        <v/>
      </c>
    </row>
    <row r="387">
      <c r="A387" s="32" t="inlineStr">
        <is>
          <t>Liam Diaz</t>
        </is>
      </c>
      <c r="B387" s="32" t="inlineStr">
        <is>
          <t>Ms. Underwood</t>
        </is>
      </c>
      <c r="C387" s="36" t="inlineStr">
        <is>
          <t>8</t>
        </is>
      </c>
      <c r="D387" s="37">
        <f>IF(A387="","",SUMIFS(Donations!$D:$D,Donations!$G:$G,A387))</f>
        <v/>
      </c>
      <c r="E387" s="35">
        <f>IF(A387="","",IF(D387&gt;0,"Yes",""))</f>
        <v/>
      </c>
      <c r="F387" s="38">
        <f>IF($A387="","",SUMIFS(Donations!$D:$D,Donations!$G:$G,$A387,Donations!$F:$F,"&gt;="&amp;'Daily Challenges'!$C$7,Donations!$F:$F,"&lt;="&amp;'Daily Challenges'!$D$7))</f>
        <v/>
      </c>
      <c r="G387" s="38">
        <f>IF($A387="","",SUMIFS(Donations!$D:$D,Donations!$G:$G,$A387,Donations!$F:$F,"&gt;="&amp;'Daily Challenges'!$C$8,Donations!$F:$F,"&lt;="&amp;'Daily Challenges'!$D$8))</f>
        <v/>
      </c>
      <c r="H387" s="38">
        <f>IF($A387="","",SUMIFS(Donations!$D:$D,Donations!$G:$G,$A387,Donations!$F:$F,"&lt;="&amp;'Daily Challenges'!$D$9))</f>
        <v/>
      </c>
      <c r="I387" s="38">
        <f>IF($A387="","",SUMIFS(Donations!$D:$D,Donations!$G:$G,$A387,Donations!$F:$F,"&gt;="&amp;'Daily Challenges'!$C$10,Donations!$F:$F,"&lt;="&amp;'Daily Challenges'!$D$10))</f>
        <v/>
      </c>
      <c r="J387" s="38">
        <f>IF($A387="","",SUMIFS(Donations!$D:$D,Donations!$G:$G,$A387,Donations!$F:$F,"&lt;="&amp;'Daily Challenges'!$D$12))</f>
        <v/>
      </c>
    </row>
    <row r="388">
      <c r="A388" s="32" t="inlineStr">
        <is>
          <t>Harper Chavez</t>
        </is>
      </c>
      <c r="B388" s="32" t="inlineStr">
        <is>
          <t>Ms. Underwood</t>
        </is>
      </c>
      <c r="C388" s="36" t="inlineStr">
        <is>
          <t>8</t>
        </is>
      </c>
      <c r="D388" s="37">
        <f>IF(A388="","",SUMIFS(Donations!$D:$D,Donations!$G:$G,A388))</f>
        <v/>
      </c>
      <c r="E388" s="35">
        <f>IF(A388="","",IF(D388&gt;0,"Yes",""))</f>
        <v/>
      </c>
      <c r="F388" s="38">
        <f>IF($A388="","",SUMIFS(Donations!$D:$D,Donations!$G:$G,$A388,Donations!$F:$F,"&gt;="&amp;'Daily Challenges'!$C$7,Donations!$F:$F,"&lt;="&amp;'Daily Challenges'!$D$7))</f>
        <v/>
      </c>
      <c r="G388" s="38">
        <f>IF($A388="","",SUMIFS(Donations!$D:$D,Donations!$G:$G,$A388,Donations!$F:$F,"&gt;="&amp;'Daily Challenges'!$C$8,Donations!$F:$F,"&lt;="&amp;'Daily Challenges'!$D$8))</f>
        <v/>
      </c>
      <c r="H388" s="38">
        <f>IF($A388="","",SUMIFS(Donations!$D:$D,Donations!$G:$G,$A388,Donations!$F:$F,"&lt;="&amp;'Daily Challenges'!$D$9))</f>
        <v/>
      </c>
      <c r="I388" s="38">
        <f>IF($A388="","",SUMIFS(Donations!$D:$D,Donations!$G:$G,$A388,Donations!$F:$F,"&gt;="&amp;'Daily Challenges'!$C$10,Donations!$F:$F,"&lt;="&amp;'Daily Challenges'!$D$10))</f>
        <v/>
      </c>
      <c r="J388" s="38">
        <f>IF($A388="","",SUMIFS(Donations!$D:$D,Donations!$G:$G,$A388,Donations!$F:$F,"&lt;="&amp;'Daily Challenges'!$D$12))</f>
        <v/>
      </c>
    </row>
    <row r="389">
      <c r="A389" s="32" t="inlineStr">
        <is>
          <t>Daniel Garcia</t>
        </is>
      </c>
      <c r="B389" s="32" t="inlineStr">
        <is>
          <t>Ms. Underwood</t>
        </is>
      </c>
      <c r="C389" s="36" t="inlineStr">
        <is>
          <t>8</t>
        </is>
      </c>
      <c r="D389" s="37">
        <f>IF(A389="","",SUMIFS(Donations!$D:$D,Donations!$G:$G,A389))</f>
        <v/>
      </c>
      <c r="E389" s="35">
        <f>IF(A389="","",IF(D389&gt;0,"Yes",""))</f>
        <v/>
      </c>
      <c r="F389" s="38">
        <f>IF($A389="","",SUMIFS(Donations!$D:$D,Donations!$G:$G,$A389,Donations!$F:$F,"&gt;="&amp;'Daily Challenges'!$C$7,Donations!$F:$F,"&lt;="&amp;'Daily Challenges'!$D$7))</f>
        <v/>
      </c>
      <c r="G389" s="38">
        <f>IF($A389="","",SUMIFS(Donations!$D:$D,Donations!$G:$G,$A389,Donations!$F:$F,"&gt;="&amp;'Daily Challenges'!$C$8,Donations!$F:$F,"&lt;="&amp;'Daily Challenges'!$D$8))</f>
        <v/>
      </c>
      <c r="H389" s="38">
        <f>IF($A389="","",SUMIFS(Donations!$D:$D,Donations!$G:$G,$A389,Donations!$F:$F,"&lt;="&amp;'Daily Challenges'!$D$9))</f>
        <v/>
      </c>
      <c r="I389" s="38">
        <f>IF($A389="","",SUMIFS(Donations!$D:$D,Donations!$G:$G,$A389,Donations!$F:$F,"&gt;="&amp;'Daily Challenges'!$C$10,Donations!$F:$F,"&lt;="&amp;'Daily Challenges'!$D$10))</f>
        <v/>
      </c>
      <c r="J389" s="38">
        <f>IF($A389="","",SUMIFS(Donations!$D:$D,Donations!$G:$G,$A389,Donations!$F:$F,"&lt;="&amp;'Daily Challenges'!$D$12))</f>
        <v/>
      </c>
    </row>
    <row r="390">
      <c r="A390" s="32" t="inlineStr">
        <is>
          <t>Zoe O'Brien</t>
        </is>
      </c>
      <c r="B390" s="32" t="inlineStr">
        <is>
          <t>Ms. Underwood</t>
        </is>
      </c>
      <c r="C390" s="36" t="inlineStr">
        <is>
          <t>8</t>
        </is>
      </c>
      <c r="D390" s="37">
        <f>IF(A390="","",SUMIFS(Donations!$D:$D,Donations!$G:$G,A390))</f>
        <v/>
      </c>
      <c r="E390" s="35">
        <f>IF(A390="","",IF(D390&gt;0,"Yes",""))</f>
        <v/>
      </c>
      <c r="F390" s="38">
        <f>IF($A390="","",SUMIFS(Donations!$D:$D,Donations!$G:$G,$A390,Donations!$F:$F,"&gt;="&amp;'Daily Challenges'!$C$7,Donations!$F:$F,"&lt;="&amp;'Daily Challenges'!$D$7))</f>
        <v/>
      </c>
      <c r="G390" s="38">
        <f>IF($A390="","",SUMIFS(Donations!$D:$D,Donations!$G:$G,$A390,Donations!$F:$F,"&gt;="&amp;'Daily Challenges'!$C$8,Donations!$F:$F,"&lt;="&amp;'Daily Challenges'!$D$8))</f>
        <v/>
      </c>
      <c r="H390" s="38">
        <f>IF($A390="","",SUMIFS(Donations!$D:$D,Donations!$G:$G,$A390,Donations!$F:$F,"&lt;="&amp;'Daily Challenges'!$D$9))</f>
        <v/>
      </c>
      <c r="I390" s="38">
        <f>IF($A390="","",SUMIFS(Donations!$D:$D,Donations!$G:$G,$A390,Donations!$F:$F,"&gt;="&amp;'Daily Challenges'!$C$10,Donations!$F:$F,"&lt;="&amp;'Daily Challenges'!$D$10))</f>
        <v/>
      </c>
      <c r="J390" s="38">
        <f>IF($A390="","",SUMIFS(Donations!$D:$D,Donations!$G:$G,$A390,Donations!$F:$F,"&lt;="&amp;'Daily Challenges'!$D$12))</f>
        <v/>
      </c>
    </row>
    <row r="391">
      <c r="A391" s="32" t="inlineStr">
        <is>
          <t>Joseph Diaz</t>
        </is>
      </c>
      <c r="B391" s="32" t="inlineStr">
        <is>
          <t>Ms. Underwood</t>
        </is>
      </c>
      <c r="C391" s="36" t="inlineStr">
        <is>
          <t>8</t>
        </is>
      </c>
      <c r="D391" s="37">
        <f>IF(A391="","",SUMIFS(Donations!$D:$D,Donations!$G:$G,A391))</f>
        <v/>
      </c>
      <c r="E391" s="35">
        <f>IF(A391="","",IF(D391&gt;0,"Yes",""))</f>
        <v/>
      </c>
      <c r="F391" s="38">
        <f>IF($A391="","",SUMIFS(Donations!$D:$D,Donations!$G:$G,$A391,Donations!$F:$F,"&gt;="&amp;'Daily Challenges'!$C$7,Donations!$F:$F,"&lt;="&amp;'Daily Challenges'!$D$7))</f>
        <v/>
      </c>
      <c r="G391" s="38">
        <f>IF($A391="","",SUMIFS(Donations!$D:$D,Donations!$G:$G,$A391,Donations!$F:$F,"&gt;="&amp;'Daily Challenges'!$C$8,Donations!$F:$F,"&lt;="&amp;'Daily Challenges'!$D$8))</f>
        <v/>
      </c>
      <c r="H391" s="38">
        <f>IF($A391="","",SUMIFS(Donations!$D:$D,Donations!$G:$G,$A391,Donations!$F:$F,"&lt;="&amp;'Daily Challenges'!$D$9))</f>
        <v/>
      </c>
      <c r="I391" s="38">
        <f>IF($A391="","",SUMIFS(Donations!$D:$D,Donations!$G:$G,$A391,Donations!$F:$F,"&gt;="&amp;'Daily Challenges'!$C$10,Donations!$F:$F,"&lt;="&amp;'Daily Challenges'!$D$10))</f>
        <v/>
      </c>
      <c r="J391" s="38">
        <f>IF($A391="","",SUMIFS(Donations!$D:$D,Donations!$G:$G,$A391,Donations!$F:$F,"&lt;="&amp;'Daily Challenges'!$D$12))</f>
        <v/>
      </c>
    </row>
    <row r="392">
      <c r="A392" s="32" t="inlineStr">
        <is>
          <t>Luna Nguyen</t>
        </is>
      </c>
      <c r="B392" s="32" t="inlineStr">
        <is>
          <t>Ms. Underwood</t>
        </is>
      </c>
      <c r="C392" s="36" t="inlineStr">
        <is>
          <t>8</t>
        </is>
      </c>
      <c r="D392" s="37">
        <f>IF(A392="","",SUMIFS(Donations!$D:$D,Donations!$G:$G,A392))</f>
        <v/>
      </c>
      <c r="E392" s="35">
        <f>IF(A392="","",IF(D392&gt;0,"Yes",""))</f>
        <v/>
      </c>
      <c r="F392" s="38">
        <f>IF($A392="","",SUMIFS(Donations!$D:$D,Donations!$G:$G,$A392,Donations!$F:$F,"&gt;="&amp;'Daily Challenges'!$C$7,Donations!$F:$F,"&lt;="&amp;'Daily Challenges'!$D$7))</f>
        <v/>
      </c>
      <c r="G392" s="38">
        <f>IF($A392="","",SUMIFS(Donations!$D:$D,Donations!$G:$G,$A392,Donations!$F:$F,"&gt;="&amp;'Daily Challenges'!$C$8,Donations!$F:$F,"&lt;="&amp;'Daily Challenges'!$D$8))</f>
        <v/>
      </c>
      <c r="H392" s="38">
        <f>IF($A392="","",SUMIFS(Donations!$D:$D,Donations!$G:$G,$A392,Donations!$F:$F,"&lt;="&amp;'Daily Challenges'!$D$9))</f>
        <v/>
      </c>
      <c r="I392" s="38">
        <f>IF($A392="","",SUMIFS(Donations!$D:$D,Donations!$G:$G,$A392,Donations!$F:$F,"&gt;="&amp;'Daily Challenges'!$C$10,Donations!$F:$F,"&lt;="&amp;'Daily Challenges'!$D$10))</f>
        <v/>
      </c>
      <c r="J392" s="38">
        <f>IF($A392="","",SUMIFS(Donations!$D:$D,Donations!$G:$G,$A392,Donations!$F:$F,"&lt;="&amp;'Daily Challenges'!$D$12))</f>
        <v/>
      </c>
    </row>
    <row r="393">
      <c r="A393" s="32" t="inlineStr">
        <is>
          <t>Mia Gutierrez</t>
        </is>
      </c>
      <c r="B393" s="32" t="inlineStr">
        <is>
          <t>Ms. Underwood</t>
        </is>
      </c>
      <c r="C393" s="36" t="inlineStr">
        <is>
          <t>8</t>
        </is>
      </c>
      <c r="D393" s="37">
        <f>IF(A393="","",SUMIFS(Donations!$D:$D,Donations!$G:$G,A393))</f>
        <v/>
      </c>
      <c r="E393" s="35">
        <f>IF(A393="","",IF(D393&gt;0,"Yes",""))</f>
        <v/>
      </c>
      <c r="F393" s="38">
        <f>IF($A393="","",SUMIFS(Donations!$D:$D,Donations!$G:$G,$A393,Donations!$F:$F,"&gt;="&amp;'Daily Challenges'!$C$7,Donations!$F:$F,"&lt;="&amp;'Daily Challenges'!$D$7))</f>
        <v/>
      </c>
      <c r="G393" s="38">
        <f>IF($A393="","",SUMIFS(Donations!$D:$D,Donations!$G:$G,$A393,Donations!$F:$F,"&gt;="&amp;'Daily Challenges'!$C$8,Donations!$F:$F,"&lt;="&amp;'Daily Challenges'!$D$8))</f>
        <v/>
      </c>
      <c r="H393" s="38">
        <f>IF($A393="","",SUMIFS(Donations!$D:$D,Donations!$G:$G,$A393,Donations!$F:$F,"&lt;="&amp;'Daily Challenges'!$D$9))</f>
        <v/>
      </c>
      <c r="I393" s="38">
        <f>IF($A393="","",SUMIFS(Donations!$D:$D,Donations!$G:$G,$A393,Donations!$F:$F,"&gt;="&amp;'Daily Challenges'!$C$10,Donations!$F:$F,"&lt;="&amp;'Daily Challenges'!$D$10))</f>
        <v/>
      </c>
      <c r="J393" s="38">
        <f>IF($A393="","",SUMIFS(Donations!$D:$D,Donations!$G:$G,$A393,Donations!$F:$F,"&lt;="&amp;'Daily Challenges'!$D$12))</f>
        <v/>
      </c>
    </row>
    <row r="394">
      <c r="A394" s="32" t="inlineStr">
        <is>
          <t>Joseph Ramos</t>
        </is>
      </c>
      <c r="B394" s="32" t="inlineStr">
        <is>
          <t>Ms. Underwood</t>
        </is>
      </c>
      <c r="C394" s="36" t="inlineStr">
        <is>
          <t>8</t>
        </is>
      </c>
      <c r="D394" s="37">
        <f>IF(A394="","",SUMIFS(Donations!$D:$D,Donations!$G:$G,A394))</f>
        <v/>
      </c>
      <c r="E394" s="35">
        <f>IF(A394="","",IF(D394&gt;0,"Yes",""))</f>
        <v/>
      </c>
      <c r="F394" s="38">
        <f>IF($A394="","",SUMIFS(Donations!$D:$D,Donations!$G:$G,$A394,Donations!$F:$F,"&gt;="&amp;'Daily Challenges'!$C$7,Donations!$F:$F,"&lt;="&amp;'Daily Challenges'!$D$7))</f>
        <v/>
      </c>
      <c r="G394" s="38">
        <f>IF($A394="","",SUMIFS(Donations!$D:$D,Donations!$G:$G,$A394,Donations!$F:$F,"&gt;="&amp;'Daily Challenges'!$C$8,Donations!$F:$F,"&lt;="&amp;'Daily Challenges'!$D$8))</f>
        <v/>
      </c>
      <c r="H394" s="38">
        <f>IF($A394="","",SUMIFS(Donations!$D:$D,Donations!$G:$G,$A394,Donations!$F:$F,"&lt;="&amp;'Daily Challenges'!$D$9))</f>
        <v/>
      </c>
      <c r="I394" s="38">
        <f>IF($A394="","",SUMIFS(Donations!$D:$D,Donations!$G:$G,$A394,Donations!$F:$F,"&gt;="&amp;'Daily Challenges'!$C$10,Donations!$F:$F,"&lt;="&amp;'Daily Challenges'!$D$10))</f>
        <v/>
      </c>
      <c r="J394" s="38">
        <f>IF($A394="","",SUMIFS(Donations!$D:$D,Donations!$G:$G,$A394,Donations!$F:$F,"&lt;="&amp;'Daily Challenges'!$D$12))</f>
        <v/>
      </c>
    </row>
    <row r="395">
      <c r="A395" s="32" t="inlineStr">
        <is>
          <t>Maya Walsh</t>
        </is>
      </c>
      <c r="B395" s="32" t="inlineStr">
        <is>
          <t>Ms. Underwood</t>
        </is>
      </c>
      <c r="C395" s="36" t="inlineStr">
        <is>
          <t>8</t>
        </is>
      </c>
      <c r="D395" s="37">
        <f>IF(A395="","",SUMIFS(Donations!$D:$D,Donations!$G:$G,A395))</f>
        <v/>
      </c>
      <c r="E395" s="35">
        <f>IF(A395="","",IF(D395&gt;0,"Yes",""))</f>
        <v/>
      </c>
      <c r="F395" s="38">
        <f>IF($A395="","",SUMIFS(Donations!$D:$D,Donations!$G:$G,$A395,Donations!$F:$F,"&gt;="&amp;'Daily Challenges'!$C$7,Donations!$F:$F,"&lt;="&amp;'Daily Challenges'!$D$7))</f>
        <v/>
      </c>
      <c r="G395" s="38">
        <f>IF($A395="","",SUMIFS(Donations!$D:$D,Donations!$G:$G,$A395,Donations!$F:$F,"&gt;="&amp;'Daily Challenges'!$C$8,Donations!$F:$F,"&lt;="&amp;'Daily Challenges'!$D$8))</f>
        <v/>
      </c>
      <c r="H395" s="38">
        <f>IF($A395="","",SUMIFS(Donations!$D:$D,Donations!$G:$G,$A395,Donations!$F:$F,"&lt;="&amp;'Daily Challenges'!$D$9))</f>
        <v/>
      </c>
      <c r="I395" s="38">
        <f>IF($A395="","",SUMIFS(Donations!$D:$D,Donations!$G:$G,$A395,Donations!$F:$F,"&gt;="&amp;'Daily Challenges'!$C$10,Donations!$F:$F,"&lt;="&amp;'Daily Challenges'!$D$10))</f>
        <v/>
      </c>
      <c r="J395" s="38">
        <f>IF($A395="","",SUMIFS(Donations!$D:$D,Donations!$G:$G,$A395,Donations!$F:$F,"&lt;="&amp;'Daily Challenges'!$D$12))</f>
        <v/>
      </c>
    </row>
    <row r="396">
      <c r="A396" s="32" t="inlineStr">
        <is>
          <t>Santiago Sullivan</t>
        </is>
      </c>
      <c r="B396" s="32" t="inlineStr">
        <is>
          <t>Ms. Underwood</t>
        </is>
      </c>
      <c r="C396" s="36" t="inlineStr">
        <is>
          <t>8</t>
        </is>
      </c>
      <c r="D396" s="37">
        <f>IF(A396="","",SUMIFS(Donations!$D:$D,Donations!$G:$G,A396))</f>
        <v/>
      </c>
      <c r="E396" s="35">
        <f>IF(A396="","",IF(D396&gt;0,"Yes",""))</f>
        <v/>
      </c>
      <c r="F396" s="38">
        <f>IF($A396="","",SUMIFS(Donations!$D:$D,Donations!$G:$G,$A396,Donations!$F:$F,"&gt;="&amp;'Daily Challenges'!$C$7,Donations!$F:$F,"&lt;="&amp;'Daily Challenges'!$D$7))</f>
        <v/>
      </c>
      <c r="G396" s="38">
        <f>IF($A396="","",SUMIFS(Donations!$D:$D,Donations!$G:$G,$A396,Donations!$F:$F,"&gt;="&amp;'Daily Challenges'!$C$8,Donations!$F:$F,"&lt;="&amp;'Daily Challenges'!$D$8))</f>
        <v/>
      </c>
      <c r="H396" s="38">
        <f>IF($A396="","",SUMIFS(Donations!$D:$D,Donations!$G:$G,$A396,Donations!$F:$F,"&lt;="&amp;'Daily Challenges'!$D$9))</f>
        <v/>
      </c>
      <c r="I396" s="38">
        <f>IF($A396="","",SUMIFS(Donations!$D:$D,Donations!$G:$G,$A396,Donations!$F:$F,"&gt;="&amp;'Daily Challenges'!$C$10,Donations!$F:$F,"&lt;="&amp;'Daily Challenges'!$D$10))</f>
        <v/>
      </c>
      <c r="J396" s="38">
        <f>IF($A396="","",SUMIFS(Donations!$D:$D,Donations!$G:$G,$A396,Donations!$F:$F,"&lt;="&amp;'Daily Challenges'!$D$12))</f>
        <v/>
      </c>
    </row>
    <row r="397">
      <c r="A397" s="32" t="inlineStr">
        <is>
          <t>Evelyn Gomez</t>
        </is>
      </c>
      <c r="B397" s="32" t="inlineStr">
        <is>
          <t>Ms. Underwood</t>
        </is>
      </c>
      <c r="C397" s="36" t="inlineStr">
        <is>
          <t>8</t>
        </is>
      </c>
      <c r="D397" s="37">
        <f>IF(A397="","",SUMIFS(Donations!$D:$D,Donations!$G:$G,A397))</f>
        <v/>
      </c>
      <c r="E397" s="35">
        <f>IF(A397="","",IF(D397&gt;0,"Yes",""))</f>
        <v/>
      </c>
      <c r="F397" s="38">
        <f>IF($A397="","",SUMIFS(Donations!$D:$D,Donations!$G:$G,$A397,Donations!$F:$F,"&gt;="&amp;'Daily Challenges'!$C$7,Donations!$F:$F,"&lt;="&amp;'Daily Challenges'!$D$7))</f>
        <v/>
      </c>
      <c r="G397" s="38">
        <f>IF($A397="","",SUMIFS(Donations!$D:$D,Donations!$G:$G,$A397,Donations!$F:$F,"&gt;="&amp;'Daily Challenges'!$C$8,Donations!$F:$F,"&lt;="&amp;'Daily Challenges'!$D$8))</f>
        <v/>
      </c>
      <c r="H397" s="38">
        <f>IF($A397="","",SUMIFS(Donations!$D:$D,Donations!$G:$G,$A397,Donations!$F:$F,"&lt;="&amp;'Daily Challenges'!$D$9))</f>
        <v/>
      </c>
      <c r="I397" s="38">
        <f>IF($A397="","",SUMIFS(Donations!$D:$D,Donations!$G:$G,$A397,Donations!$F:$F,"&gt;="&amp;'Daily Challenges'!$C$10,Donations!$F:$F,"&lt;="&amp;'Daily Challenges'!$D$10))</f>
        <v/>
      </c>
      <c r="J397" s="38">
        <f>IF($A397="","",SUMIFS(Donations!$D:$D,Donations!$G:$G,$A397,Donations!$F:$F,"&lt;="&amp;'Daily Challenges'!$D$12))</f>
        <v/>
      </c>
    </row>
    <row r="398">
      <c r="A398" s="32" t="inlineStr">
        <is>
          <t>Joseph Gutierrez</t>
        </is>
      </c>
      <c r="B398" s="32" t="inlineStr">
        <is>
          <t>Ms. Underwood</t>
        </is>
      </c>
      <c r="C398" s="36" t="inlineStr">
        <is>
          <t>8</t>
        </is>
      </c>
      <c r="D398" s="37">
        <f>IF(A398="","",SUMIFS(Donations!$D:$D,Donations!$G:$G,A398))</f>
        <v/>
      </c>
      <c r="E398" s="35">
        <f>IF(A398="","",IF(D398&gt;0,"Yes",""))</f>
        <v/>
      </c>
      <c r="F398" s="38">
        <f>IF($A398="","",SUMIFS(Donations!$D:$D,Donations!$G:$G,$A398,Donations!$F:$F,"&gt;="&amp;'Daily Challenges'!$C$7,Donations!$F:$F,"&lt;="&amp;'Daily Challenges'!$D$7))</f>
        <v/>
      </c>
      <c r="G398" s="38">
        <f>IF($A398="","",SUMIFS(Donations!$D:$D,Donations!$G:$G,$A398,Donations!$F:$F,"&gt;="&amp;'Daily Challenges'!$C$8,Donations!$F:$F,"&lt;="&amp;'Daily Challenges'!$D$8))</f>
        <v/>
      </c>
      <c r="H398" s="38">
        <f>IF($A398="","",SUMIFS(Donations!$D:$D,Donations!$G:$G,$A398,Donations!$F:$F,"&lt;="&amp;'Daily Challenges'!$D$9))</f>
        <v/>
      </c>
      <c r="I398" s="38">
        <f>IF($A398="","",SUMIFS(Donations!$D:$D,Donations!$G:$G,$A398,Donations!$F:$F,"&gt;="&amp;'Daily Challenges'!$C$10,Donations!$F:$F,"&lt;="&amp;'Daily Challenges'!$D$10))</f>
        <v/>
      </c>
      <c r="J398" s="38">
        <f>IF($A398="","",SUMIFS(Donations!$D:$D,Donations!$G:$G,$A398,Donations!$F:$F,"&lt;="&amp;'Daily Challenges'!$D$12))</f>
        <v/>
      </c>
    </row>
    <row r="399">
      <c r="A399" s="32" t="inlineStr">
        <is>
          <t>Isaac Williams</t>
        </is>
      </c>
      <c r="B399" s="32" t="inlineStr">
        <is>
          <t>Ms. Underwood</t>
        </is>
      </c>
      <c r="C399" s="36" t="inlineStr">
        <is>
          <t>8</t>
        </is>
      </c>
      <c r="D399" s="37">
        <f>IF(A399="","",SUMIFS(Donations!$D:$D,Donations!$G:$G,A399))</f>
        <v/>
      </c>
      <c r="E399" s="35">
        <f>IF(A399="","",IF(D399&gt;0,"Yes",""))</f>
        <v/>
      </c>
      <c r="F399" s="38">
        <f>IF($A399="","",SUMIFS(Donations!$D:$D,Donations!$G:$G,$A399,Donations!$F:$F,"&gt;="&amp;'Daily Challenges'!$C$7,Donations!$F:$F,"&lt;="&amp;'Daily Challenges'!$D$7))</f>
        <v/>
      </c>
      <c r="G399" s="38">
        <f>IF($A399="","",SUMIFS(Donations!$D:$D,Donations!$G:$G,$A399,Donations!$F:$F,"&gt;="&amp;'Daily Challenges'!$C$8,Donations!$F:$F,"&lt;="&amp;'Daily Challenges'!$D$8))</f>
        <v/>
      </c>
      <c r="H399" s="38">
        <f>IF($A399="","",SUMIFS(Donations!$D:$D,Donations!$G:$G,$A399,Donations!$F:$F,"&lt;="&amp;'Daily Challenges'!$D$9))</f>
        <v/>
      </c>
      <c r="I399" s="38">
        <f>IF($A399="","",SUMIFS(Donations!$D:$D,Donations!$G:$G,$A399,Donations!$F:$F,"&gt;="&amp;'Daily Challenges'!$C$10,Donations!$F:$F,"&lt;="&amp;'Daily Challenges'!$D$10))</f>
        <v/>
      </c>
      <c r="J399" s="38">
        <f>IF($A399="","",SUMIFS(Donations!$D:$D,Donations!$G:$G,$A399,Donations!$F:$F,"&lt;="&amp;'Daily Challenges'!$D$12))</f>
        <v/>
      </c>
    </row>
    <row r="400">
      <c r="A400" s="32" t="inlineStr">
        <is>
          <t>Benjamin Reyes</t>
        </is>
      </c>
      <c r="B400" s="32" t="inlineStr">
        <is>
          <t>Ms. Underwood</t>
        </is>
      </c>
      <c r="C400" s="36" t="inlineStr">
        <is>
          <t>8</t>
        </is>
      </c>
      <c r="D400" s="37">
        <f>IF(A400="","",SUMIFS(Donations!$D:$D,Donations!$G:$G,A400))</f>
        <v/>
      </c>
      <c r="E400" s="35">
        <f>IF(A400="","",IF(D400&gt;0,"Yes",""))</f>
        <v/>
      </c>
      <c r="F400" s="38">
        <f>IF($A400="","",SUMIFS(Donations!$D:$D,Donations!$G:$G,$A400,Donations!$F:$F,"&gt;="&amp;'Daily Challenges'!$C$7,Donations!$F:$F,"&lt;="&amp;'Daily Challenges'!$D$7))</f>
        <v/>
      </c>
      <c r="G400" s="38">
        <f>IF($A400="","",SUMIFS(Donations!$D:$D,Donations!$G:$G,$A400,Donations!$F:$F,"&gt;="&amp;'Daily Challenges'!$C$8,Donations!$F:$F,"&lt;="&amp;'Daily Challenges'!$D$8))</f>
        <v/>
      </c>
      <c r="H400" s="38">
        <f>IF($A400="","",SUMIFS(Donations!$D:$D,Donations!$G:$G,$A400,Donations!$F:$F,"&lt;="&amp;'Daily Challenges'!$D$9))</f>
        <v/>
      </c>
      <c r="I400" s="38">
        <f>IF($A400="","",SUMIFS(Donations!$D:$D,Donations!$G:$G,$A400,Donations!$F:$F,"&gt;="&amp;'Daily Challenges'!$C$10,Donations!$F:$F,"&lt;="&amp;'Daily Challenges'!$D$10))</f>
        <v/>
      </c>
      <c r="J400" s="38">
        <f>IF($A400="","",SUMIFS(Donations!$D:$D,Donations!$G:$G,$A400,Donations!$F:$F,"&lt;="&amp;'Daily Challenges'!$D$12))</f>
        <v/>
      </c>
    </row>
    <row r="401">
      <c r="A401" s="32" t="inlineStr">
        <is>
          <t>Isabella Johnson</t>
        </is>
      </c>
      <c r="B401" s="32" t="inlineStr">
        <is>
          <t>Ms. Underwood</t>
        </is>
      </c>
      <c r="C401" s="36" t="inlineStr">
        <is>
          <t>8</t>
        </is>
      </c>
      <c r="D401" s="37">
        <f>IF(A401="","",SUMIFS(Donations!$D:$D,Donations!$G:$G,A401))</f>
        <v/>
      </c>
      <c r="E401" s="35">
        <f>IF(A401="","",IF(D401&gt;0,"Yes",""))</f>
        <v/>
      </c>
      <c r="F401" s="38">
        <f>IF($A401="","",SUMIFS(Donations!$D:$D,Donations!$G:$G,$A401,Donations!$F:$F,"&gt;="&amp;'Daily Challenges'!$C$7,Donations!$F:$F,"&lt;="&amp;'Daily Challenges'!$D$7))</f>
        <v/>
      </c>
      <c r="G401" s="38">
        <f>IF($A401="","",SUMIFS(Donations!$D:$D,Donations!$G:$G,$A401,Donations!$F:$F,"&gt;="&amp;'Daily Challenges'!$C$8,Donations!$F:$F,"&lt;="&amp;'Daily Challenges'!$D$8))</f>
        <v/>
      </c>
      <c r="H401" s="38">
        <f>IF($A401="","",SUMIFS(Donations!$D:$D,Donations!$G:$G,$A401,Donations!$F:$F,"&lt;="&amp;'Daily Challenges'!$D$9))</f>
        <v/>
      </c>
      <c r="I401" s="38">
        <f>IF($A401="","",SUMIFS(Donations!$D:$D,Donations!$G:$G,$A401,Donations!$F:$F,"&gt;="&amp;'Daily Challenges'!$C$10,Donations!$F:$F,"&lt;="&amp;'Daily Challenges'!$D$10))</f>
        <v/>
      </c>
      <c r="J401" s="38">
        <f>IF($A401="","",SUMIFS(Donations!$D:$D,Donations!$G:$G,$A401,Donations!$F:$F,"&lt;="&amp;'Daily Challenges'!$D$12))</f>
        <v/>
      </c>
    </row>
    <row r="402">
      <c r="A402" s="32" t="inlineStr">
        <is>
          <t>Julian Lopez</t>
        </is>
      </c>
      <c r="B402" s="32" t="inlineStr">
        <is>
          <t>Ms. Underwood</t>
        </is>
      </c>
      <c r="C402" s="36" t="inlineStr">
        <is>
          <t>8</t>
        </is>
      </c>
      <c r="D402" s="37">
        <f>IF(A402="","",SUMIFS(Donations!$D:$D,Donations!$G:$G,A402))</f>
        <v/>
      </c>
      <c r="E402" s="35">
        <f>IF(A402="","",IF(D402&gt;0,"Yes",""))</f>
        <v/>
      </c>
      <c r="F402" s="38">
        <f>IF($A402="","",SUMIFS(Donations!$D:$D,Donations!$G:$G,$A402,Donations!$F:$F,"&gt;="&amp;'Daily Challenges'!$C$7,Donations!$F:$F,"&lt;="&amp;'Daily Challenges'!$D$7))</f>
        <v/>
      </c>
      <c r="G402" s="38">
        <f>IF($A402="","",SUMIFS(Donations!$D:$D,Donations!$G:$G,$A402,Donations!$F:$F,"&gt;="&amp;'Daily Challenges'!$C$8,Donations!$F:$F,"&lt;="&amp;'Daily Challenges'!$D$8))</f>
        <v/>
      </c>
      <c r="H402" s="38">
        <f>IF($A402="","",SUMIFS(Donations!$D:$D,Donations!$G:$G,$A402,Donations!$F:$F,"&lt;="&amp;'Daily Challenges'!$D$9))</f>
        <v/>
      </c>
      <c r="I402" s="38">
        <f>IF($A402="","",SUMIFS(Donations!$D:$D,Donations!$G:$G,$A402,Donations!$F:$F,"&gt;="&amp;'Daily Challenges'!$C$10,Donations!$F:$F,"&lt;="&amp;'Daily Challenges'!$D$10))</f>
        <v/>
      </c>
      <c r="J402" s="38">
        <f>IF($A402="","",SUMIFS(Donations!$D:$D,Donations!$G:$G,$A402,Donations!$F:$F,"&lt;="&amp;'Daily Challenges'!$D$12))</f>
        <v/>
      </c>
    </row>
    <row r="403">
      <c r="A403" s="32" t="inlineStr">
        <is>
          <t>Camila O'Brien</t>
        </is>
      </c>
      <c r="B403" s="32" t="inlineStr">
        <is>
          <t>Ms. Underwood</t>
        </is>
      </c>
      <c r="C403" s="36" t="inlineStr">
        <is>
          <t>8</t>
        </is>
      </c>
      <c r="D403" s="37">
        <f>IF(A403="","",SUMIFS(Donations!$D:$D,Donations!$G:$G,A403))</f>
        <v/>
      </c>
      <c r="E403" s="35">
        <f>IF(A403="","",IF(D403&gt;0,"Yes",""))</f>
        <v/>
      </c>
      <c r="F403" s="38">
        <f>IF($A403="","",SUMIFS(Donations!$D:$D,Donations!$G:$G,$A403,Donations!$F:$F,"&gt;="&amp;'Daily Challenges'!$C$7,Donations!$F:$F,"&lt;="&amp;'Daily Challenges'!$D$7))</f>
        <v/>
      </c>
      <c r="G403" s="38">
        <f>IF($A403="","",SUMIFS(Donations!$D:$D,Donations!$G:$G,$A403,Donations!$F:$F,"&gt;="&amp;'Daily Challenges'!$C$8,Donations!$F:$F,"&lt;="&amp;'Daily Challenges'!$D$8))</f>
        <v/>
      </c>
      <c r="H403" s="38">
        <f>IF($A403="","",SUMIFS(Donations!$D:$D,Donations!$G:$G,$A403,Donations!$F:$F,"&lt;="&amp;'Daily Challenges'!$D$9))</f>
        <v/>
      </c>
      <c r="I403" s="38">
        <f>IF($A403="","",SUMIFS(Donations!$D:$D,Donations!$G:$G,$A403,Donations!$F:$F,"&gt;="&amp;'Daily Challenges'!$C$10,Donations!$F:$F,"&lt;="&amp;'Daily Challenges'!$D$10))</f>
        <v/>
      </c>
      <c r="J403" s="38">
        <f>IF($A403="","",SUMIFS(Donations!$D:$D,Donations!$G:$G,$A403,Donations!$F:$F,"&lt;="&amp;'Daily Challenges'!$D$12))</f>
        <v/>
      </c>
    </row>
    <row r="404">
      <c r="A404" s="32" t="inlineStr">
        <is>
          <t>Lily Kelly</t>
        </is>
      </c>
      <c r="B404" s="32" t="inlineStr">
        <is>
          <t>Ms. Underwood</t>
        </is>
      </c>
      <c r="C404" s="36" t="inlineStr">
        <is>
          <t>8</t>
        </is>
      </c>
      <c r="D404" s="37">
        <f>IF(A404="","",SUMIFS(Donations!$D:$D,Donations!$G:$G,A404))</f>
        <v/>
      </c>
      <c r="E404" s="35">
        <f>IF(A404="","",IF(D404&gt;0,"Yes",""))</f>
        <v/>
      </c>
      <c r="F404" s="38">
        <f>IF($A404="","",SUMIFS(Donations!$D:$D,Donations!$G:$G,$A404,Donations!$F:$F,"&gt;="&amp;'Daily Challenges'!$C$7,Donations!$F:$F,"&lt;="&amp;'Daily Challenges'!$D$7))</f>
        <v/>
      </c>
      <c r="G404" s="38">
        <f>IF($A404="","",SUMIFS(Donations!$D:$D,Donations!$G:$G,$A404,Donations!$F:$F,"&gt;="&amp;'Daily Challenges'!$C$8,Donations!$F:$F,"&lt;="&amp;'Daily Challenges'!$D$8))</f>
        <v/>
      </c>
      <c r="H404" s="38">
        <f>IF($A404="","",SUMIFS(Donations!$D:$D,Donations!$G:$G,$A404,Donations!$F:$F,"&lt;="&amp;'Daily Challenges'!$D$9))</f>
        <v/>
      </c>
      <c r="I404" s="38">
        <f>IF($A404="","",SUMIFS(Donations!$D:$D,Donations!$G:$G,$A404,Donations!$F:$F,"&gt;="&amp;'Daily Challenges'!$C$10,Donations!$F:$F,"&lt;="&amp;'Daily Challenges'!$D$10))</f>
        <v/>
      </c>
      <c r="J404" s="38">
        <f>IF($A404="","",SUMIFS(Donations!$D:$D,Donations!$G:$G,$A404,Donations!$F:$F,"&lt;="&amp;'Daily Challenges'!$D$12))</f>
        <v/>
      </c>
    </row>
    <row r="405">
      <c r="A405" s="32" t="inlineStr">
        <is>
          <t>Valentina Ramos</t>
        </is>
      </c>
      <c r="B405" s="32" t="inlineStr">
        <is>
          <t>Ms. Underwood</t>
        </is>
      </c>
      <c r="C405" s="36" t="inlineStr">
        <is>
          <t>8</t>
        </is>
      </c>
      <c r="D405" s="37">
        <f>IF(A405="","",SUMIFS(Donations!$D:$D,Donations!$G:$G,A405))</f>
        <v/>
      </c>
      <c r="E405" s="35">
        <f>IF(A405="","",IF(D405&gt;0,"Yes",""))</f>
        <v/>
      </c>
      <c r="F405" s="38">
        <f>IF($A405="","",SUMIFS(Donations!$D:$D,Donations!$G:$G,$A405,Donations!$F:$F,"&gt;="&amp;'Daily Challenges'!$C$7,Donations!$F:$F,"&lt;="&amp;'Daily Challenges'!$D$7))</f>
        <v/>
      </c>
      <c r="G405" s="38">
        <f>IF($A405="","",SUMIFS(Donations!$D:$D,Donations!$G:$G,$A405,Donations!$F:$F,"&gt;="&amp;'Daily Challenges'!$C$8,Donations!$F:$F,"&lt;="&amp;'Daily Challenges'!$D$8))</f>
        <v/>
      </c>
      <c r="H405" s="38">
        <f>IF($A405="","",SUMIFS(Donations!$D:$D,Donations!$G:$G,$A405,Donations!$F:$F,"&lt;="&amp;'Daily Challenges'!$D$9))</f>
        <v/>
      </c>
      <c r="I405" s="38">
        <f>IF($A405="","",SUMIFS(Donations!$D:$D,Donations!$G:$G,$A405,Donations!$F:$F,"&gt;="&amp;'Daily Challenges'!$C$10,Donations!$F:$F,"&lt;="&amp;'Daily Challenges'!$D$10))</f>
        <v/>
      </c>
      <c r="J405" s="38">
        <f>IF($A405="","",SUMIFS(Donations!$D:$D,Donations!$G:$G,$A405,Donations!$F:$F,"&lt;="&amp;'Daily Challenges'!$D$12))</f>
        <v/>
      </c>
    </row>
    <row r="406">
      <c r="A406" s="32" t="inlineStr">
        <is>
          <t>Joseph Ryan</t>
        </is>
      </c>
      <c r="B406" s="32" t="inlineStr">
        <is>
          <t>Mrs. Valdez</t>
        </is>
      </c>
      <c r="C406" s="36" t="inlineStr">
        <is>
          <t>8</t>
        </is>
      </c>
      <c r="D406" s="37">
        <f>IF(A406="","",SUMIFS(Donations!$D:$D,Donations!$G:$G,A406))</f>
        <v/>
      </c>
      <c r="E406" s="35">
        <f>IF(A406="","",IF(D406&gt;0,"Yes",""))</f>
        <v/>
      </c>
      <c r="F406" s="38">
        <f>IF($A406="","",SUMIFS(Donations!$D:$D,Donations!$G:$G,$A406,Donations!$F:$F,"&gt;="&amp;'Daily Challenges'!$C$7,Donations!$F:$F,"&lt;="&amp;'Daily Challenges'!$D$7))</f>
        <v/>
      </c>
      <c r="G406" s="38">
        <f>IF($A406="","",SUMIFS(Donations!$D:$D,Donations!$G:$G,$A406,Donations!$F:$F,"&gt;="&amp;'Daily Challenges'!$C$8,Donations!$F:$F,"&lt;="&amp;'Daily Challenges'!$D$8))</f>
        <v/>
      </c>
      <c r="H406" s="38">
        <f>IF($A406="","",SUMIFS(Donations!$D:$D,Donations!$G:$G,$A406,Donations!$F:$F,"&lt;="&amp;'Daily Challenges'!$D$9))</f>
        <v/>
      </c>
      <c r="I406" s="38">
        <f>IF($A406="","",SUMIFS(Donations!$D:$D,Donations!$G:$G,$A406,Donations!$F:$F,"&gt;="&amp;'Daily Challenges'!$C$10,Donations!$F:$F,"&lt;="&amp;'Daily Challenges'!$D$10))</f>
        <v/>
      </c>
      <c r="J406" s="38">
        <f>IF($A406="","",SUMIFS(Donations!$D:$D,Donations!$G:$G,$A406,Donations!$F:$F,"&lt;="&amp;'Daily Challenges'!$D$12))</f>
        <v/>
      </c>
    </row>
    <row r="407">
      <c r="A407" s="32" t="inlineStr">
        <is>
          <t>Mateo Gonzalez</t>
        </is>
      </c>
      <c r="B407" s="32" t="inlineStr">
        <is>
          <t>Mrs. Valdez</t>
        </is>
      </c>
      <c r="C407" s="36" t="inlineStr">
        <is>
          <t>8</t>
        </is>
      </c>
      <c r="D407" s="37">
        <f>IF(A407="","",SUMIFS(Donations!$D:$D,Donations!$G:$G,A407))</f>
        <v/>
      </c>
      <c r="E407" s="35">
        <f>IF(A407="","",IF(D407&gt;0,"Yes",""))</f>
        <v/>
      </c>
      <c r="F407" s="38">
        <f>IF($A407="","",SUMIFS(Donations!$D:$D,Donations!$G:$G,$A407,Donations!$F:$F,"&gt;="&amp;'Daily Challenges'!$C$7,Donations!$F:$F,"&lt;="&amp;'Daily Challenges'!$D$7))</f>
        <v/>
      </c>
      <c r="G407" s="38">
        <f>IF($A407="","",SUMIFS(Donations!$D:$D,Donations!$G:$G,$A407,Donations!$F:$F,"&gt;="&amp;'Daily Challenges'!$C$8,Donations!$F:$F,"&lt;="&amp;'Daily Challenges'!$D$8))</f>
        <v/>
      </c>
      <c r="H407" s="38">
        <f>IF($A407="","",SUMIFS(Donations!$D:$D,Donations!$G:$G,$A407,Donations!$F:$F,"&lt;="&amp;'Daily Challenges'!$D$9))</f>
        <v/>
      </c>
      <c r="I407" s="38">
        <f>IF($A407="","",SUMIFS(Donations!$D:$D,Donations!$G:$G,$A407,Donations!$F:$F,"&gt;="&amp;'Daily Challenges'!$C$10,Donations!$F:$F,"&lt;="&amp;'Daily Challenges'!$D$10))</f>
        <v/>
      </c>
      <c r="J407" s="38">
        <f>IF($A407="","",SUMIFS(Donations!$D:$D,Donations!$G:$G,$A407,Donations!$F:$F,"&lt;="&amp;'Daily Challenges'!$D$12))</f>
        <v/>
      </c>
    </row>
    <row r="408">
      <c r="A408" s="32" t="inlineStr">
        <is>
          <t>Mateo Williams</t>
        </is>
      </c>
      <c r="B408" s="32" t="inlineStr">
        <is>
          <t>Mrs. Valdez</t>
        </is>
      </c>
      <c r="C408" s="36" t="inlineStr">
        <is>
          <t>8</t>
        </is>
      </c>
      <c r="D408" s="37">
        <f>IF(A408="","",SUMIFS(Donations!$D:$D,Donations!$G:$G,A408))</f>
        <v/>
      </c>
      <c r="E408" s="35">
        <f>IF(A408="","",IF(D408&gt;0,"Yes",""))</f>
        <v/>
      </c>
      <c r="F408" s="38">
        <f>IF($A408="","",SUMIFS(Donations!$D:$D,Donations!$G:$G,$A408,Donations!$F:$F,"&gt;="&amp;'Daily Challenges'!$C$7,Donations!$F:$F,"&lt;="&amp;'Daily Challenges'!$D$7))</f>
        <v/>
      </c>
      <c r="G408" s="38">
        <f>IF($A408="","",SUMIFS(Donations!$D:$D,Donations!$G:$G,$A408,Donations!$F:$F,"&gt;="&amp;'Daily Challenges'!$C$8,Donations!$F:$F,"&lt;="&amp;'Daily Challenges'!$D$8))</f>
        <v/>
      </c>
      <c r="H408" s="38">
        <f>IF($A408="","",SUMIFS(Donations!$D:$D,Donations!$G:$G,$A408,Donations!$F:$F,"&lt;="&amp;'Daily Challenges'!$D$9))</f>
        <v/>
      </c>
      <c r="I408" s="38">
        <f>IF($A408="","",SUMIFS(Donations!$D:$D,Donations!$G:$G,$A408,Donations!$F:$F,"&gt;="&amp;'Daily Challenges'!$C$10,Donations!$F:$F,"&lt;="&amp;'Daily Challenges'!$D$10))</f>
        <v/>
      </c>
      <c r="J408" s="38">
        <f>IF($A408="","",SUMIFS(Donations!$D:$D,Donations!$G:$G,$A408,Donations!$F:$F,"&lt;="&amp;'Daily Challenges'!$D$12))</f>
        <v/>
      </c>
    </row>
    <row r="409">
      <c r="A409" s="32" t="inlineStr">
        <is>
          <t>Daniel Johnson</t>
        </is>
      </c>
      <c r="B409" s="32" t="inlineStr">
        <is>
          <t>Mrs. Valdez</t>
        </is>
      </c>
      <c r="C409" s="36" t="inlineStr">
        <is>
          <t>8</t>
        </is>
      </c>
      <c r="D409" s="37">
        <f>IF(A409="","",SUMIFS(Donations!$D:$D,Donations!$G:$G,A409))</f>
        <v/>
      </c>
      <c r="E409" s="35">
        <f>IF(A409="","",IF(D409&gt;0,"Yes",""))</f>
        <v/>
      </c>
      <c r="F409" s="38">
        <f>IF($A409="","",SUMIFS(Donations!$D:$D,Donations!$G:$G,$A409,Donations!$F:$F,"&gt;="&amp;'Daily Challenges'!$C$7,Donations!$F:$F,"&lt;="&amp;'Daily Challenges'!$D$7))</f>
        <v/>
      </c>
      <c r="G409" s="38">
        <f>IF($A409="","",SUMIFS(Donations!$D:$D,Donations!$G:$G,$A409,Donations!$F:$F,"&gt;="&amp;'Daily Challenges'!$C$8,Donations!$F:$F,"&lt;="&amp;'Daily Challenges'!$D$8))</f>
        <v/>
      </c>
      <c r="H409" s="38">
        <f>IF($A409="","",SUMIFS(Donations!$D:$D,Donations!$G:$G,$A409,Donations!$F:$F,"&lt;="&amp;'Daily Challenges'!$D$9))</f>
        <v/>
      </c>
      <c r="I409" s="38">
        <f>IF($A409="","",SUMIFS(Donations!$D:$D,Donations!$G:$G,$A409,Donations!$F:$F,"&gt;="&amp;'Daily Challenges'!$C$10,Donations!$F:$F,"&lt;="&amp;'Daily Challenges'!$D$10))</f>
        <v/>
      </c>
      <c r="J409" s="38">
        <f>IF($A409="","",SUMIFS(Donations!$D:$D,Donations!$G:$G,$A409,Donations!$F:$F,"&lt;="&amp;'Daily Challenges'!$D$12))</f>
        <v/>
      </c>
    </row>
    <row r="410">
      <c r="A410" s="32" t="inlineStr">
        <is>
          <t>Amelia Martinez</t>
        </is>
      </c>
      <c r="B410" s="32" t="inlineStr">
        <is>
          <t>Mrs. Valdez</t>
        </is>
      </c>
      <c r="C410" s="36" t="inlineStr">
        <is>
          <t>8</t>
        </is>
      </c>
      <c r="D410" s="37">
        <f>IF(A410="","",SUMIFS(Donations!$D:$D,Donations!$G:$G,A410))</f>
        <v/>
      </c>
      <c r="E410" s="35">
        <f>IF(A410="","",IF(D410&gt;0,"Yes",""))</f>
        <v/>
      </c>
      <c r="F410" s="38">
        <f>IF($A410="","",SUMIFS(Donations!$D:$D,Donations!$G:$G,$A410,Donations!$F:$F,"&gt;="&amp;'Daily Challenges'!$C$7,Donations!$F:$F,"&lt;="&amp;'Daily Challenges'!$D$7))</f>
        <v/>
      </c>
      <c r="G410" s="38">
        <f>IF($A410="","",SUMIFS(Donations!$D:$D,Donations!$G:$G,$A410,Donations!$F:$F,"&gt;="&amp;'Daily Challenges'!$C$8,Donations!$F:$F,"&lt;="&amp;'Daily Challenges'!$D$8))</f>
        <v/>
      </c>
      <c r="H410" s="38">
        <f>IF($A410="","",SUMIFS(Donations!$D:$D,Donations!$G:$G,$A410,Donations!$F:$F,"&lt;="&amp;'Daily Challenges'!$D$9))</f>
        <v/>
      </c>
      <c r="I410" s="38">
        <f>IF($A410="","",SUMIFS(Donations!$D:$D,Donations!$G:$G,$A410,Donations!$F:$F,"&gt;="&amp;'Daily Challenges'!$C$10,Donations!$F:$F,"&lt;="&amp;'Daily Challenges'!$D$10))</f>
        <v/>
      </c>
      <c r="J410" s="38">
        <f>IF($A410="","",SUMIFS(Donations!$D:$D,Donations!$G:$G,$A410,Donations!$F:$F,"&lt;="&amp;'Daily Challenges'!$D$12))</f>
        <v/>
      </c>
    </row>
    <row r="411">
      <c r="A411" s="32" t="inlineStr">
        <is>
          <t>Isabella Smith</t>
        </is>
      </c>
      <c r="B411" s="32" t="inlineStr">
        <is>
          <t>Mrs. Valdez</t>
        </is>
      </c>
      <c r="C411" s="36" t="inlineStr">
        <is>
          <t>8</t>
        </is>
      </c>
      <c r="D411" s="37">
        <f>IF(A411="","",SUMIFS(Donations!$D:$D,Donations!$G:$G,A411))</f>
        <v/>
      </c>
      <c r="E411" s="35">
        <f>IF(A411="","",IF(D411&gt;0,"Yes",""))</f>
        <v/>
      </c>
      <c r="F411" s="38">
        <f>IF($A411="","",SUMIFS(Donations!$D:$D,Donations!$G:$G,$A411,Donations!$F:$F,"&gt;="&amp;'Daily Challenges'!$C$7,Donations!$F:$F,"&lt;="&amp;'Daily Challenges'!$D$7))</f>
        <v/>
      </c>
      <c r="G411" s="38">
        <f>IF($A411="","",SUMIFS(Donations!$D:$D,Donations!$G:$G,$A411,Donations!$F:$F,"&gt;="&amp;'Daily Challenges'!$C$8,Donations!$F:$F,"&lt;="&amp;'Daily Challenges'!$D$8))</f>
        <v/>
      </c>
      <c r="H411" s="38">
        <f>IF($A411="","",SUMIFS(Donations!$D:$D,Donations!$G:$G,$A411,Donations!$F:$F,"&lt;="&amp;'Daily Challenges'!$D$9))</f>
        <v/>
      </c>
      <c r="I411" s="38">
        <f>IF($A411="","",SUMIFS(Donations!$D:$D,Donations!$G:$G,$A411,Donations!$F:$F,"&gt;="&amp;'Daily Challenges'!$C$10,Donations!$F:$F,"&lt;="&amp;'Daily Challenges'!$D$10))</f>
        <v/>
      </c>
      <c r="J411" s="38">
        <f>IF($A411="","",SUMIFS(Donations!$D:$D,Donations!$G:$G,$A411,Donations!$F:$F,"&lt;="&amp;'Daily Challenges'!$D$12))</f>
        <v/>
      </c>
    </row>
    <row r="412">
      <c r="A412" s="32" t="inlineStr">
        <is>
          <t>Maya O'Brien</t>
        </is>
      </c>
      <c r="B412" s="32" t="inlineStr">
        <is>
          <t>Mrs. Valdez</t>
        </is>
      </c>
      <c r="C412" s="36" t="inlineStr">
        <is>
          <t>8</t>
        </is>
      </c>
      <c r="D412" s="37">
        <f>IF(A412="","",SUMIFS(Donations!$D:$D,Donations!$G:$G,A412))</f>
        <v/>
      </c>
      <c r="E412" s="35">
        <f>IF(A412="","",IF(D412&gt;0,"Yes",""))</f>
        <v/>
      </c>
      <c r="F412" s="38">
        <f>IF($A412="","",SUMIFS(Donations!$D:$D,Donations!$G:$G,$A412,Donations!$F:$F,"&gt;="&amp;'Daily Challenges'!$C$7,Donations!$F:$F,"&lt;="&amp;'Daily Challenges'!$D$7))</f>
        <v/>
      </c>
      <c r="G412" s="38">
        <f>IF($A412="","",SUMIFS(Donations!$D:$D,Donations!$G:$G,$A412,Donations!$F:$F,"&gt;="&amp;'Daily Challenges'!$C$8,Donations!$F:$F,"&lt;="&amp;'Daily Challenges'!$D$8))</f>
        <v/>
      </c>
      <c r="H412" s="38">
        <f>IF($A412="","",SUMIFS(Donations!$D:$D,Donations!$G:$G,$A412,Donations!$F:$F,"&lt;="&amp;'Daily Challenges'!$D$9))</f>
        <v/>
      </c>
      <c r="I412" s="38">
        <f>IF($A412="","",SUMIFS(Donations!$D:$D,Donations!$G:$G,$A412,Donations!$F:$F,"&gt;="&amp;'Daily Challenges'!$C$10,Donations!$F:$F,"&lt;="&amp;'Daily Challenges'!$D$10))</f>
        <v/>
      </c>
      <c r="J412" s="38">
        <f>IF($A412="","",SUMIFS(Donations!$D:$D,Donations!$G:$G,$A412,Donations!$F:$F,"&lt;="&amp;'Daily Challenges'!$D$12))</f>
        <v/>
      </c>
    </row>
    <row r="413">
      <c r="A413" s="32" t="inlineStr">
        <is>
          <t>Diego Ortiz</t>
        </is>
      </c>
      <c r="B413" s="32" t="inlineStr">
        <is>
          <t>Mrs. Valdez</t>
        </is>
      </c>
      <c r="C413" s="36" t="inlineStr">
        <is>
          <t>8</t>
        </is>
      </c>
      <c r="D413" s="37">
        <f>IF(A413="","",SUMIFS(Donations!$D:$D,Donations!$G:$G,A413))</f>
        <v/>
      </c>
      <c r="E413" s="35">
        <f>IF(A413="","",IF(D413&gt;0,"Yes",""))</f>
        <v/>
      </c>
      <c r="F413" s="38">
        <f>IF($A413="","",SUMIFS(Donations!$D:$D,Donations!$G:$G,$A413,Donations!$F:$F,"&gt;="&amp;'Daily Challenges'!$C$7,Donations!$F:$F,"&lt;="&amp;'Daily Challenges'!$D$7))</f>
        <v/>
      </c>
      <c r="G413" s="38">
        <f>IF($A413="","",SUMIFS(Donations!$D:$D,Donations!$G:$G,$A413,Donations!$F:$F,"&gt;="&amp;'Daily Challenges'!$C$8,Donations!$F:$F,"&lt;="&amp;'Daily Challenges'!$D$8))</f>
        <v/>
      </c>
      <c r="H413" s="38">
        <f>IF($A413="","",SUMIFS(Donations!$D:$D,Donations!$G:$G,$A413,Donations!$F:$F,"&lt;="&amp;'Daily Challenges'!$D$9))</f>
        <v/>
      </c>
      <c r="I413" s="38">
        <f>IF($A413="","",SUMIFS(Donations!$D:$D,Donations!$G:$G,$A413,Donations!$F:$F,"&gt;="&amp;'Daily Challenges'!$C$10,Donations!$F:$F,"&lt;="&amp;'Daily Challenges'!$D$10))</f>
        <v/>
      </c>
      <c r="J413" s="38">
        <f>IF($A413="","",SUMIFS(Donations!$D:$D,Donations!$G:$G,$A413,Donations!$F:$F,"&lt;="&amp;'Daily Challenges'!$D$12))</f>
        <v/>
      </c>
    </row>
    <row r="414">
      <c r="A414" s="32" t="inlineStr">
        <is>
          <t>Liam Cruz</t>
        </is>
      </c>
      <c r="B414" s="32" t="inlineStr">
        <is>
          <t>Mrs. Valdez</t>
        </is>
      </c>
      <c r="C414" s="36" t="inlineStr">
        <is>
          <t>8</t>
        </is>
      </c>
      <c r="D414" s="37">
        <f>IF(A414="","",SUMIFS(Donations!$D:$D,Donations!$G:$G,A414))</f>
        <v/>
      </c>
      <c r="E414" s="35">
        <f>IF(A414="","",IF(D414&gt;0,"Yes",""))</f>
        <v/>
      </c>
      <c r="F414" s="38">
        <f>IF($A414="","",SUMIFS(Donations!$D:$D,Donations!$G:$G,$A414,Donations!$F:$F,"&gt;="&amp;'Daily Challenges'!$C$7,Donations!$F:$F,"&lt;="&amp;'Daily Challenges'!$D$7))</f>
        <v/>
      </c>
      <c r="G414" s="38">
        <f>IF($A414="","",SUMIFS(Donations!$D:$D,Donations!$G:$G,$A414,Donations!$F:$F,"&gt;="&amp;'Daily Challenges'!$C$8,Donations!$F:$F,"&lt;="&amp;'Daily Challenges'!$D$8))</f>
        <v/>
      </c>
      <c r="H414" s="38">
        <f>IF($A414="","",SUMIFS(Donations!$D:$D,Donations!$G:$G,$A414,Donations!$F:$F,"&lt;="&amp;'Daily Challenges'!$D$9))</f>
        <v/>
      </c>
      <c r="I414" s="38">
        <f>IF($A414="","",SUMIFS(Donations!$D:$D,Donations!$G:$G,$A414,Donations!$F:$F,"&gt;="&amp;'Daily Challenges'!$C$10,Donations!$F:$F,"&lt;="&amp;'Daily Challenges'!$D$10))</f>
        <v/>
      </c>
      <c r="J414" s="38">
        <f>IF($A414="","",SUMIFS(Donations!$D:$D,Donations!$G:$G,$A414,Donations!$F:$F,"&lt;="&amp;'Daily Challenges'!$D$12))</f>
        <v/>
      </c>
    </row>
    <row r="415">
      <c r="A415" s="32" t="inlineStr">
        <is>
          <t>Zoe Rivera</t>
        </is>
      </c>
      <c r="B415" s="32" t="inlineStr">
        <is>
          <t>Mrs. Valdez</t>
        </is>
      </c>
      <c r="C415" s="36" t="inlineStr">
        <is>
          <t>8</t>
        </is>
      </c>
      <c r="D415" s="37">
        <f>IF(A415="","",SUMIFS(Donations!$D:$D,Donations!$G:$G,A415))</f>
        <v/>
      </c>
      <c r="E415" s="35">
        <f>IF(A415="","",IF(D415&gt;0,"Yes",""))</f>
        <v/>
      </c>
      <c r="F415" s="38">
        <f>IF($A415="","",SUMIFS(Donations!$D:$D,Donations!$G:$G,$A415,Donations!$F:$F,"&gt;="&amp;'Daily Challenges'!$C$7,Donations!$F:$F,"&lt;="&amp;'Daily Challenges'!$D$7))</f>
        <v/>
      </c>
      <c r="G415" s="38">
        <f>IF($A415="","",SUMIFS(Donations!$D:$D,Donations!$G:$G,$A415,Donations!$F:$F,"&gt;="&amp;'Daily Challenges'!$C$8,Donations!$F:$F,"&lt;="&amp;'Daily Challenges'!$D$8))</f>
        <v/>
      </c>
      <c r="H415" s="38">
        <f>IF($A415="","",SUMIFS(Donations!$D:$D,Donations!$G:$G,$A415,Donations!$F:$F,"&lt;="&amp;'Daily Challenges'!$D$9))</f>
        <v/>
      </c>
      <c r="I415" s="38">
        <f>IF($A415="","",SUMIFS(Donations!$D:$D,Donations!$G:$G,$A415,Donations!$F:$F,"&gt;="&amp;'Daily Challenges'!$C$10,Donations!$F:$F,"&lt;="&amp;'Daily Challenges'!$D$10))</f>
        <v/>
      </c>
      <c r="J415" s="38">
        <f>IF($A415="","",SUMIFS(Donations!$D:$D,Donations!$G:$G,$A415,Donations!$F:$F,"&lt;="&amp;'Daily Challenges'!$D$12))</f>
        <v/>
      </c>
    </row>
    <row r="416">
      <c r="A416" s="32" t="inlineStr">
        <is>
          <t>James Ruiz</t>
        </is>
      </c>
      <c r="B416" s="32" t="inlineStr">
        <is>
          <t>Mrs. Valdez</t>
        </is>
      </c>
      <c r="C416" s="36" t="inlineStr">
        <is>
          <t>8</t>
        </is>
      </c>
      <c r="D416" s="37">
        <f>IF(A416="","",SUMIFS(Donations!$D:$D,Donations!$G:$G,A416))</f>
        <v/>
      </c>
      <c r="E416" s="35">
        <f>IF(A416="","",IF(D416&gt;0,"Yes",""))</f>
        <v/>
      </c>
      <c r="F416" s="38">
        <f>IF($A416="","",SUMIFS(Donations!$D:$D,Donations!$G:$G,$A416,Donations!$F:$F,"&gt;="&amp;'Daily Challenges'!$C$7,Donations!$F:$F,"&lt;="&amp;'Daily Challenges'!$D$7))</f>
        <v/>
      </c>
      <c r="G416" s="38">
        <f>IF($A416="","",SUMIFS(Donations!$D:$D,Donations!$G:$G,$A416,Donations!$F:$F,"&gt;="&amp;'Daily Challenges'!$C$8,Donations!$F:$F,"&lt;="&amp;'Daily Challenges'!$D$8))</f>
        <v/>
      </c>
      <c r="H416" s="38">
        <f>IF($A416="","",SUMIFS(Donations!$D:$D,Donations!$G:$G,$A416,Donations!$F:$F,"&lt;="&amp;'Daily Challenges'!$D$9))</f>
        <v/>
      </c>
      <c r="I416" s="38">
        <f>IF($A416="","",SUMIFS(Donations!$D:$D,Donations!$G:$G,$A416,Donations!$F:$F,"&gt;="&amp;'Daily Challenges'!$C$10,Donations!$F:$F,"&lt;="&amp;'Daily Challenges'!$D$10))</f>
        <v/>
      </c>
      <c r="J416" s="38">
        <f>IF($A416="","",SUMIFS(Donations!$D:$D,Donations!$G:$G,$A416,Donations!$F:$F,"&lt;="&amp;'Daily Challenges'!$D$12))</f>
        <v/>
      </c>
    </row>
    <row r="417">
      <c r="A417" s="32" t="inlineStr">
        <is>
          <t>James Patel</t>
        </is>
      </c>
      <c r="B417" s="32" t="inlineStr">
        <is>
          <t>Mrs. Valdez</t>
        </is>
      </c>
      <c r="C417" s="36" t="inlineStr">
        <is>
          <t>8</t>
        </is>
      </c>
      <c r="D417" s="37">
        <f>IF(A417="","",SUMIFS(Donations!$D:$D,Donations!$G:$G,A417))</f>
        <v/>
      </c>
      <c r="E417" s="35">
        <f>IF(A417="","",IF(D417&gt;0,"Yes",""))</f>
        <v/>
      </c>
      <c r="F417" s="38">
        <f>IF($A417="","",SUMIFS(Donations!$D:$D,Donations!$G:$G,$A417,Donations!$F:$F,"&gt;="&amp;'Daily Challenges'!$C$7,Donations!$F:$F,"&lt;="&amp;'Daily Challenges'!$D$7))</f>
        <v/>
      </c>
      <c r="G417" s="38">
        <f>IF($A417="","",SUMIFS(Donations!$D:$D,Donations!$G:$G,$A417,Donations!$F:$F,"&gt;="&amp;'Daily Challenges'!$C$8,Donations!$F:$F,"&lt;="&amp;'Daily Challenges'!$D$8))</f>
        <v/>
      </c>
      <c r="H417" s="38">
        <f>IF($A417="","",SUMIFS(Donations!$D:$D,Donations!$G:$G,$A417,Donations!$F:$F,"&lt;="&amp;'Daily Challenges'!$D$9))</f>
        <v/>
      </c>
      <c r="I417" s="38">
        <f>IF($A417="","",SUMIFS(Donations!$D:$D,Donations!$G:$G,$A417,Donations!$F:$F,"&gt;="&amp;'Daily Challenges'!$C$10,Donations!$F:$F,"&lt;="&amp;'Daily Challenges'!$D$10))</f>
        <v/>
      </c>
      <c r="J417" s="38">
        <f>IF($A417="","",SUMIFS(Donations!$D:$D,Donations!$G:$G,$A417,Donations!$F:$F,"&lt;="&amp;'Daily Challenges'!$D$12))</f>
        <v/>
      </c>
    </row>
    <row r="418">
      <c r="A418" s="32" t="inlineStr">
        <is>
          <t>Evelyn Alvarez</t>
        </is>
      </c>
      <c r="B418" s="32" t="inlineStr">
        <is>
          <t>Mrs. Valdez</t>
        </is>
      </c>
      <c r="C418" s="36" t="inlineStr">
        <is>
          <t>8</t>
        </is>
      </c>
      <c r="D418" s="37">
        <f>IF(A418="","",SUMIFS(Donations!$D:$D,Donations!$G:$G,A418))</f>
        <v/>
      </c>
      <c r="E418" s="35">
        <f>IF(A418="","",IF(D418&gt;0,"Yes",""))</f>
        <v/>
      </c>
      <c r="F418" s="38">
        <f>IF($A418="","",SUMIFS(Donations!$D:$D,Donations!$G:$G,$A418,Donations!$F:$F,"&gt;="&amp;'Daily Challenges'!$C$7,Donations!$F:$F,"&lt;="&amp;'Daily Challenges'!$D$7))</f>
        <v/>
      </c>
      <c r="G418" s="38">
        <f>IF($A418="","",SUMIFS(Donations!$D:$D,Donations!$G:$G,$A418,Donations!$F:$F,"&gt;="&amp;'Daily Challenges'!$C$8,Donations!$F:$F,"&lt;="&amp;'Daily Challenges'!$D$8))</f>
        <v/>
      </c>
      <c r="H418" s="38">
        <f>IF($A418="","",SUMIFS(Donations!$D:$D,Donations!$G:$G,$A418,Donations!$F:$F,"&lt;="&amp;'Daily Challenges'!$D$9))</f>
        <v/>
      </c>
      <c r="I418" s="38">
        <f>IF($A418="","",SUMIFS(Donations!$D:$D,Donations!$G:$G,$A418,Donations!$F:$F,"&gt;="&amp;'Daily Challenges'!$C$10,Donations!$F:$F,"&lt;="&amp;'Daily Challenges'!$D$10))</f>
        <v/>
      </c>
      <c r="J418" s="38">
        <f>IF($A418="","",SUMIFS(Donations!$D:$D,Donations!$G:$G,$A418,Donations!$F:$F,"&lt;="&amp;'Daily Challenges'!$D$12))</f>
        <v/>
      </c>
    </row>
    <row r="419">
      <c r="A419" s="32" t="inlineStr">
        <is>
          <t>Isabella Nguyen</t>
        </is>
      </c>
      <c r="B419" s="32" t="inlineStr">
        <is>
          <t>Mrs. Valdez</t>
        </is>
      </c>
      <c r="C419" s="36" t="inlineStr">
        <is>
          <t>8</t>
        </is>
      </c>
      <c r="D419" s="37">
        <f>IF(A419="","",SUMIFS(Donations!$D:$D,Donations!$G:$G,A419))</f>
        <v/>
      </c>
      <c r="E419" s="35">
        <f>IF(A419="","",IF(D419&gt;0,"Yes",""))</f>
        <v/>
      </c>
      <c r="F419" s="38">
        <f>IF($A419="","",SUMIFS(Donations!$D:$D,Donations!$G:$G,$A419,Donations!$F:$F,"&gt;="&amp;'Daily Challenges'!$C$7,Donations!$F:$F,"&lt;="&amp;'Daily Challenges'!$D$7))</f>
        <v/>
      </c>
      <c r="G419" s="38">
        <f>IF($A419="","",SUMIFS(Donations!$D:$D,Donations!$G:$G,$A419,Donations!$F:$F,"&gt;="&amp;'Daily Challenges'!$C$8,Donations!$F:$F,"&lt;="&amp;'Daily Challenges'!$D$8))</f>
        <v/>
      </c>
      <c r="H419" s="38">
        <f>IF($A419="","",SUMIFS(Donations!$D:$D,Donations!$G:$G,$A419,Donations!$F:$F,"&lt;="&amp;'Daily Challenges'!$D$9))</f>
        <v/>
      </c>
      <c r="I419" s="38">
        <f>IF($A419="","",SUMIFS(Donations!$D:$D,Donations!$G:$G,$A419,Donations!$F:$F,"&gt;="&amp;'Daily Challenges'!$C$10,Donations!$F:$F,"&lt;="&amp;'Daily Challenges'!$D$10))</f>
        <v/>
      </c>
      <c r="J419" s="38">
        <f>IF($A419="","",SUMIFS(Donations!$D:$D,Donations!$G:$G,$A419,Donations!$F:$F,"&lt;="&amp;'Daily Challenges'!$D$12))</f>
        <v/>
      </c>
    </row>
    <row r="420">
      <c r="A420" s="32" t="inlineStr">
        <is>
          <t>James Byrne</t>
        </is>
      </c>
      <c r="B420" s="32" t="inlineStr">
        <is>
          <t>Mrs. Valdez</t>
        </is>
      </c>
      <c r="C420" s="36" t="inlineStr">
        <is>
          <t>8</t>
        </is>
      </c>
      <c r="D420" s="37">
        <f>IF(A420="","",SUMIFS(Donations!$D:$D,Donations!$G:$G,A420))</f>
        <v/>
      </c>
      <c r="E420" s="35">
        <f>IF(A420="","",IF(D420&gt;0,"Yes",""))</f>
        <v/>
      </c>
      <c r="F420" s="38">
        <f>IF($A420="","",SUMIFS(Donations!$D:$D,Donations!$G:$G,$A420,Donations!$F:$F,"&gt;="&amp;'Daily Challenges'!$C$7,Donations!$F:$F,"&lt;="&amp;'Daily Challenges'!$D$7))</f>
        <v/>
      </c>
      <c r="G420" s="38">
        <f>IF($A420="","",SUMIFS(Donations!$D:$D,Donations!$G:$G,$A420,Donations!$F:$F,"&gt;="&amp;'Daily Challenges'!$C$8,Donations!$F:$F,"&lt;="&amp;'Daily Challenges'!$D$8))</f>
        <v/>
      </c>
      <c r="H420" s="38">
        <f>IF($A420="","",SUMIFS(Donations!$D:$D,Donations!$G:$G,$A420,Donations!$F:$F,"&lt;="&amp;'Daily Challenges'!$D$9))</f>
        <v/>
      </c>
      <c r="I420" s="38">
        <f>IF($A420="","",SUMIFS(Donations!$D:$D,Donations!$G:$G,$A420,Donations!$F:$F,"&gt;="&amp;'Daily Challenges'!$C$10,Donations!$F:$F,"&lt;="&amp;'Daily Challenges'!$D$10))</f>
        <v/>
      </c>
      <c r="J420" s="38">
        <f>IF($A420="","",SUMIFS(Donations!$D:$D,Donations!$G:$G,$A420,Donations!$F:$F,"&lt;="&amp;'Daily Challenges'!$D$12))</f>
        <v/>
      </c>
    </row>
    <row r="421">
      <c r="A421" s="32" t="inlineStr">
        <is>
          <t>Noah Castillo</t>
        </is>
      </c>
      <c r="B421" s="32" t="inlineStr">
        <is>
          <t>Mrs. Valdez</t>
        </is>
      </c>
      <c r="C421" s="36" t="inlineStr">
        <is>
          <t>8</t>
        </is>
      </c>
      <c r="D421" s="37">
        <f>IF(A421="","",SUMIFS(Donations!$D:$D,Donations!$G:$G,A421))</f>
        <v/>
      </c>
      <c r="E421" s="35">
        <f>IF(A421="","",IF(D421&gt;0,"Yes",""))</f>
        <v/>
      </c>
      <c r="F421" s="38">
        <f>IF($A421="","",SUMIFS(Donations!$D:$D,Donations!$G:$G,$A421,Donations!$F:$F,"&gt;="&amp;'Daily Challenges'!$C$7,Donations!$F:$F,"&lt;="&amp;'Daily Challenges'!$D$7))</f>
        <v/>
      </c>
      <c r="G421" s="38">
        <f>IF($A421="","",SUMIFS(Donations!$D:$D,Donations!$G:$G,$A421,Donations!$F:$F,"&gt;="&amp;'Daily Challenges'!$C$8,Donations!$F:$F,"&lt;="&amp;'Daily Challenges'!$D$8))</f>
        <v/>
      </c>
      <c r="H421" s="38">
        <f>IF($A421="","",SUMIFS(Donations!$D:$D,Donations!$G:$G,$A421,Donations!$F:$F,"&lt;="&amp;'Daily Challenges'!$D$9))</f>
        <v/>
      </c>
      <c r="I421" s="38">
        <f>IF($A421="","",SUMIFS(Donations!$D:$D,Donations!$G:$G,$A421,Donations!$F:$F,"&gt;="&amp;'Daily Challenges'!$C$10,Donations!$F:$F,"&lt;="&amp;'Daily Challenges'!$D$10))</f>
        <v/>
      </c>
      <c r="J421" s="38">
        <f>IF($A421="","",SUMIFS(Donations!$D:$D,Donations!$G:$G,$A421,Donations!$F:$F,"&lt;="&amp;'Daily Challenges'!$D$12))</f>
        <v/>
      </c>
    </row>
    <row r="422">
      <c r="A422" s="32" t="inlineStr">
        <is>
          <t>Ava Brown</t>
        </is>
      </c>
      <c r="B422" s="32" t="inlineStr">
        <is>
          <t>Mrs. Valdez</t>
        </is>
      </c>
      <c r="C422" s="36" t="inlineStr">
        <is>
          <t>8</t>
        </is>
      </c>
      <c r="D422" s="37">
        <f>IF(A422="","",SUMIFS(Donations!$D:$D,Donations!$G:$G,A422))</f>
        <v/>
      </c>
      <c r="E422" s="35">
        <f>IF(A422="","",IF(D422&gt;0,"Yes",""))</f>
        <v/>
      </c>
      <c r="F422" s="38">
        <f>IF($A422="","",SUMIFS(Donations!$D:$D,Donations!$G:$G,$A422,Donations!$F:$F,"&gt;="&amp;'Daily Challenges'!$C$7,Donations!$F:$F,"&lt;="&amp;'Daily Challenges'!$D$7))</f>
        <v/>
      </c>
      <c r="G422" s="38">
        <f>IF($A422="","",SUMIFS(Donations!$D:$D,Donations!$G:$G,$A422,Donations!$F:$F,"&gt;="&amp;'Daily Challenges'!$C$8,Donations!$F:$F,"&lt;="&amp;'Daily Challenges'!$D$8))</f>
        <v/>
      </c>
      <c r="H422" s="38">
        <f>IF($A422="","",SUMIFS(Donations!$D:$D,Donations!$G:$G,$A422,Donations!$F:$F,"&lt;="&amp;'Daily Challenges'!$D$9))</f>
        <v/>
      </c>
      <c r="I422" s="38">
        <f>IF($A422="","",SUMIFS(Donations!$D:$D,Donations!$G:$G,$A422,Donations!$F:$F,"&gt;="&amp;'Daily Challenges'!$C$10,Donations!$F:$F,"&lt;="&amp;'Daily Challenges'!$D$10))</f>
        <v/>
      </c>
      <c r="J422" s="38">
        <f>IF($A422="","",SUMIFS(Donations!$D:$D,Donations!$G:$G,$A422,Donations!$F:$F,"&lt;="&amp;'Daily Challenges'!$D$12))</f>
        <v/>
      </c>
    </row>
    <row r="423">
      <c r="A423" s="32" t="inlineStr">
        <is>
          <t>Julian Kim</t>
        </is>
      </c>
      <c r="B423" s="32" t="inlineStr">
        <is>
          <t>Mrs. Valdez</t>
        </is>
      </c>
      <c r="C423" s="36" t="inlineStr">
        <is>
          <t>8</t>
        </is>
      </c>
      <c r="D423" s="37">
        <f>IF(A423="","",SUMIFS(Donations!$D:$D,Donations!$G:$G,A423))</f>
        <v/>
      </c>
      <c r="E423" s="35">
        <f>IF(A423="","",IF(D423&gt;0,"Yes",""))</f>
        <v/>
      </c>
      <c r="F423" s="38">
        <f>IF($A423="","",SUMIFS(Donations!$D:$D,Donations!$G:$G,$A423,Donations!$F:$F,"&gt;="&amp;'Daily Challenges'!$C$7,Donations!$F:$F,"&lt;="&amp;'Daily Challenges'!$D$7))</f>
        <v/>
      </c>
      <c r="G423" s="38">
        <f>IF($A423="","",SUMIFS(Donations!$D:$D,Donations!$G:$G,$A423,Donations!$F:$F,"&gt;="&amp;'Daily Challenges'!$C$8,Donations!$F:$F,"&lt;="&amp;'Daily Challenges'!$D$8))</f>
        <v/>
      </c>
      <c r="H423" s="38">
        <f>IF($A423="","",SUMIFS(Donations!$D:$D,Donations!$G:$G,$A423,Donations!$F:$F,"&lt;="&amp;'Daily Challenges'!$D$9))</f>
        <v/>
      </c>
      <c r="I423" s="38">
        <f>IF($A423="","",SUMIFS(Donations!$D:$D,Donations!$G:$G,$A423,Donations!$F:$F,"&gt;="&amp;'Daily Challenges'!$C$10,Donations!$F:$F,"&lt;="&amp;'Daily Challenges'!$D$10))</f>
        <v/>
      </c>
      <c r="J423" s="38">
        <f>IF($A423="","",SUMIFS(Donations!$D:$D,Donations!$G:$G,$A423,Donations!$F:$F,"&lt;="&amp;'Daily Challenges'!$D$12))</f>
        <v/>
      </c>
    </row>
    <row r="424">
      <c r="A424" s="32" t="inlineStr">
        <is>
          <t>Julian Ramos</t>
        </is>
      </c>
      <c r="B424" s="32" t="inlineStr">
        <is>
          <t>Mrs. Valdez</t>
        </is>
      </c>
      <c r="C424" s="36" t="inlineStr">
        <is>
          <t>8</t>
        </is>
      </c>
      <c r="D424" s="37">
        <f>IF(A424="","",SUMIFS(Donations!$D:$D,Donations!$G:$G,A424))</f>
        <v/>
      </c>
      <c r="E424" s="35">
        <f>IF(A424="","",IF(D424&gt;0,"Yes",""))</f>
        <v/>
      </c>
      <c r="F424" s="38">
        <f>IF($A424="","",SUMIFS(Donations!$D:$D,Donations!$G:$G,$A424,Donations!$F:$F,"&gt;="&amp;'Daily Challenges'!$C$7,Donations!$F:$F,"&lt;="&amp;'Daily Challenges'!$D$7))</f>
        <v/>
      </c>
      <c r="G424" s="38">
        <f>IF($A424="","",SUMIFS(Donations!$D:$D,Donations!$G:$G,$A424,Donations!$F:$F,"&gt;="&amp;'Daily Challenges'!$C$8,Donations!$F:$F,"&lt;="&amp;'Daily Challenges'!$D$8))</f>
        <v/>
      </c>
      <c r="H424" s="38">
        <f>IF($A424="","",SUMIFS(Donations!$D:$D,Donations!$G:$G,$A424,Donations!$F:$F,"&lt;="&amp;'Daily Challenges'!$D$9))</f>
        <v/>
      </c>
      <c r="I424" s="38">
        <f>IF($A424="","",SUMIFS(Donations!$D:$D,Donations!$G:$G,$A424,Donations!$F:$F,"&gt;="&amp;'Daily Challenges'!$C$10,Donations!$F:$F,"&lt;="&amp;'Daily Challenges'!$D$10))</f>
        <v/>
      </c>
      <c r="J424" s="38">
        <f>IF($A424="","",SUMIFS(Donations!$D:$D,Donations!$G:$G,$A424,Donations!$F:$F,"&lt;="&amp;'Daily Challenges'!$D$12))</f>
        <v/>
      </c>
    </row>
    <row r="425">
      <c r="A425" s="32" t="inlineStr">
        <is>
          <t>Mateo Nguyen</t>
        </is>
      </c>
      <c r="B425" s="32" t="inlineStr">
        <is>
          <t>Mrs. Valdez</t>
        </is>
      </c>
      <c r="C425" s="36" t="inlineStr">
        <is>
          <t>8</t>
        </is>
      </c>
      <c r="D425" s="37">
        <f>IF(A425="","",SUMIFS(Donations!$D:$D,Donations!$G:$G,A425))</f>
        <v/>
      </c>
      <c r="E425" s="35">
        <f>IF(A425="","",IF(D425&gt;0,"Yes",""))</f>
        <v/>
      </c>
      <c r="F425" s="38">
        <f>IF($A425="","",SUMIFS(Donations!$D:$D,Donations!$G:$G,$A425,Donations!$F:$F,"&gt;="&amp;'Daily Challenges'!$C$7,Donations!$F:$F,"&lt;="&amp;'Daily Challenges'!$D$7))</f>
        <v/>
      </c>
      <c r="G425" s="38">
        <f>IF($A425="","",SUMIFS(Donations!$D:$D,Donations!$G:$G,$A425,Donations!$F:$F,"&gt;="&amp;'Daily Challenges'!$C$8,Donations!$F:$F,"&lt;="&amp;'Daily Challenges'!$D$8))</f>
        <v/>
      </c>
      <c r="H425" s="38">
        <f>IF($A425="","",SUMIFS(Donations!$D:$D,Donations!$G:$G,$A425,Donations!$F:$F,"&lt;="&amp;'Daily Challenges'!$D$9))</f>
        <v/>
      </c>
      <c r="I425" s="38">
        <f>IF($A425="","",SUMIFS(Donations!$D:$D,Donations!$G:$G,$A425,Donations!$F:$F,"&gt;="&amp;'Daily Challenges'!$C$10,Donations!$F:$F,"&lt;="&amp;'Daily Challenges'!$D$10))</f>
        <v/>
      </c>
      <c r="J425" s="38">
        <f>IF($A425="","",SUMIFS(Donations!$D:$D,Donations!$G:$G,$A425,Donations!$F:$F,"&lt;="&amp;'Daily Challenges'!$D$12))</f>
        <v/>
      </c>
    </row>
    <row r="426">
      <c r="A426" s="32" t="n"/>
      <c r="B426" s="32" t="n"/>
      <c r="C426" s="32" t="n"/>
      <c r="D426" s="37">
        <f>IF(A426="","",SUMIFS(Donations!$D:$D,Donations!$G:$G,A426))</f>
        <v/>
      </c>
      <c r="E426" s="35">
        <f>IF(A426="","",IF(D426&gt;0,"Yes",""))</f>
        <v/>
      </c>
      <c r="F426" s="38">
        <f>IF($A426="","",SUMIFS(Donations!$D:$D,Donations!$G:$G,$A426,Donations!$F:$F,"&gt;="&amp;'Daily Challenges'!$C$7,Donations!$F:$F,"&lt;="&amp;'Daily Challenges'!$D$7))</f>
        <v/>
      </c>
      <c r="G426" s="38">
        <f>IF($A426="","",SUMIFS(Donations!$D:$D,Donations!$G:$G,$A426,Donations!$F:$F,"&gt;="&amp;'Daily Challenges'!$C$8,Donations!$F:$F,"&lt;="&amp;'Daily Challenges'!$D$8))</f>
        <v/>
      </c>
      <c r="H426" s="38">
        <f>IF($A426="","",SUMIFS(Donations!$D:$D,Donations!$G:$G,$A426,Donations!$F:$F,"&lt;="&amp;'Daily Challenges'!$D$9))</f>
        <v/>
      </c>
      <c r="I426" s="38">
        <f>IF($A426="","",SUMIFS(Donations!$D:$D,Donations!$G:$G,$A426,Donations!$F:$F,"&gt;="&amp;'Daily Challenges'!$C$10,Donations!$F:$F,"&lt;="&amp;'Daily Challenges'!$D$10))</f>
        <v/>
      </c>
      <c r="J426" s="38">
        <f>IF($A426="","",SUMIFS(Donations!$D:$D,Donations!$G:$G,$A426,Donations!$F:$F,"&lt;="&amp;'Daily Challenges'!$D$12))</f>
        <v/>
      </c>
    </row>
    <row r="427">
      <c r="A427" s="32" t="n"/>
      <c r="B427" s="32" t="n"/>
      <c r="C427" s="32" t="n"/>
      <c r="D427" s="37">
        <f>IF(A427="","",SUMIFS(Donations!$D:$D,Donations!$G:$G,A427))</f>
        <v/>
      </c>
      <c r="E427" s="35">
        <f>IF(A427="","",IF(D427&gt;0,"Yes",""))</f>
        <v/>
      </c>
      <c r="F427" s="38">
        <f>IF($A427="","",SUMIFS(Donations!$D:$D,Donations!$G:$G,$A427,Donations!$F:$F,"&gt;="&amp;'Daily Challenges'!$C$7,Donations!$F:$F,"&lt;="&amp;'Daily Challenges'!$D$7))</f>
        <v/>
      </c>
      <c r="G427" s="38">
        <f>IF($A427="","",SUMIFS(Donations!$D:$D,Donations!$G:$G,$A427,Donations!$F:$F,"&gt;="&amp;'Daily Challenges'!$C$8,Donations!$F:$F,"&lt;="&amp;'Daily Challenges'!$D$8))</f>
        <v/>
      </c>
      <c r="H427" s="38">
        <f>IF($A427="","",SUMIFS(Donations!$D:$D,Donations!$G:$G,$A427,Donations!$F:$F,"&lt;="&amp;'Daily Challenges'!$D$9))</f>
        <v/>
      </c>
      <c r="I427" s="38">
        <f>IF($A427="","",SUMIFS(Donations!$D:$D,Donations!$G:$G,$A427,Donations!$F:$F,"&gt;="&amp;'Daily Challenges'!$C$10,Donations!$F:$F,"&lt;="&amp;'Daily Challenges'!$D$10))</f>
        <v/>
      </c>
      <c r="J427" s="38">
        <f>IF($A427="","",SUMIFS(Donations!$D:$D,Donations!$G:$G,$A427,Donations!$F:$F,"&lt;="&amp;'Daily Challenges'!$D$12))</f>
        <v/>
      </c>
    </row>
    <row r="428">
      <c r="A428" s="32" t="n"/>
      <c r="B428" s="32" t="n"/>
      <c r="C428" s="32" t="n"/>
      <c r="D428" s="37">
        <f>IF(A428="","",SUMIFS(Donations!$D:$D,Donations!$G:$G,A428))</f>
        <v/>
      </c>
      <c r="E428" s="35">
        <f>IF(A428="","",IF(D428&gt;0,"Yes",""))</f>
        <v/>
      </c>
      <c r="F428" s="38">
        <f>IF($A428="","",SUMIFS(Donations!$D:$D,Donations!$G:$G,$A428,Donations!$F:$F,"&gt;="&amp;'Daily Challenges'!$C$7,Donations!$F:$F,"&lt;="&amp;'Daily Challenges'!$D$7))</f>
        <v/>
      </c>
      <c r="G428" s="38">
        <f>IF($A428="","",SUMIFS(Donations!$D:$D,Donations!$G:$G,$A428,Donations!$F:$F,"&gt;="&amp;'Daily Challenges'!$C$8,Donations!$F:$F,"&lt;="&amp;'Daily Challenges'!$D$8))</f>
        <v/>
      </c>
      <c r="H428" s="38">
        <f>IF($A428="","",SUMIFS(Donations!$D:$D,Donations!$G:$G,$A428,Donations!$F:$F,"&lt;="&amp;'Daily Challenges'!$D$9))</f>
        <v/>
      </c>
      <c r="I428" s="38">
        <f>IF($A428="","",SUMIFS(Donations!$D:$D,Donations!$G:$G,$A428,Donations!$F:$F,"&gt;="&amp;'Daily Challenges'!$C$10,Donations!$F:$F,"&lt;="&amp;'Daily Challenges'!$D$10))</f>
        <v/>
      </c>
      <c r="J428" s="38">
        <f>IF($A428="","",SUMIFS(Donations!$D:$D,Donations!$G:$G,$A428,Donations!$F:$F,"&lt;="&amp;'Daily Challenges'!$D$12))</f>
        <v/>
      </c>
    </row>
    <row r="429">
      <c r="A429" s="32" t="n"/>
      <c r="B429" s="32" t="n"/>
      <c r="C429" s="32" t="n"/>
      <c r="D429" s="37">
        <f>IF(A429="","",SUMIFS(Donations!$D:$D,Donations!$G:$G,A429))</f>
        <v/>
      </c>
      <c r="E429" s="35">
        <f>IF(A429="","",IF(D429&gt;0,"Yes",""))</f>
        <v/>
      </c>
      <c r="F429" s="38">
        <f>IF($A429="","",SUMIFS(Donations!$D:$D,Donations!$G:$G,$A429,Donations!$F:$F,"&gt;="&amp;'Daily Challenges'!$C$7,Donations!$F:$F,"&lt;="&amp;'Daily Challenges'!$D$7))</f>
        <v/>
      </c>
      <c r="G429" s="38">
        <f>IF($A429="","",SUMIFS(Donations!$D:$D,Donations!$G:$G,$A429,Donations!$F:$F,"&gt;="&amp;'Daily Challenges'!$C$8,Donations!$F:$F,"&lt;="&amp;'Daily Challenges'!$D$8))</f>
        <v/>
      </c>
      <c r="H429" s="38">
        <f>IF($A429="","",SUMIFS(Donations!$D:$D,Donations!$G:$G,$A429,Donations!$F:$F,"&lt;="&amp;'Daily Challenges'!$D$9))</f>
        <v/>
      </c>
      <c r="I429" s="38">
        <f>IF($A429="","",SUMIFS(Donations!$D:$D,Donations!$G:$G,$A429,Donations!$F:$F,"&gt;="&amp;'Daily Challenges'!$C$10,Donations!$F:$F,"&lt;="&amp;'Daily Challenges'!$D$10))</f>
        <v/>
      </c>
      <c r="J429" s="38">
        <f>IF($A429="","",SUMIFS(Donations!$D:$D,Donations!$G:$G,$A429,Donations!$F:$F,"&lt;="&amp;'Daily Challenges'!$D$12))</f>
        <v/>
      </c>
    </row>
    <row r="430">
      <c r="A430" s="32" t="n"/>
      <c r="B430" s="32" t="n"/>
      <c r="C430" s="32" t="n"/>
      <c r="D430" s="37">
        <f>IF(A430="","",SUMIFS(Donations!$D:$D,Donations!$G:$G,A430))</f>
        <v/>
      </c>
      <c r="E430" s="35">
        <f>IF(A430="","",IF(D430&gt;0,"Yes",""))</f>
        <v/>
      </c>
      <c r="F430" s="38">
        <f>IF($A430="","",SUMIFS(Donations!$D:$D,Donations!$G:$G,$A430,Donations!$F:$F,"&gt;="&amp;'Daily Challenges'!$C$7,Donations!$F:$F,"&lt;="&amp;'Daily Challenges'!$D$7))</f>
        <v/>
      </c>
      <c r="G430" s="38">
        <f>IF($A430="","",SUMIFS(Donations!$D:$D,Donations!$G:$G,$A430,Donations!$F:$F,"&gt;="&amp;'Daily Challenges'!$C$8,Donations!$F:$F,"&lt;="&amp;'Daily Challenges'!$D$8))</f>
        <v/>
      </c>
      <c r="H430" s="38">
        <f>IF($A430="","",SUMIFS(Donations!$D:$D,Donations!$G:$G,$A430,Donations!$F:$F,"&lt;="&amp;'Daily Challenges'!$D$9))</f>
        <v/>
      </c>
      <c r="I430" s="38">
        <f>IF($A430="","",SUMIFS(Donations!$D:$D,Donations!$G:$G,$A430,Donations!$F:$F,"&gt;="&amp;'Daily Challenges'!$C$10,Donations!$F:$F,"&lt;="&amp;'Daily Challenges'!$D$10))</f>
        <v/>
      </c>
      <c r="J430" s="38">
        <f>IF($A430="","",SUMIFS(Donations!$D:$D,Donations!$G:$G,$A430,Donations!$F:$F,"&lt;="&amp;'Daily Challenges'!$D$12))</f>
        <v/>
      </c>
    </row>
    <row r="431">
      <c r="A431" s="32" t="n"/>
      <c r="B431" s="32" t="n"/>
      <c r="C431" s="32" t="n"/>
      <c r="D431" s="37">
        <f>IF(A431="","",SUMIFS(Donations!$D:$D,Donations!$G:$G,A431))</f>
        <v/>
      </c>
      <c r="E431" s="35">
        <f>IF(A431="","",IF(D431&gt;0,"Yes",""))</f>
        <v/>
      </c>
      <c r="F431" s="38">
        <f>IF($A431="","",SUMIFS(Donations!$D:$D,Donations!$G:$G,$A431,Donations!$F:$F,"&gt;="&amp;'Daily Challenges'!$C$7,Donations!$F:$F,"&lt;="&amp;'Daily Challenges'!$D$7))</f>
        <v/>
      </c>
      <c r="G431" s="38">
        <f>IF($A431="","",SUMIFS(Donations!$D:$D,Donations!$G:$G,$A431,Donations!$F:$F,"&gt;="&amp;'Daily Challenges'!$C$8,Donations!$F:$F,"&lt;="&amp;'Daily Challenges'!$D$8))</f>
        <v/>
      </c>
      <c r="H431" s="38">
        <f>IF($A431="","",SUMIFS(Donations!$D:$D,Donations!$G:$G,$A431,Donations!$F:$F,"&lt;="&amp;'Daily Challenges'!$D$9))</f>
        <v/>
      </c>
      <c r="I431" s="38">
        <f>IF($A431="","",SUMIFS(Donations!$D:$D,Donations!$G:$G,$A431,Donations!$F:$F,"&gt;="&amp;'Daily Challenges'!$C$10,Donations!$F:$F,"&lt;="&amp;'Daily Challenges'!$D$10))</f>
        <v/>
      </c>
      <c r="J431" s="38">
        <f>IF($A431="","",SUMIFS(Donations!$D:$D,Donations!$G:$G,$A431,Donations!$F:$F,"&lt;="&amp;'Daily Challenges'!$D$12))</f>
        <v/>
      </c>
    </row>
    <row r="432">
      <c r="A432" s="32" t="n"/>
      <c r="B432" s="32" t="n"/>
      <c r="C432" s="32" t="n"/>
      <c r="D432" s="37">
        <f>IF(A432="","",SUMIFS(Donations!$D:$D,Donations!$G:$G,A432))</f>
        <v/>
      </c>
      <c r="E432" s="35">
        <f>IF(A432="","",IF(D432&gt;0,"Yes",""))</f>
        <v/>
      </c>
      <c r="F432" s="38">
        <f>IF($A432="","",SUMIFS(Donations!$D:$D,Donations!$G:$G,$A432,Donations!$F:$F,"&gt;="&amp;'Daily Challenges'!$C$7,Donations!$F:$F,"&lt;="&amp;'Daily Challenges'!$D$7))</f>
        <v/>
      </c>
      <c r="G432" s="38">
        <f>IF($A432="","",SUMIFS(Donations!$D:$D,Donations!$G:$G,$A432,Donations!$F:$F,"&gt;="&amp;'Daily Challenges'!$C$8,Donations!$F:$F,"&lt;="&amp;'Daily Challenges'!$D$8))</f>
        <v/>
      </c>
      <c r="H432" s="38">
        <f>IF($A432="","",SUMIFS(Donations!$D:$D,Donations!$G:$G,$A432,Donations!$F:$F,"&lt;="&amp;'Daily Challenges'!$D$9))</f>
        <v/>
      </c>
      <c r="I432" s="38">
        <f>IF($A432="","",SUMIFS(Donations!$D:$D,Donations!$G:$G,$A432,Donations!$F:$F,"&gt;="&amp;'Daily Challenges'!$C$10,Donations!$F:$F,"&lt;="&amp;'Daily Challenges'!$D$10))</f>
        <v/>
      </c>
      <c r="J432" s="38">
        <f>IF($A432="","",SUMIFS(Donations!$D:$D,Donations!$G:$G,$A432,Donations!$F:$F,"&lt;="&amp;'Daily Challenges'!$D$12))</f>
        <v/>
      </c>
    </row>
    <row r="433">
      <c r="A433" s="32" t="n"/>
      <c r="B433" s="32" t="n"/>
      <c r="C433" s="32" t="n"/>
      <c r="D433" s="37">
        <f>IF(A433="","",SUMIFS(Donations!$D:$D,Donations!$G:$G,A433))</f>
        <v/>
      </c>
      <c r="E433" s="35">
        <f>IF(A433="","",IF(D433&gt;0,"Yes",""))</f>
        <v/>
      </c>
      <c r="F433" s="38">
        <f>IF($A433="","",SUMIFS(Donations!$D:$D,Donations!$G:$G,$A433,Donations!$F:$F,"&gt;="&amp;'Daily Challenges'!$C$7,Donations!$F:$F,"&lt;="&amp;'Daily Challenges'!$D$7))</f>
        <v/>
      </c>
      <c r="G433" s="38">
        <f>IF($A433="","",SUMIFS(Donations!$D:$D,Donations!$G:$G,$A433,Donations!$F:$F,"&gt;="&amp;'Daily Challenges'!$C$8,Donations!$F:$F,"&lt;="&amp;'Daily Challenges'!$D$8))</f>
        <v/>
      </c>
      <c r="H433" s="38">
        <f>IF($A433="","",SUMIFS(Donations!$D:$D,Donations!$G:$G,$A433,Donations!$F:$F,"&lt;="&amp;'Daily Challenges'!$D$9))</f>
        <v/>
      </c>
      <c r="I433" s="38">
        <f>IF($A433="","",SUMIFS(Donations!$D:$D,Donations!$G:$G,$A433,Donations!$F:$F,"&gt;="&amp;'Daily Challenges'!$C$10,Donations!$F:$F,"&lt;="&amp;'Daily Challenges'!$D$10))</f>
        <v/>
      </c>
      <c r="J433" s="38">
        <f>IF($A433="","",SUMIFS(Donations!$D:$D,Donations!$G:$G,$A433,Donations!$F:$F,"&lt;="&amp;'Daily Challenges'!$D$12))</f>
        <v/>
      </c>
    </row>
    <row r="434">
      <c r="A434" s="32" t="n"/>
      <c r="B434" s="32" t="n"/>
      <c r="C434" s="32" t="n"/>
      <c r="D434" s="37">
        <f>IF(A434="","",SUMIFS(Donations!$D:$D,Donations!$G:$G,A434))</f>
        <v/>
      </c>
      <c r="E434" s="35">
        <f>IF(A434="","",IF(D434&gt;0,"Yes",""))</f>
        <v/>
      </c>
      <c r="F434" s="38">
        <f>IF($A434="","",SUMIFS(Donations!$D:$D,Donations!$G:$G,$A434,Donations!$F:$F,"&gt;="&amp;'Daily Challenges'!$C$7,Donations!$F:$F,"&lt;="&amp;'Daily Challenges'!$D$7))</f>
        <v/>
      </c>
      <c r="G434" s="38">
        <f>IF($A434="","",SUMIFS(Donations!$D:$D,Donations!$G:$G,$A434,Donations!$F:$F,"&gt;="&amp;'Daily Challenges'!$C$8,Donations!$F:$F,"&lt;="&amp;'Daily Challenges'!$D$8))</f>
        <v/>
      </c>
      <c r="H434" s="38">
        <f>IF($A434="","",SUMIFS(Donations!$D:$D,Donations!$G:$G,$A434,Donations!$F:$F,"&lt;="&amp;'Daily Challenges'!$D$9))</f>
        <v/>
      </c>
      <c r="I434" s="38">
        <f>IF($A434="","",SUMIFS(Donations!$D:$D,Donations!$G:$G,$A434,Donations!$F:$F,"&gt;="&amp;'Daily Challenges'!$C$10,Donations!$F:$F,"&lt;="&amp;'Daily Challenges'!$D$10))</f>
        <v/>
      </c>
      <c r="J434" s="38">
        <f>IF($A434="","",SUMIFS(Donations!$D:$D,Donations!$G:$G,$A434,Donations!$F:$F,"&lt;="&amp;'Daily Challenges'!$D$12))</f>
        <v/>
      </c>
    </row>
    <row r="435">
      <c r="A435" s="32" t="n"/>
      <c r="B435" s="32" t="n"/>
      <c r="C435" s="32" t="n"/>
      <c r="D435" s="37">
        <f>IF(A435="","",SUMIFS(Donations!$D:$D,Donations!$G:$G,A435))</f>
        <v/>
      </c>
      <c r="E435" s="35">
        <f>IF(A435="","",IF(D435&gt;0,"Yes",""))</f>
        <v/>
      </c>
      <c r="F435" s="38">
        <f>IF($A435="","",SUMIFS(Donations!$D:$D,Donations!$G:$G,$A435,Donations!$F:$F,"&gt;="&amp;'Daily Challenges'!$C$7,Donations!$F:$F,"&lt;="&amp;'Daily Challenges'!$D$7))</f>
        <v/>
      </c>
      <c r="G435" s="38">
        <f>IF($A435="","",SUMIFS(Donations!$D:$D,Donations!$G:$G,$A435,Donations!$F:$F,"&gt;="&amp;'Daily Challenges'!$C$8,Donations!$F:$F,"&lt;="&amp;'Daily Challenges'!$D$8))</f>
        <v/>
      </c>
      <c r="H435" s="38">
        <f>IF($A435="","",SUMIFS(Donations!$D:$D,Donations!$G:$G,$A435,Donations!$F:$F,"&lt;="&amp;'Daily Challenges'!$D$9))</f>
        <v/>
      </c>
      <c r="I435" s="38">
        <f>IF($A435="","",SUMIFS(Donations!$D:$D,Donations!$G:$G,$A435,Donations!$F:$F,"&gt;="&amp;'Daily Challenges'!$C$10,Donations!$F:$F,"&lt;="&amp;'Daily Challenges'!$D$10))</f>
        <v/>
      </c>
      <c r="J435" s="38">
        <f>IF($A435="","",SUMIFS(Donations!$D:$D,Donations!$G:$G,$A435,Donations!$F:$F,"&lt;="&amp;'Daily Challenges'!$D$12))</f>
        <v/>
      </c>
    </row>
    <row r="436">
      <c r="A436" s="32" t="n"/>
      <c r="B436" s="32" t="n"/>
      <c r="C436" s="32" t="n"/>
      <c r="D436" s="37">
        <f>IF(A436="","",SUMIFS(Donations!$D:$D,Donations!$G:$G,A436))</f>
        <v/>
      </c>
      <c r="E436" s="35">
        <f>IF(A436="","",IF(D436&gt;0,"Yes",""))</f>
        <v/>
      </c>
      <c r="F436" s="38">
        <f>IF($A436="","",SUMIFS(Donations!$D:$D,Donations!$G:$G,$A436,Donations!$F:$F,"&gt;="&amp;'Daily Challenges'!$C$7,Donations!$F:$F,"&lt;="&amp;'Daily Challenges'!$D$7))</f>
        <v/>
      </c>
      <c r="G436" s="38">
        <f>IF($A436="","",SUMIFS(Donations!$D:$D,Donations!$G:$G,$A436,Donations!$F:$F,"&gt;="&amp;'Daily Challenges'!$C$8,Donations!$F:$F,"&lt;="&amp;'Daily Challenges'!$D$8))</f>
        <v/>
      </c>
      <c r="H436" s="38">
        <f>IF($A436="","",SUMIFS(Donations!$D:$D,Donations!$G:$G,$A436,Donations!$F:$F,"&lt;="&amp;'Daily Challenges'!$D$9))</f>
        <v/>
      </c>
      <c r="I436" s="38">
        <f>IF($A436="","",SUMIFS(Donations!$D:$D,Donations!$G:$G,$A436,Donations!$F:$F,"&gt;="&amp;'Daily Challenges'!$C$10,Donations!$F:$F,"&lt;="&amp;'Daily Challenges'!$D$10))</f>
        <v/>
      </c>
      <c r="J436" s="38">
        <f>IF($A436="","",SUMIFS(Donations!$D:$D,Donations!$G:$G,$A436,Donations!$F:$F,"&lt;="&amp;'Daily Challenges'!$D$12))</f>
        <v/>
      </c>
    </row>
    <row r="437">
      <c r="A437" s="32" t="n"/>
      <c r="B437" s="32" t="n"/>
      <c r="C437" s="32" t="n"/>
      <c r="D437" s="37">
        <f>IF(A437="","",SUMIFS(Donations!$D:$D,Donations!$G:$G,A437))</f>
        <v/>
      </c>
      <c r="E437" s="35">
        <f>IF(A437="","",IF(D437&gt;0,"Yes",""))</f>
        <v/>
      </c>
      <c r="F437" s="38">
        <f>IF($A437="","",SUMIFS(Donations!$D:$D,Donations!$G:$G,$A437,Donations!$F:$F,"&gt;="&amp;'Daily Challenges'!$C$7,Donations!$F:$F,"&lt;="&amp;'Daily Challenges'!$D$7))</f>
        <v/>
      </c>
      <c r="G437" s="38">
        <f>IF($A437="","",SUMIFS(Donations!$D:$D,Donations!$G:$G,$A437,Donations!$F:$F,"&gt;="&amp;'Daily Challenges'!$C$8,Donations!$F:$F,"&lt;="&amp;'Daily Challenges'!$D$8))</f>
        <v/>
      </c>
      <c r="H437" s="38">
        <f>IF($A437="","",SUMIFS(Donations!$D:$D,Donations!$G:$G,$A437,Donations!$F:$F,"&lt;="&amp;'Daily Challenges'!$D$9))</f>
        <v/>
      </c>
      <c r="I437" s="38">
        <f>IF($A437="","",SUMIFS(Donations!$D:$D,Donations!$G:$G,$A437,Donations!$F:$F,"&gt;="&amp;'Daily Challenges'!$C$10,Donations!$F:$F,"&lt;="&amp;'Daily Challenges'!$D$10))</f>
        <v/>
      </c>
      <c r="J437" s="38">
        <f>IF($A437="","",SUMIFS(Donations!$D:$D,Donations!$G:$G,$A437,Donations!$F:$F,"&lt;="&amp;'Daily Challenges'!$D$12))</f>
        <v/>
      </c>
    </row>
    <row r="438">
      <c r="A438" s="32" t="n"/>
      <c r="B438" s="32" t="n"/>
      <c r="C438" s="32" t="n"/>
      <c r="D438" s="37">
        <f>IF(A438="","",SUMIFS(Donations!$D:$D,Donations!$G:$G,A438))</f>
        <v/>
      </c>
      <c r="E438" s="35">
        <f>IF(A438="","",IF(D438&gt;0,"Yes",""))</f>
        <v/>
      </c>
      <c r="F438" s="38">
        <f>IF($A438="","",SUMIFS(Donations!$D:$D,Donations!$G:$G,$A438,Donations!$F:$F,"&gt;="&amp;'Daily Challenges'!$C$7,Donations!$F:$F,"&lt;="&amp;'Daily Challenges'!$D$7))</f>
        <v/>
      </c>
      <c r="G438" s="38">
        <f>IF($A438="","",SUMIFS(Donations!$D:$D,Donations!$G:$G,$A438,Donations!$F:$F,"&gt;="&amp;'Daily Challenges'!$C$8,Donations!$F:$F,"&lt;="&amp;'Daily Challenges'!$D$8))</f>
        <v/>
      </c>
      <c r="H438" s="38">
        <f>IF($A438="","",SUMIFS(Donations!$D:$D,Donations!$G:$G,$A438,Donations!$F:$F,"&lt;="&amp;'Daily Challenges'!$D$9))</f>
        <v/>
      </c>
      <c r="I438" s="38">
        <f>IF($A438="","",SUMIFS(Donations!$D:$D,Donations!$G:$G,$A438,Donations!$F:$F,"&gt;="&amp;'Daily Challenges'!$C$10,Donations!$F:$F,"&lt;="&amp;'Daily Challenges'!$D$10))</f>
        <v/>
      </c>
      <c r="J438" s="38">
        <f>IF($A438="","",SUMIFS(Donations!$D:$D,Donations!$G:$G,$A438,Donations!$F:$F,"&lt;="&amp;'Daily Challenges'!$D$12))</f>
        <v/>
      </c>
    </row>
    <row r="439">
      <c r="A439" s="32" t="n"/>
      <c r="B439" s="32" t="n"/>
      <c r="C439" s="32" t="n"/>
      <c r="D439" s="37">
        <f>IF(A439="","",SUMIFS(Donations!$D:$D,Donations!$G:$G,A439))</f>
        <v/>
      </c>
      <c r="E439" s="35">
        <f>IF(A439="","",IF(D439&gt;0,"Yes",""))</f>
        <v/>
      </c>
      <c r="F439" s="38">
        <f>IF($A439="","",SUMIFS(Donations!$D:$D,Donations!$G:$G,$A439,Donations!$F:$F,"&gt;="&amp;'Daily Challenges'!$C$7,Donations!$F:$F,"&lt;="&amp;'Daily Challenges'!$D$7))</f>
        <v/>
      </c>
      <c r="G439" s="38">
        <f>IF($A439="","",SUMIFS(Donations!$D:$D,Donations!$G:$G,$A439,Donations!$F:$F,"&gt;="&amp;'Daily Challenges'!$C$8,Donations!$F:$F,"&lt;="&amp;'Daily Challenges'!$D$8))</f>
        <v/>
      </c>
      <c r="H439" s="38">
        <f>IF($A439="","",SUMIFS(Donations!$D:$D,Donations!$G:$G,$A439,Donations!$F:$F,"&lt;="&amp;'Daily Challenges'!$D$9))</f>
        <v/>
      </c>
      <c r="I439" s="38">
        <f>IF($A439="","",SUMIFS(Donations!$D:$D,Donations!$G:$G,$A439,Donations!$F:$F,"&gt;="&amp;'Daily Challenges'!$C$10,Donations!$F:$F,"&lt;="&amp;'Daily Challenges'!$D$10))</f>
        <v/>
      </c>
      <c r="J439" s="38">
        <f>IF($A439="","",SUMIFS(Donations!$D:$D,Donations!$G:$G,$A439,Donations!$F:$F,"&lt;="&amp;'Daily Challenges'!$D$12))</f>
        <v/>
      </c>
    </row>
    <row r="440">
      <c r="A440" s="32" t="n"/>
      <c r="B440" s="32" t="n"/>
      <c r="C440" s="32" t="n"/>
      <c r="D440" s="37">
        <f>IF(A440="","",SUMIFS(Donations!$D:$D,Donations!$G:$G,A440))</f>
        <v/>
      </c>
      <c r="E440" s="35">
        <f>IF(A440="","",IF(D440&gt;0,"Yes",""))</f>
        <v/>
      </c>
      <c r="F440" s="38">
        <f>IF($A440="","",SUMIFS(Donations!$D:$D,Donations!$G:$G,$A440,Donations!$F:$F,"&gt;="&amp;'Daily Challenges'!$C$7,Donations!$F:$F,"&lt;="&amp;'Daily Challenges'!$D$7))</f>
        <v/>
      </c>
      <c r="G440" s="38">
        <f>IF($A440="","",SUMIFS(Donations!$D:$D,Donations!$G:$G,$A440,Donations!$F:$F,"&gt;="&amp;'Daily Challenges'!$C$8,Donations!$F:$F,"&lt;="&amp;'Daily Challenges'!$D$8))</f>
        <v/>
      </c>
      <c r="H440" s="38">
        <f>IF($A440="","",SUMIFS(Donations!$D:$D,Donations!$G:$G,$A440,Donations!$F:$F,"&lt;="&amp;'Daily Challenges'!$D$9))</f>
        <v/>
      </c>
      <c r="I440" s="38">
        <f>IF($A440="","",SUMIFS(Donations!$D:$D,Donations!$G:$G,$A440,Donations!$F:$F,"&gt;="&amp;'Daily Challenges'!$C$10,Donations!$F:$F,"&lt;="&amp;'Daily Challenges'!$D$10))</f>
        <v/>
      </c>
      <c r="J440" s="38">
        <f>IF($A440="","",SUMIFS(Donations!$D:$D,Donations!$G:$G,$A440,Donations!$F:$F,"&lt;="&amp;'Daily Challenges'!$D$12))</f>
        <v/>
      </c>
    </row>
    <row r="441">
      <c r="A441" s="32" t="n"/>
      <c r="B441" s="32" t="n"/>
      <c r="C441" s="32" t="n"/>
      <c r="D441" s="37">
        <f>IF(A441="","",SUMIFS(Donations!$D:$D,Donations!$G:$G,A441))</f>
        <v/>
      </c>
      <c r="E441" s="35">
        <f>IF(A441="","",IF(D441&gt;0,"Yes",""))</f>
        <v/>
      </c>
      <c r="F441" s="38">
        <f>IF($A441="","",SUMIFS(Donations!$D:$D,Donations!$G:$G,$A441,Donations!$F:$F,"&gt;="&amp;'Daily Challenges'!$C$7,Donations!$F:$F,"&lt;="&amp;'Daily Challenges'!$D$7))</f>
        <v/>
      </c>
      <c r="G441" s="38">
        <f>IF($A441="","",SUMIFS(Donations!$D:$D,Donations!$G:$G,$A441,Donations!$F:$F,"&gt;="&amp;'Daily Challenges'!$C$8,Donations!$F:$F,"&lt;="&amp;'Daily Challenges'!$D$8))</f>
        <v/>
      </c>
      <c r="H441" s="38">
        <f>IF($A441="","",SUMIFS(Donations!$D:$D,Donations!$G:$G,$A441,Donations!$F:$F,"&lt;="&amp;'Daily Challenges'!$D$9))</f>
        <v/>
      </c>
      <c r="I441" s="38">
        <f>IF($A441="","",SUMIFS(Donations!$D:$D,Donations!$G:$G,$A441,Donations!$F:$F,"&gt;="&amp;'Daily Challenges'!$C$10,Donations!$F:$F,"&lt;="&amp;'Daily Challenges'!$D$10))</f>
        <v/>
      </c>
      <c r="J441" s="38">
        <f>IF($A441="","",SUMIFS(Donations!$D:$D,Donations!$G:$G,$A441,Donations!$F:$F,"&lt;="&amp;'Daily Challenges'!$D$12))</f>
        <v/>
      </c>
    </row>
    <row r="442">
      <c r="A442" s="32" t="n"/>
      <c r="B442" s="32" t="n"/>
      <c r="C442" s="32" t="n"/>
      <c r="D442" s="37">
        <f>IF(A442="","",SUMIFS(Donations!$D:$D,Donations!$G:$G,A442))</f>
        <v/>
      </c>
      <c r="E442" s="35">
        <f>IF(A442="","",IF(D442&gt;0,"Yes",""))</f>
        <v/>
      </c>
      <c r="F442" s="38">
        <f>IF($A442="","",SUMIFS(Donations!$D:$D,Donations!$G:$G,$A442,Donations!$F:$F,"&gt;="&amp;'Daily Challenges'!$C$7,Donations!$F:$F,"&lt;="&amp;'Daily Challenges'!$D$7))</f>
        <v/>
      </c>
      <c r="G442" s="38">
        <f>IF($A442="","",SUMIFS(Donations!$D:$D,Donations!$G:$G,$A442,Donations!$F:$F,"&gt;="&amp;'Daily Challenges'!$C$8,Donations!$F:$F,"&lt;="&amp;'Daily Challenges'!$D$8))</f>
        <v/>
      </c>
      <c r="H442" s="38">
        <f>IF($A442="","",SUMIFS(Donations!$D:$D,Donations!$G:$G,$A442,Donations!$F:$F,"&lt;="&amp;'Daily Challenges'!$D$9))</f>
        <v/>
      </c>
      <c r="I442" s="38">
        <f>IF($A442="","",SUMIFS(Donations!$D:$D,Donations!$G:$G,$A442,Donations!$F:$F,"&gt;="&amp;'Daily Challenges'!$C$10,Donations!$F:$F,"&lt;="&amp;'Daily Challenges'!$D$10))</f>
        <v/>
      </c>
      <c r="J442" s="38">
        <f>IF($A442="","",SUMIFS(Donations!$D:$D,Donations!$G:$G,$A442,Donations!$F:$F,"&lt;="&amp;'Daily Challenges'!$D$12))</f>
        <v/>
      </c>
    </row>
    <row r="443">
      <c r="A443" s="32" t="n"/>
      <c r="B443" s="32" t="n"/>
      <c r="C443" s="32" t="n"/>
      <c r="D443" s="37">
        <f>IF(A443="","",SUMIFS(Donations!$D:$D,Donations!$G:$G,A443))</f>
        <v/>
      </c>
      <c r="E443" s="35">
        <f>IF(A443="","",IF(D443&gt;0,"Yes",""))</f>
        <v/>
      </c>
      <c r="F443" s="38">
        <f>IF($A443="","",SUMIFS(Donations!$D:$D,Donations!$G:$G,$A443,Donations!$F:$F,"&gt;="&amp;'Daily Challenges'!$C$7,Donations!$F:$F,"&lt;="&amp;'Daily Challenges'!$D$7))</f>
        <v/>
      </c>
      <c r="G443" s="38">
        <f>IF($A443="","",SUMIFS(Donations!$D:$D,Donations!$G:$G,$A443,Donations!$F:$F,"&gt;="&amp;'Daily Challenges'!$C$8,Donations!$F:$F,"&lt;="&amp;'Daily Challenges'!$D$8))</f>
        <v/>
      </c>
      <c r="H443" s="38">
        <f>IF($A443="","",SUMIFS(Donations!$D:$D,Donations!$G:$G,$A443,Donations!$F:$F,"&lt;="&amp;'Daily Challenges'!$D$9))</f>
        <v/>
      </c>
      <c r="I443" s="38">
        <f>IF($A443="","",SUMIFS(Donations!$D:$D,Donations!$G:$G,$A443,Donations!$F:$F,"&gt;="&amp;'Daily Challenges'!$C$10,Donations!$F:$F,"&lt;="&amp;'Daily Challenges'!$D$10))</f>
        <v/>
      </c>
      <c r="J443" s="38">
        <f>IF($A443="","",SUMIFS(Donations!$D:$D,Donations!$G:$G,$A443,Donations!$F:$F,"&lt;="&amp;'Daily Challenges'!$D$12))</f>
        <v/>
      </c>
    </row>
    <row r="444">
      <c r="A444" s="32" t="n"/>
      <c r="B444" s="32" t="n"/>
      <c r="C444" s="32" t="n"/>
      <c r="D444" s="37">
        <f>IF(A444="","",SUMIFS(Donations!$D:$D,Donations!$G:$G,A444))</f>
        <v/>
      </c>
      <c r="E444" s="35">
        <f>IF(A444="","",IF(D444&gt;0,"Yes",""))</f>
        <v/>
      </c>
      <c r="F444" s="38">
        <f>IF($A444="","",SUMIFS(Donations!$D:$D,Donations!$G:$G,$A444,Donations!$F:$F,"&gt;="&amp;'Daily Challenges'!$C$7,Donations!$F:$F,"&lt;="&amp;'Daily Challenges'!$D$7))</f>
        <v/>
      </c>
      <c r="G444" s="38">
        <f>IF($A444="","",SUMIFS(Donations!$D:$D,Donations!$G:$G,$A444,Donations!$F:$F,"&gt;="&amp;'Daily Challenges'!$C$8,Donations!$F:$F,"&lt;="&amp;'Daily Challenges'!$D$8))</f>
        <v/>
      </c>
      <c r="H444" s="38">
        <f>IF($A444="","",SUMIFS(Donations!$D:$D,Donations!$G:$G,$A444,Donations!$F:$F,"&lt;="&amp;'Daily Challenges'!$D$9))</f>
        <v/>
      </c>
      <c r="I444" s="38">
        <f>IF($A444="","",SUMIFS(Donations!$D:$D,Donations!$G:$G,$A444,Donations!$F:$F,"&gt;="&amp;'Daily Challenges'!$C$10,Donations!$F:$F,"&lt;="&amp;'Daily Challenges'!$D$10))</f>
        <v/>
      </c>
      <c r="J444" s="38">
        <f>IF($A444="","",SUMIFS(Donations!$D:$D,Donations!$G:$G,$A444,Donations!$F:$F,"&lt;="&amp;'Daily Challenges'!$D$12))</f>
        <v/>
      </c>
    </row>
    <row r="445">
      <c r="A445" s="32" t="n"/>
      <c r="B445" s="32" t="n"/>
      <c r="C445" s="32" t="n"/>
      <c r="D445" s="37">
        <f>IF(A445="","",SUMIFS(Donations!$D:$D,Donations!$G:$G,A445))</f>
        <v/>
      </c>
      <c r="E445" s="35">
        <f>IF(A445="","",IF(D445&gt;0,"Yes",""))</f>
        <v/>
      </c>
      <c r="F445" s="38">
        <f>IF($A445="","",SUMIFS(Donations!$D:$D,Donations!$G:$G,$A445,Donations!$F:$F,"&gt;="&amp;'Daily Challenges'!$C$7,Donations!$F:$F,"&lt;="&amp;'Daily Challenges'!$D$7))</f>
        <v/>
      </c>
      <c r="G445" s="38">
        <f>IF($A445="","",SUMIFS(Donations!$D:$D,Donations!$G:$G,$A445,Donations!$F:$F,"&gt;="&amp;'Daily Challenges'!$C$8,Donations!$F:$F,"&lt;="&amp;'Daily Challenges'!$D$8))</f>
        <v/>
      </c>
      <c r="H445" s="38">
        <f>IF($A445="","",SUMIFS(Donations!$D:$D,Donations!$G:$G,$A445,Donations!$F:$F,"&lt;="&amp;'Daily Challenges'!$D$9))</f>
        <v/>
      </c>
      <c r="I445" s="38">
        <f>IF($A445="","",SUMIFS(Donations!$D:$D,Donations!$G:$G,$A445,Donations!$F:$F,"&gt;="&amp;'Daily Challenges'!$C$10,Donations!$F:$F,"&lt;="&amp;'Daily Challenges'!$D$10))</f>
        <v/>
      </c>
      <c r="J445" s="38">
        <f>IF($A445="","",SUMIFS(Donations!$D:$D,Donations!$G:$G,$A445,Donations!$F:$F,"&lt;="&amp;'Daily Challenges'!$D$12))</f>
        <v/>
      </c>
    </row>
    <row r="446">
      <c r="A446" s="32" t="n"/>
      <c r="B446" s="32" t="n"/>
      <c r="C446" s="32" t="n"/>
      <c r="D446" s="37">
        <f>IF(A446="","",SUMIFS(Donations!$D:$D,Donations!$G:$G,A446))</f>
        <v/>
      </c>
      <c r="E446" s="35">
        <f>IF(A446="","",IF(D446&gt;0,"Yes",""))</f>
        <v/>
      </c>
      <c r="F446" s="38">
        <f>IF($A446="","",SUMIFS(Donations!$D:$D,Donations!$G:$G,$A446,Donations!$F:$F,"&gt;="&amp;'Daily Challenges'!$C$7,Donations!$F:$F,"&lt;="&amp;'Daily Challenges'!$D$7))</f>
        <v/>
      </c>
      <c r="G446" s="38">
        <f>IF($A446="","",SUMIFS(Donations!$D:$D,Donations!$G:$G,$A446,Donations!$F:$F,"&gt;="&amp;'Daily Challenges'!$C$8,Donations!$F:$F,"&lt;="&amp;'Daily Challenges'!$D$8))</f>
        <v/>
      </c>
      <c r="H446" s="38">
        <f>IF($A446="","",SUMIFS(Donations!$D:$D,Donations!$G:$G,$A446,Donations!$F:$F,"&lt;="&amp;'Daily Challenges'!$D$9))</f>
        <v/>
      </c>
      <c r="I446" s="38">
        <f>IF($A446="","",SUMIFS(Donations!$D:$D,Donations!$G:$G,$A446,Donations!$F:$F,"&gt;="&amp;'Daily Challenges'!$C$10,Donations!$F:$F,"&lt;="&amp;'Daily Challenges'!$D$10))</f>
        <v/>
      </c>
      <c r="J446" s="38">
        <f>IF($A446="","",SUMIFS(Donations!$D:$D,Donations!$G:$G,$A446,Donations!$F:$F,"&lt;="&amp;'Daily Challenges'!$D$12))</f>
        <v/>
      </c>
    </row>
    <row r="447">
      <c r="A447" s="32" t="n"/>
      <c r="B447" s="32" t="n"/>
      <c r="C447" s="32" t="n"/>
      <c r="D447" s="37">
        <f>IF(A447="","",SUMIFS(Donations!$D:$D,Donations!$G:$G,A447))</f>
        <v/>
      </c>
      <c r="E447" s="35">
        <f>IF(A447="","",IF(D447&gt;0,"Yes",""))</f>
        <v/>
      </c>
      <c r="F447" s="38">
        <f>IF($A447="","",SUMIFS(Donations!$D:$D,Donations!$G:$G,$A447,Donations!$F:$F,"&gt;="&amp;'Daily Challenges'!$C$7,Donations!$F:$F,"&lt;="&amp;'Daily Challenges'!$D$7))</f>
        <v/>
      </c>
      <c r="G447" s="38">
        <f>IF($A447="","",SUMIFS(Donations!$D:$D,Donations!$G:$G,$A447,Donations!$F:$F,"&gt;="&amp;'Daily Challenges'!$C$8,Donations!$F:$F,"&lt;="&amp;'Daily Challenges'!$D$8))</f>
        <v/>
      </c>
      <c r="H447" s="38">
        <f>IF($A447="","",SUMIFS(Donations!$D:$D,Donations!$G:$G,$A447,Donations!$F:$F,"&lt;="&amp;'Daily Challenges'!$D$9))</f>
        <v/>
      </c>
      <c r="I447" s="38">
        <f>IF($A447="","",SUMIFS(Donations!$D:$D,Donations!$G:$G,$A447,Donations!$F:$F,"&gt;="&amp;'Daily Challenges'!$C$10,Donations!$F:$F,"&lt;="&amp;'Daily Challenges'!$D$10))</f>
        <v/>
      </c>
      <c r="J447" s="38">
        <f>IF($A447="","",SUMIFS(Donations!$D:$D,Donations!$G:$G,$A447,Donations!$F:$F,"&lt;="&amp;'Daily Challenges'!$D$12))</f>
        <v/>
      </c>
    </row>
    <row r="448">
      <c r="A448" s="32" t="n"/>
      <c r="B448" s="32" t="n"/>
      <c r="C448" s="32" t="n"/>
      <c r="D448" s="37">
        <f>IF(A448="","",SUMIFS(Donations!$D:$D,Donations!$G:$G,A448))</f>
        <v/>
      </c>
      <c r="E448" s="35">
        <f>IF(A448="","",IF(D448&gt;0,"Yes",""))</f>
        <v/>
      </c>
      <c r="F448" s="38">
        <f>IF($A448="","",SUMIFS(Donations!$D:$D,Donations!$G:$G,$A448,Donations!$F:$F,"&gt;="&amp;'Daily Challenges'!$C$7,Donations!$F:$F,"&lt;="&amp;'Daily Challenges'!$D$7))</f>
        <v/>
      </c>
      <c r="G448" s="38">
        <f>IF($A448="","",SUMIFS(Donations!$D:$D,Donations!$G:$G,$A448,Donations!$F:$F,"&gt;="&amp;'Daily Challenges'!$C$8,Donations!$F:$F,"&lt;="&amp;'Daily Challenges'!$D$8))</f>
        <v/>
      </c>
      <c r="H448" s="38">
        <f>IF($A448="","",SUMIFS(Donations!$D:$D,Donations!$G:$G,$A448,Donations!$F:$F,"&lt;="&amp;'Daily Challenges'!$D$9))</f>
        <v/>
      </c>
      <c r="I448" s="38">
        <f>IF($A448="","",SUMIFS(Donations!$D:$D,Donations!$G:$G,$A448,Donations!$F:$F,"&gt;="&amp;'Daily Challenges'!$C$10,Donations!$F:$F,"&lt;="&amp;'Daily Challenges'!$D$10))</f>
        <v/>
      </c>
      <c r="J448" s="38">
        <f>IF($A448="","",SUMIFS(Donations!$D:$D,Donations!$G:$G,$A448,Donations!$F:$F,"&lt;="&amp;'Daily Challenges'!$D$12))</f>
        <v/>
      </c>
    </row>
    <row r="449">
      <c r="A449" s="32" t="n"/>
      <c r="B449" s="32" t="n"/>
      <c r="C449" s="32" t="n"/>
      <c r="D449" s="37">
        <f>IF(A449="","",SUMIFS(Donations!$D:$D,Donations!$G:$G,A449))</f>
        <v/>
      </c>
      <c r="E449" s="35">
        <f>IF(A449="","",IF(D449&gt;0,"Yes",""))</f>
        <v/>
      </c>
      <c r="F449" s="38">
        <f>IF($A449="","",SUMIFS(Donations!$D:$D,Donations!$G:$G,$A449,Donations!$F:$F,"&gt;="&amp;'Daily Challenges'!$C$7,Donations!$F:$F,"&lt;="&amp;'Daily Challenges'!$D$7))</f>
        <v/>
      </c>
      <c r="G449" s="38">
        <f>IF($A449="","",SUMIFS(Donations!$D:$D,Donations!$G:$G,$A449,Donations!$F:$F,"&gt;="&amp;'Daily Challenges'!$C$8,Donations!$F:$F,"&lt;="&amp;'Daily Challenges'!$D$8))</f>
        <v/>
      </c>
      <c r="H449" s="38">
        <f>IF($A449="","",SUMIFS(Donations!$D:$D,Donations!$G:$G,$A449,Donations!$F:$F,"&lt;="&amp;'Daily Challenges'!$D$9))</f>
        <v/>
      </c>
      <c r="I449" s="38">
        <f>IF($A449="","",SUMIFS(Donations!$D:$D,Donations!$G:$G,$A449,Donations!$F:$F,"&gt;="&amp;'Daily Challenges'!$C$10,Donations!$F:$F,"&lt;="&amp;'Daily Challenges'!$D$10))</f>
        <v/>
      </c>
      <c r="J449" s="38">
        <f>IF($A449="","",SUMIFS(Donations!$D:$D,Donations!$G:$G,$A449,Donations!$F:$F,"&lt;="&amp;'Daily Challenges'!$D$12))</f>
        <v/>
      </c>
    </row>
    <row r="450">
      <c r="A450" s="32" t="n"/>
      <c r="B450" s="32" t="n"/>
      <c r="C450" s="32" t="n"/>
      <c r="D450" s="37">
        <f>IF(A450="","",SUMIFS(Donations!$D:$D,Donations!$G:$G,A450))</f>
        <v/>
      </c>
      <c r="E450" s="35">
        <f>IF(A450="","",IF(D450&gt;0,"Yes",""))</f>
        <v/>
      </c>
      <c r="F450" s="38">
        <f>IF($A450="","",SUMIFS(Donations!$D:$D,Donations!$G:$G,$A450,Donations!$F:$F,"&gt;="&amp;'Daily Challenges'!$C$7,Donations!$F:$F,"&lt;="&amp;'Daily Challenges'!$D$7))</f>
        <v/>
      </c>
      <c r="G450" s="38">
        <f>IF($A450="","",SUMIFS(Donations!$D:$D,Donations!$G:$G,$A450,Donations!$F:$F,"&gt;="&amp;'Daily Challenges'!$C$8,Donations!$F:$F,"&lt;="&amp;'Daily Challenges'!$D$8))</f>
        <v/>
      </c>
      <c r="H450" s="38">
        <f>IF($A450="","",SUMIFS(Donations!$D:$D,Donations!$G:$G,$A450,Donations!$F:$F,"&lt;="&amp;'Daily Challenges'!$D$9))</f>
        <v/>
      </c>
      <c r="I450" s="38">
        <f>IF($A450="","",SUMIFS(Donations!$D:$D,Donations!$G:$G,$A450,Donations!$F:$F,"&gt;="&amp;'Daily Challenges'!$C$10,Donations!$F:$F,"&lt;="&amp;'Daily Challenges'!$D$10))</f>
        <v/>
      </c>
      <c r="J450" s="38">
        <f>IF($A450="","",SUMIFS(Donations!$D:$D,Donations!$G:$G,$A450,Donations!$F:$F,"&lt;="&amp;'Daily Challenges'!$D$12))</f>
        <v/>
      </c>
    </row>
    <row r="451">
      <c r="A451" s="32" t="n"/>
      <c r="B451" s="32" t="n"/>
      <c r="C451" s="32" t="n"/>
      <c r="D451" s="37">
        <f>IF(A451="","",SUMIFS(Donations!$D:$D,Donations!$G:$G,A451))</f>
        <v/>
      </c>
      <c r="E451" s="35">
        <f>IF(A451="","",IF(D451&gt;0,"Yes",""))</f>
        <v/>
      </c>
      <c r="F451" s="38">
        <f>IF($A451="","",SUMIFS(Donations!$D:$D,Donations!$G:$G,$A451,Donations!$F:$F,"&gt;="&amp;'Daily Challenges'!$C$7,Donations!$F:$F,"&lt;="&amp;'Daily Challenges'!$D$7))</f>
        <v/>
      </c>
      <c r="G451" s="38">
        <f>IF($A451="","",SUMIFS(Donations!$D:$D,Donations!$G:$G,$A451,Donations!$F:$F,"&gt;="&amp;'Daily Challenges'!$C$8,Donations!$F:$F,"&lt;="&amp;'Daily Challenges'!$D$8))</f>
        <v/>
      </c>
      <c r="H451" s="38">
        <f>IF($A451="","",SUMIFS(Donations!$D:$D,Donations!$G:$G,$A451,Donations!$F:$F,"&lt;="&amp;'Daily Challenges'!$D$9))</f>
        <v/>
      </c>
      <c r="I451" s="38">
        <f>IF($A451="","",SUMIFS(Donations!$D:$D,Donations!$G:$G,$A451,Donations!$F:$F,"&gt;="&amp;'Daily Challenges'!$C$10,Donations!$F:$F,"&lt;="&amp;'Daily Challenges'!$D$10))</f>
        <v/>
      </c>
      <c r="J451" s="38">
        <f>IF($A451="","",SUMIFS(Donations!$D:$D,Donations!$G:$G,$A451,Donations!$F:$F,"&lt;="&amp;'Daily Challenges'!$D$12))</f>
        <v/>
      </c>
    </row>
    <row r="452">
      <c r="A452" s="32" t="n"/>
      <c r="B452" s="32" t="n"/>
      <c r="C452" s="32" t="n"/>
      <c r="D452" s="37">
        <f>IF(A452="","",SUMIFS(Donations!$D:$D,Donations!$G:$G,A452))</f>
        <v/>
      </c>
      <c r="E452" s="35">
        <f>IF(A452="","",IF(D452&gt;0,"Yes",""))</f>
        <v/>
      </c>
      <c r="F452" s="38">
        <f>IF($A452="","",SUMIFS(Donations!$D:$D,Donations!$G:$G,$A452,Donations!$F:$F,"&gt;="&amp;'Daily Challenges'!$C$7,Donations!$F:$F,"&lt;="&amp;'Daily Challenges'!$D$7))</f>
        <v/>
      </c>
      <c r="G452" s="38">
        <f>IF($A452="","",SUMIFS(Donations!$D:$D,Donations!$G:$G,$A452,Donations!$F:$F,"&gt;="&amp;'Daily Challenges'!$C$8,Donations!$F:$F,"&lt;="&amp;'Daily Challenges'!$D$8))</f>
        <v/>
      </c>
      <c r="H452" s="38">
        <f>IF($A452="","",SUMIFS(Donations!$D:$D,Donations!$G:$G,$A452,Donations!$F:$F,"&lt;="&amp;'Daily Challenges'!$D$9))</f>
        <v/>
      </c>
      <c r="I452" s="38">
        <f>IF($A452="","",SUMIFS(Donations!$D:$D,Donations!$G:$G,$A452,Donations!$F:$F,"&gt;="&amp;'Daily Challenges'!$C$10,Donations!$F:$F,"&lt;="&amp;'Daily Challenges'!$D$10))</f>
        <v/>
      </c>
      <c r="J452" s="38">
        <f>IF($A452="","",SUMIFS(Donations!$D:$D,Donations!$G:$G,$A452,Donations!$F:$F,"&lt;="&amp;'Daily Challenges'!$D$12))</f>
        <v/>
      </c>
    </row>
    <row r="453">
      <c r="A453" s="32" t="n"/>
      <c r="B453" s="32" t="n"/>
      <c r="C453" s="32" t="n"/>
      <c r="D453" s="37">
        <f>IF(A453="","",SUMIFS(Donations!$D:$D,Donations!$G:$G,A453))</f>
        <v/>
      </c>
      <c r="E453" s="35">
        <f>IF(A453="","",IF(D453&gt;0,"Yes",""))</f>
        <v/>
      </c>
      <c r="F453" s="38">
        <f>IF($A453="","",SUMIFS(Donations!$D:$D,Donations!$G:$G,$A453,Donations!$F:$F,"&gt;="&amp;'Daily Challenges'!$C$7,Donations!$F:$F,"&lt;="&amp;'Daily Challenges'!$D$7))</f>
        <v/>
      </c>
      <c r="G453" s="38">
        <f>IF($A453="","",SUMIFS(Donations!$D:$D,Donations!$G:$G,$A453,Donations!$F:$F,"&gt;="&amp;'Daily Challenges'!$C$8,Donations!$F:$F,"&lt;="&amp;'Daily Challenges'!$D$8))</f>
        <v/>
      </c>
      <c r="H453" s="38">
        <f>IF($A453="","",SUMIFS(Donations!$D:$D,Donations!$G:$G,$A453,Donations!$F:$F,"&lt;="&amp;'Daily Challenges'!$D$9))</f>
        <v/>
      </c>
      <c r="I453" s="38">
        <f>IF($A453="","",SUMIFS(Donations!$D:$D,Donations!$G:$G,$A453,Donations!$F:$F,"&gt;="&amp;'Daily Challenges'!$C$10,Donations!$F:$F,"&lt;="&amp;'Daily Challenges'!$D$10))</f>
        <v/>
      </c>
      <c r="J453" s="38">
        <f>IF($A453="","",SUMIFS(Donations!$D:$D,Donations!$G:$G,$A453,Donations!$F:$F,"&lt;="&amp;'Daily Challenges'!$D$12))</f>
        <v/>
      </c>
    </row>
    <row r="454">
      <c r="A454" s="32" t="n"/>
      <c r="B454" s="32" t="n"/>
      <c r="C454" s="32" t="n"/>
      <c r="D454" s="37">
        <f>IF(A454="","",SUMIFS(Donations!$D:$D,Donations!$G:$G,A454))</f>
        <v/>
      </c>
      <c r="E454" s="35">
        <f>IF(A454="","",IF(D454&gt;0,"Yes",""))</f>
        <v/>
      </c>
      <c r="F454" s="38">
        <f>IF($A454="","",SUMIFS(Donations!$D:$D,Donations!$G:$G,$A454,Donations!$F:$F,"&gt;="&amp;'Daily Challenges'!$C$7,Donations!$F:$F,"&lt;="&amp;'Daily Challenges'!$D$7))</f>
        <v/>
      </c>
      <c r="G454" s="38">
        <f>IF($A454="","",SUMIFS(Donations!$D:$D,Donations!$G:$G,$A454,Donations!$F:$F,"&gt;="&amp;'Daily Challenges'!$C$8,Donations!$F:$F,"&lt;="&amp;'Daily Challenges'!$D$8))</f>
        <v/>
      </c>
      <c r="H454" s="38">
        <f>IF($A454="","",SUMIFS(Donations!$D:$D,Donations!$G:$G,$A454,Donations!$F:$F,"&lt;="&amp;'Daily Challenges'!$D$9))</f>
        <v/>
      </c>
      <c r="I454" s="38">
        <f>IF($A454="","",SUMIFS(Donations!$D:$D,Donations!$G:$G,$A454,Donations!$F:$F,"&gt;="&amp;'Daily Challenges'!$C$10,Donations!$F:$F,"&lt;="&amp;'Daily Challenges'!$D$10))</f>
        <v/>
      </c>
      <c r="J454" s="38">
        <f>IF($A454="","",SUMIFS(Donations!$D:$D,Donations!$G:$G,$A454,Donations!$F:$F,"&lt;="&amp;'Daily Challenges'!$D$12))</f>
        <v/>
      </c>
    </row>
    <row r="455">
      <c r="A455" s="32" t="n"/>
      <c r="B455" s="32" t="n"/>
      <c r="C455" s="32" t="n"/>
      <c r="D455" s="37">
        <f>IF(A455="","",SUMIFS(Donations!$D:$D,Donations!$G:$G,A455))</f>
        <v/>
      </c>
      <c r="E455" s="35">
        <f>IF(A455="","",IF(D455&gt;0,"Yes",""))</f>
        <v/>
      </c>
      <c r="F455" s="38">
        <f>IF($A455="","",SUMIFS(Donations!$D:$D,Donations!$G:$G,$A455,Donations!$F:$F,"&gt;="&amp;'Daily Challenges'!$C$7,Donations!$F:$F,"&lt;="&amp;'Daily Challenges'!$D$7))</f>
        <v/>
      </c>
      <c r="G455" s="38">
        <f>IF($A455="","",SUMIFS(Donations!$D:$D,Donations!$G:$G,$A455,Donations!$F:$F,"&gt;="&amp;'Daily Challenges'!$C$8,Donations!$F:$F,"&lt;="&amp;'Daily Challenges'!$D$8))</f>
        <v/>
      </c>
      <c r="H455" s="38">
        <f>IF($A455="","",SUMIFS(Donations!$D:$D,Donations!$G:$G,$A455,Donations!$F:$F,"&lt;="&amp;'Daily Challenges'!$D$9))</f>
        <v/>
      </c>
      <c r="I455" s="38">
        <f>IF($A455="","",SUMIFS(Donations!$D:$D,Donations!$G:$G,$A455,Donations!$F:$F,"&gt;="&amp;'Daily Challenges'!$C$10,Donations!$F:$F,"&lt;="&amp;'Daily Challenges'!$D$10))</f>
        <v/>
      </c>
      <c r="J455" s="38">
        <f>IF($A455="","",SUMIFS(Donations!$D:$D,Donations!$G:$G,$A455,Donations!$F:$F,"&lt;="&amp;'Daily Challenges'!$D$12))</f>
        <v/>
      </c>
    </row>
    <row r="456">
      <c r="A456" s="32" t="n"/>
      <c r="B456" s="32" t="n"/>
      <c r="C456" s="32" t="n"/>
      <c r="D456" s="37">
        <f>IF(A456="","",SUMIFS(Donations!$D:$D,Donations!$G:$G,A456))</f>
        <v/>
      </c>
      <c r="E456" s="35">
        <f>IF(A456="","",IF(D456&gt;0,"Yes",""))</f>
        <v/>
      </c>
      <c r="F456" s="38">
        <f>IF($A456="","",SUMIFS(Donations!$D:$D,Donations!$G:$G,$A456,Donations!$F:$F,"&gt;="&amp;'Daily Challenges'!$C$7,Donations!$F:$F,"&lt;="&amp;'Daily Challenges'!$D$7))</f>
        <v/>
      </c>
      <c r="G456" s="38">
        <f>IF($A456="","",SUMIFS(Donations!$D:$D,Donations!$G:$G,$A456,Donations!$F:$F,"&gt;="&amp;'Daily Challenges'!$C$8,Donations!$F:$F,"&lt;="&amp;'Daily Challenges'!$D$8))</f>
        <v/>
      </c>
      <c r="H456" s="38">
        <f>IF($A456="","",SUMIFS(Donations!$D:$D,Donations!$G:$G,$A456,Donations!$F:$F,"&lt;="&amp;'Daily Challenges'!$D$9))</f>
        <v/>
      </c>
      <c r="I456" s="38">
        <f>IF($A456="","",SUMIFS(Donations!$D:$D,Donations!$G:$G,$A456,Donations!$F:$F,"&gt;="&amp;'Daily Challenges'!$C$10,Donations!$F:$F,"&lt;="&amp;'Daily Challenges'!$D$10))</f>
        <v/>
      </c>
      <c r="J456" s="38">
        <f>IF($A456="","",SUMIFS(Donations!$D:$D,Donations!$G:$G,$A456,Donations!$F:$F,"&lt;="&amp;'Daily Challenges'!$D$12))</f>
        <v/>
      </c>
    </row>
    <row r="457">
      <c r="A457" s="32" t="n"/>
      <c r="B457" s="32" t="n"/>
      <c r="C457" s="32" t="n"/>
      <c r="D457" s="37">
        <f>IF(A457="","",SUMIFS(Donations!$D:$D,Donations!$G:$G,A457))</f>
        <v/>
      </c>
      <c r="E457" s="35">
        <f>IF(A457="","",IF(D457&gt;0,"Yes",""))</f>
        <v/>
      </c>
      <c r="F457" s="38">
        <f>IF($A457="","",SUMIFS(Donations!$D:$D,Donations!$G:$G,$A457,Donations!$F:$F,"&gt;="&amp;'Daily Challenges'!$C$7,Donations!$F:$F,"&lt;="&amp;'Daily Challenges'!$D$7))</f>
        <v/>
      </c>
      <c r="G457" s="38">
        <f>IF($A457="","",SUMIFS(Donations!$D:$D,Donations!$G:$G,$A457,Donations!$F:$F,"&gt;="&amp;'Daily Challenges'!$C$8,Donations!$F:$F,"&lt;="&amp;'Daily Challenges'!$D$8))</f>
        <v/>
      </c>
      <c r="H457" s="38">
        <f>IF($A457="","",SUMIFS(Donations!$D:$D,Donations!$G:$G,$A457,Donations!$F:$F,"&lt;="&amp;'Daily Challenges'!$D$9))</f>
        <v/>
      </c>
      <c r="I457" s="38">
        <f>IF($A457="","",SUMIFS(Donations!$D:$D,Donations!$G:$G,$A457,Donations!$F:$F,"&gt;="&amp;'Daily Challenges'!$C$10,Donations!$F:$F,"&lt;="&amp;'Daily Challenges'!$D$10))</f>
        <v/>
      </c>
      <c r="J457" s="38">
        <f>IF($A457="","",SUMIFS(Donations!$D:$D,Donations!$G:$G,$A457,Donations!$F:$F,"&lt;="&amp;'Daily Challenges'!$D$12))</f>
        <v/>
      </c>
    </row>
    <row r="458">
      <c r="A458" s="32" t="n"/>
      <c r="B458" s="32" t="n"/>
      <c r="C458" s="32" t="n"/>
      <c r="D458" s="37">
        <f>IF(A458="","",SUMIFS(Donations!$D:$D,Donations!$G:$G,A458))</f>
        <v/>
      </c>
      <c r="E458" s="35">
        <f>IF(A458="","",IF(D458&gt;0,"Yes",""))</f>
        <v/>
      </c>
      <c r="F458" s="38">
        <f>IF($A458="","",SUMIFS(Donations!$D:$D,Donations!$G:$G,$A458,Donations!$F:$F,"&gt;="&amp;'Daily Challenges'!$C$7,Donations!$F:$F,"&lt;="&amp;'Daily Challenges'!$D$7))</f>
        <v/>
      </c>
      <c r="G458" s="38">
        <f>IF($A458="","",SUMIFS(Donations!$D:$D,Donations!$G:$G,$A458,Donations!$F:$F,"&gt;="&amp;'Daily Challenges'!$C$8,Donations!$F:$F,"&lt;="&amp;'Daily Challenges'!$D$8))</f>
        <v/>
      </c>
      <c r="H458" s="38">
        <f>IF($A458="","",SUMIFS(Donations!$D:$D,Donations!$G:$G,$A458,Donations!$F:$F,"&lt;="&amp;'Daily Challenges'!$D$9))</f>
        <v/>
      </c>
      <c r="I458" s="38">
        <f>IF($A458="","",SUMIFS(Donations!$D:$D,Donations!$G:$G,$A458,Donations!$F:$F,"&gt;="&amp;'Daily Challenges'!$C$10,Donations!$F:$F,"&lt;="&amp;'Daily Challenges'!$D$10))</f>
        <v/>
      </c>
      <c r="J458" s="38">
        <f>IF($A458="","",SUMIFS(Donations!$D:$D,Donations!$G:$G,$A458,Donations!$F:$F,"&lt;="&amp;'Daily Challenges'!$D$12))</f>
        <v/>
      </c>
    </row>
    <row r="459">
      <c r="A459" s="32" t="n"/>
      <c r="B459" s="32" t="n"/>
      <c r="C459" s="32" t="n"/>
      <c r="D459" s="37">
        <f>IF(A459="","",SUMIFS(Donations!$D:$D,Donations!$G:$G,A459))</f>
        <v/>
      </c>
      <c r="E459" s="35">
        <f>IF(A459="","",IF(D459&gt;0,"Yes",""))</f>
        <v/>
      </c>
      <c r="F459" s="38">
        <f>IF($A459="","",SUMIFS(Donations!$D:$D,Donations!$G:$G,$A459,Donations!$F:$F,"&gt;="&amp;'Daily Challenges'!$C$7,Donations!$F:$F,"&lt;="&amp;'Daily Challenges'!$D$7))</f>
        <v/>
      </c>
      <c r="G459" s="38">
        <f>IF($A459="","",SUMIFS(Donations!$D:$D,Donations!$G:$G,$A459,Donations!$F:$F,"&gt;="&amp;'Daily Challenges'!$C$8,Donations!$F:$F,"&lt;="&amp;'Daily Challenges'!$D$8))</f>
        <v/>
      </c>
      <c r="H459" s="38">
        <f>IF($A459="","",SUMIFS(Donations!$D:$D,Donations!$G:$G,$A459,Donations!$F:$F,"&lt;="&amp;'Daily Challenges'!$D$9))</f>
        <v/>
      </c>
      <c r="I459" s="38">
        <f>IF($A459="","",SUMIFS(Donations!$D:$D,Donations!$G:$G,$A459,Donations!$F:$F,"&gt;="&amp;'Daily Challenges'!$C$10,Donations!$F:$F,"&lt;="&amp;'Daily Challenges'!$D$10))</f>
        <v/>
      </c>
      <c r="J459" s="38">
        <f>IF($A459="","",SUMIFS(Donations!$D:$D,Donations!$G:$G,$A459,Donations!$F:$F,"&lt;="&amp;'Daily Challenges'!$D$12))</f>
        <v/>
      </c>
    </row>
    <row r="460">
      <c r="A460" s="32" t="n"/>
      <c r="B460" s="32" t="n"/>
      <c r="C460" s="32" t="n"/>
      <c r="D460" s="37">
        <f>IF(A460="","",SUMIFS(Donations!$D:$D,Donations!$G:$G,A460))</f>
        <v/>
      </c>
      <c r="E460" s="35">
        <f>IF(A460="","",IF(D460&gt;0,"Yes",""))</f>
        <v/>
      </c>
      <c r="F460" s="38">
        <f>IF($A460="","",SUMIFS(Donations!$D:$D,Donations!$G:$G,$A460,Donations!$F:$F,"&gt;="&amp;'Daily Challenges'!$C$7,Donations!$F:$F,"&lt;="&amp;'Daily Challenges'!$D$7))</f>
        <v/>
      </c>
      <c r="G460" s="38">
        <f>IF($A460="","",SUMIFS(Donations!$D:$D,Donations!$G:$G,$A460,Donations!$F:$F,"&gt;="&amp;'Daily Challenges'!$C$8,Donations!$F:$F,"&lt;="&amp;'Daily Challenges'!$D$8))</f>
        <v/>
      </c>
      <c r="H460" s="38">
        <f>IF($A460="","",SUMIFS(Donations!$D:$D,Donations!$G:$G,$A460,Donations!$F:$F,"&lt;="&amp;'Daily Challenges'!$D$9))</f>
        <v/>
      </c>
      <c r="I460" s="38">
        <f>IF($A460="","",SUMIFS(Donations!$D:$D,Donations!$G:$G,$A460,Donations!$F:$F,"&gt;="&amp;'Daily Challenges'!$C$10,Donations!$F:$F,"&lt;="&amp;'Daily Challenges'!$D$10))</f>
        <v/>
      </c>
      <c r="J460" s="38">
        <f>IF($A460="","",SUMIFS(Donations!$D:$D,Donations!$G:$G,$A460,Donations!$F:$F,"&lt;="&amp;'Daily Challenges'!$D$12))</f>
        <v/>
      </c>
    </row>
    <row r="461">
      <c r="A461" s="32" t="n"/>
      <c r="B461" s="32" t="n"/>
      <c r="C461" s="32" t="n"/>
      <c r="D461" s="37">
        <f>IF(A461="","",SUMIFS(Donations!$D:$D,Donations!$G:$G,A461))</f>
        <v/>
      </c>
      <c r="E461" s="35">
        <f>IF(A461="","",IF(D461&gt;0,"Yes",""))</f>
        <v/>
      </c>
      <c r="F461" s="38">
        <f>IF($A461="","",SUMIFS(Donations!$D:$D,Donations!$G:$G,$A461,Donations!$F:$F,"&gt;="&amp;'Daily Challenges'!$C$7,Donations!$F:$F,"&lt;="&amp;'Daily Challenges'!$D$7))</f>
        <v/>
      </c>
      <c r="G461" s="38">
        <f>IF($A461="","",SUMIFS(Donations!$D:$D,Donations!$G:$G,$A461,Donations!$F:$F,"&gt;="&amp;'Daily Challenges'!$C$8,Donations!$F:$F,"&lt;="&amp;'Daily Challenges'!$D$8))</f>
        <v/>
      </c>
      <c r="H461" s="38">
        <f>IF($A461="","",SUMIFS(Donations!$D:$D,Donations!$G:$G,$A461,Donations!$F:$F,"&lt;="&amp;'Daily Challenges'!$D$9))</f>
        <v/>
      </c>
      <c r="I461" s="38">
        <f>IF($A461="","",SUMIFS(Donations!$D:$D,Donations!$G:$G,$A461,Donations!$F:$F,"&gt;="&amp;'Daily Challenges'!$C$10,Donations!$F:$F,"&lt;="&amp;'Daily Challenges'!$D$10))</f>
        <v/>
      </c>
      <c r="J461" s="38">
        <f>IF($A461="","",SUMIFS(Donations!$D:$D,Donations!$G:$G,$A461,Donations!$F:$F,"&lt;="&amp;'Daily Challenges'!$D$12))</f>
        <v/>
      </c>
    </row>
    <row r="462">
      <c r="A462" s="32" t="n"/>
      <c r="B462" s="32" t="n"/>
      <c r="C462" s="32" t="n"/>
      <c r="D462" s="37">
        <f>IF(A462="","",SUMIFS(Donations!$D:$D,Donations!$G:$G,A462))</f>
        <v/>
      </c>
      <c r="E462" s="35">
        <f>IF(A462="","",IF(D462&gt;0,"Yes",""))</f>
        <v/>
      </c>
      <c r="F462" s="38">
        <f>IF($A462="","",SUMIFS(Donations!$D:$D,Donations!$G:$G,$A462,Donations!$F:$F,"&gt;="&amp;'Daily Challenges'!$C$7,Donations!$F:$F,"&lt;="&amp;'Daily Challenges'!$D$7))</f>
        <v/>
      </c>
      <c r="G462" s="38">
        <f>IF($A462="","",SUMIFS(Donations!$D:$D,Donations!$G:$G,$A462,Donations!$F:$F,"&gt;="&amp;'Daily Challenges'!$C$8,Donations!$F:$F,"&lt;="&amp;'Daily Challenges'!$D$8))</f>
        <v/>
      </c>
      <c r="H462" s="38">
        <f>IF($A462="","",SUMIFS(Donations!$D:$D,Donations!$G:$G,$A462,Donations!$F:$F,"&lt;="&amp;'Daily Challenges'!$D$9))</f>
        <v/>
      </c>
      <c r="I462" s="38">
        <f>IF($A462="","",SUMIFS(Donations!$D:$D,Donations!$G:$G,$A462,Donations!$F:$F,"&gt;="&amp;'Daily Challenges'!$C$10,Donations!$F:$F,"&lt;="&amp;'Daily Challenges'!$D$10))</f>
        <v/>
      </c>
      <c r="J462" s="38">
        <f>IF($A462="","",SUMIFS(Donations!$D:$D,Donations!$G:$G,$A462,Donations!$F:$F,"&lt;="&amp;'Daily Challenges'!$D$12))</f>
        <v/>
      </c>
    </row>
    <row r="463">
      <c r="A463" s="32" t="n"/>
      <c r="B463" s="32" t="n"/>
      <c r="C463" s="32" t="n"/>
      <c r="D463" s="37">
        <f>IF(A463="","",SUMIFS(Donations!$D:$D,Donations!$G:$G,A463))</f>
        <v/>
      </c>
      <c r="E463" s="35">
        <f>IF(A463="","",IF(D463&gt;0,"Yes",""))</f>
        <v/>
      </c>
      <c r="F463" s="38">
        <f>IF($A463="","",SUMIFS(Donations!$D:$D,Donations!$G:$G,$A463,Donations!$F:$F,"&gt;="&amp;'Daily Challenges'!$C$7,Donations!$F:$F,"&lt;="&amp;'Daily Challenges'!$D$7))</f>
        <v/>
      </c>
      <c r="G463" s="38">
        <f>IF($A463="","",SUMIFS(Donations!$D:$D,Donations!$G:$G,$A463,Donations!$F:$F,"&gt;="&amp;'Daily Challenges'!$C$8,Donations!$F:$F,"&lt;="&amp;'Daily Challenges'!$D$8))</f>
        <v/>
      </c>
      <c r="H463" s="38">
        <f>IF($A463="","",SUMIFS(Donations!$D:$D,Donations!$G:$G,$A463,Donations!$F:$F,"&lt;="&amp;'Daily Challenges'!$D$9))</f>
        <v/>
      </c>
      <c r="I463" s="38">
        <f>IF($A463="","",SUMIFS(Donations!$D:$D,Donations!$G:$G,$A463,Donations!$F:$F,"&gt;="&amp;'Daily Challenges'!$C$10,Donations!$F:$F,"&lt;="&amp;'Daily Challenges'!$D$10))</f>
        <v/>
      </c>
      <c r="J463" s="38">
        <f>IF($A463="","",SUMIFS(Donations!$D:$D,Donations!$G:$G,$A463,Donations!$F:$F,"&lt;="&amp;'Daily Challenges'!$D$12))</f>
        <v/>
      </c>
    </row>
    <row r="464">
      <c r="A464" s="32" t="n"/>
      <c r="B464" s="32" t="n"/>
      <c r="C464" s="32" t="n"/>
      <c r="D464" s="37">
        <f>IF(A464="","",SUMIFS(Donations!$D:$D,Donations!$G:$G,A464))</f>
        <v/>
      </c>
      <c r="E464" s="35">
        <f>IF(A464="","",IF(D464&gt;0,"Yes",""))</f>
        <v/>
      </c>
      <c r="F464" s="38">
        <f>IF($A464="","",SUMIFS(Donations!$D:$D,Donations!$G:$G,$A464,Donations!$F:$F,"&gt;="&amp;'Daily Challenges'!$C$7,Donations!$F:$F,"&lt;="&amp;'Daily Challenges'!$D$7))</f>
        <v/>
      </c>
      <c r="G464" s="38">
        <f>IF($A464="","",SUMIFS(Donations!$D:$D,Donations!$G:$G,$A464,Donations!$F:$F,"&gt;="&amp;'Daily Challenges'!$C$8,Donations!$F:$F,"&lt;="&amp;'Daily Challenges'!$D$8))</f>
        <v/>
      </c>
      <c r="H464" s="38">
        <f>IF($A464="","",SUMIFS(Donations!$D:$D,Donations!$G:$G,$A464,Donations!$F:$F,"&lt;="&amp;'Daily Challenges'!$D$9))</f>
        <v/>
      </c>
      <c r="I464" s="38">
        <f>IF($A464="","",SUMIFS(Donations!$D:$D,Donations!$G:$G,$A464,Donations!$F:$F,"&gt;="&amp;'Daily Challenges'!$C$10,Donations!$F:$F,"&lt;="&amp;'Daily Challenges'!$D$10))</f>
        <v/>
      </c>
      <c r="J464" s="38">
        <f>IF($A464="","",SUMIFS(Donations!$D:$D,Donations!$G:$G,$A464,Donations!$F:$F,"&lt;="&amp;'Daily Challenges'!$D$12))</f>
        <v/>
      </c>
    </row>
    <row r="465">
      <c r="A465" s="32" t="n"/>
      <c r="B465" s="32" t="n"/>
      <c r="C465" s="32" t="n"/>
      <c r="D465" s="37">
        <f>IF(A465="","",SUMIFS(Donations!$D:$D,Donations!$G:$G,A465))</f>
        <v/>
      </c>
      <c r="E465" s="35">
        <f>IF(A465="","",IF(D465&gt;0,"Yes",""))</f>
        <v/>
      </c>
      <c r="F465" s="38">
        <f>IF($A465="","",SUMIFS(Donations!$D:$D,Donations!$G:$G,$A465,Donations!$F:$F,"&gt;="&amp;'Daily Challenges'!$C$7,Donations!$F:$F,"&lt;="&amp;'Daily Challenges'!$D$7))</f>
        <v/>
      </c>
      <c r="G465" s="38">
        <f>IF($A465="","",SUMIFS(Donations!$D:$D,Donations!$G:$G,$A465,Donations!$F:$F,"&gt;="&amp;'Daily Challenges'!$C$8,Donations!$F:$F,"&lt;="&amp;'Daily Challenges'!$D$8))</f>
        <v/>
      </c>
      <c r="H465" s="38">
        <f>IF($A465="","",SUMIFS(Donations!$D:$D,Donations!$G:$G,$A465,Donations!$F:$F,"&lt;="&amp;'Daily Challenges'!$D$9))</f>
        <v/>
      </c>
      <c r="I465" s="38">
        <f>IF($A465="","",SUMIFS(Donations!$D:$D,Donations!$G:$G,$A465,Donations!$F:$F,"&gt;="&amp;'Daily Challenges'!$C$10,Donations!$F:$F,"&lt;="&amp;'Daily Challenges'!$D$10))</f>
        <v/>
      </c>
      <c r="J465" s="38">
        <f>IF($A465="","",SUMIFS(Donations!$D:$D,Donations!$G:$G,$A465,Donations!$F:$F,"&lt;="&amp;'Daily Challenges'!$D$12))</f>
        <v/>
      </c>
    </row>
    <row r="466">
      <c r="A466" s="32" t="n"/>
      <c r="B466" s="32" t="n"/>
      <c r="C466" s="32" t="n"/>
      <c r="D466" s="37">
        <f>IF(A466="","",SUMIFS(Donations!$D:$D,Donations!$G:$G,A466))</f>
        <v/>
      </c>
      <c r="E466" s="35">
        <f>IF(A466="","",IF(D466&gt;0,"Yes",""))</f>
        <v/>
      </c>
      <c r="F466" s="38">
        <f>IF($A466="","",SUMIFS(Donations!$D:$D,Donations!$G:$G,$A466,Donations!$F:$F,"&gt;="&amp;'Daily Challenges'!$C$7,Donations!$F:$F,"&lt;="&amp;'Daily Challenges'!$D$7))</f>
        <v/>
      </c>
      <c r="G466" s="38">
        <f>IF($A466="","",SUMIFS(Donations!$D:$D,Donations!$G:$G,$A466,Donations!$F:$F,"&gt;="&amp;'Daily Challenges'!$C$8,Donations!$F:$F,"&lt;="&amp;'Daily Challenges'!$D$8))</f>
        <v/>
      </c>
      <c r="H466" s="38">
        <f>IF($A466="","",SUMIFS(Donations!$D:$D,Donations!$G:$G,$A466,Donations!$F:$F,"&lt;="&amp;'Daily Challenges'!$D$9))</f>
        <v/>
      </c>
      <c r="I466" s="38">
        <f>IF($A466="","",SUMIFS(Donations!$D:$D,Donations!$G:$G,$A466,Donations!$F:$F,"&gt;="&amp;'Daily Challenges'!$C$10,Donations!$F:$F,"&lt;="&amp;'Daily Challenges'!$D$10))</f>
        <v/>
      </c>
      <c r="J466" s="38">
        <f>IF($A466="","",SUMIFS(Donations!$D:$D,Donations!$G:$G,$A466,Donations!$F:$F,"&lt;="&amp;'Daily Challenges'!$D$12))</f>
        <v/>
      </c>
    </row>
    <row r="467">
      <c r="A467" s="32" t="n"/>
      <c r="B467" s="32" t="n"/>
      <c r="C467" s="32" t="n"/>
      <c r="D467" s="37">
        <f>IF(A467="","",SUMIFS(Donations!$D:$D,Donations!$G:$G,A467))</f>
        <v/>
      </c>
      <c r="E467" s="35">
        <f>IF(A467="","",IF(D467&gt;0,"Yes",""))</f>
        <v/>
      </c>
      <c r="F467" s="38">
        <f>IF($A467="","",SUMIFS(Donations!$D:$D,Donations!$G:$G,$A467,Donations!$F:$F,"&gt;="&amp;'Daily Challenges'!$C$7,Donations!$F:$F,"&lt;="&amp;'Daily Challenges'!$D$7))</f>
        <v/>
      </c>
      <c r="G467" s="38">
        <f>IF($A467="","",SUMIFS(Donations!$D:$D,Donations!$G:$G,$A467,Donations!$F:$F,"&gt;="&amp;'Daily Challenges'!$C$8,Donations!$F:$F,"&lt;="&amp;'Daily Challenges'!$D$8))</f>
        <v/>
      </c>
      <c r="H467" s="38">
        <f>IF($A467="","",SUMIFS(Donations!$D:$D,Donations!$G:$G,$A467,Donations!$F:$F,"&lt;="&amp;'Daily Challenges'!$D$9))</f>
        <v/>
      </c>
      <c r="I467" s="38">
        <f>IF($A467="","",SUMIFS(Donations!$D:$D,Donations!$G:$G,$A467,Donations!$F:$F,"&gt;="&amp;'Daily Challenges'!$C$10,Donations!$F:$F,"&lt;="&amp;'Daily Challenges'!$D$10))</f>
        <v/>
      </c>
      <c r="J467" s="38">
        <f>IF($A467="","",SUMIFS(Donations!$D:$D,Donations!$G:$G,$A467,Donations!$F:$F,"&lt;="&amp;'Daily Challenges'!$D$12))</f>
        <v/>
      </c>
    </row>
    <row r="468">
      <c r="A468" s="32" t="n"/>
      <c r="B468" s="32" t="n"/>
      <c r="C468" s="32" t="n"/>
      <c r="D468" s="37">
        <f>IF(A468="","",SUMIFS(Donations!$D:$D,Donations!$G:$G,A468))</f>
        <v/>
      </c>
      <c r="E468" s="35">
        <f>IF(A468="","",IF(D468&gt;0,"Yes",""))</f>
        <v/>
      </c>
      <c r="F468" s="38">
        <f>IF($A468="","",SUMIFS(Donations!$D:$D,Donations!$G:$G,$A468,Donations!$F:$F,"&gt;="&amp;'Daily Challenges'!$C$7,Donations!$F:$F,"&lt;="&amp;'Daily Challenges'!$D$7))</f>
        <v/>
      </c>
      <c r="G468" s="38">
        <f>IF($A468="","",SUMIFS(Donations!$D:$D,Donations!$G:$G,$A468,Donations!$F:$F,"&gt;="&amp;'Daily Challenges'!$C$8,Donations!$F:$F,"&lt;="&amp;'Daily Challenges'!$D$8))</f>
        <v/>
      </c>
      <c r="H468" s="38">
        <f>IF($A468="","",SUMIFS(Donations!$D:$D,Donations!$G:$G,$A468,Donations!$F:$F,"&lt;="&amp;'Daily Challenges'!$D$9))</f>
        <v/>
      </c>
      <c r="I468" s="38">
        <f>IF($A468="","",SUMIFS(Donations!$D:$D,Donations!$G:$G,$A468,Donations!$F:$F,"&gt;="&amp;'Daily Challenges'!$C$10,Donations!$F:$F,"&lt;="&amp;'Daily Challenges'!$D$10))</f>
        <v/>
      </c>
      <c r="J468" s="38">
        <f>IF($A468="","",SUMIFS(Donations!$D:$D,Donations!$G:$G,$A468,Donations!$F:$F,"&lt;="&amp;'Daily Challenges'!$D$12))</f>
        <v/>
      </c>
    </row>
    <row r="469">
      <c r="A469" s="32" t="n"/>
      <c r="B469" s="32" t="n"/>
      <c r="C469" s="32" t="n"/>
      <c r="D469" s="37">
        <f>IF(A469="","",SUMIFS(Donations!$D:$D,Donations!$G:$G,A469))</f>
        <v/>
      </c>
      <c r="E469" s="35">
        <f>IF(A469="","",IF(D469&gt;0,"Yes",""))</f>
        <v/>
      </c>
      <c r="F469" s="38">
        <f>IF($A469="","",SUMIFS(Donations!$D:$D,Donations!$G:$G,$A469,Donations!$F:$F,"&gt;="&amp;'Daily Challenges'!$C$7,Donations!$F:$F,"&lt;="&amp;'Daily Challenges'!$D$7))</f>
        <v/>
      </c>
      <c r="G469" s="38">
        <f>IF($A469="","",SUMIFS(Donations!$D:$D,Donations!$G:$G,$A469,Donations!$F:$F,"&gt;="&amp;'Daily Challenges'!$C$8,Donations!$F:$F,"&lt;="&amp;'Daily Challenges'!$D$8))</f>
        <v/>
      </c>
      <c r="H469" s="38">
        <f>IF($A469="","",SUMIFS(Donations!$D:$D,Donations!$G:$G,$A469,Donations!$F:$F,"&lt;="&amp;'Daily Challenges'!$D$9))</f>
        <v/>
      </c>
      <c r="I469" s="38">
        <f>IF($A469="","",SUMIFS(Donations!$D:$D,Donations!$G:$G,$A469,Donations!$F:$F,"&gt;="&amp;'Daily Challenges'!$C$10,Donations!$F:$F,"&lt;="&amp;'Daily Challenges'!$D$10))</f>
        <v/>
      </c>
      <c r="J469" s="38">
        <f>IF($A469="","",SUMIFS(Donations!$D:$D,Donations!$G:$G,$A469,Donations!$F:$F,"&lt;="&amp;'Daily Challenges'!$D$12))</f>
        <v/>
      </c>
    </row>
    <row r="470">
      <c r="A470" s="32" t="n"/>
      <c r="B470" s="32" t="n"/>
      <c r="C470" s="32" t="n"/>
      <c r="D470" s="37">
        <f>IF(A470="","",SUMIFS(Donations!$D:$D,Donations!$G:$G,A470))</f>
        <v/>
      </c>
      <c r="E470" s="35">
        <f>IF(A470="","",IF(D470&gt;0,"Yes",""))</f>
        <v/>
      </c>
      <c r="F470" s="38">
        <f>IF($A470="","",SUMIFS(Donations!$D:$D,Donations!$G:$G,$A470,Donations!$F:$F,"&gt;="&amp;'Daily Challenges'!$C$7,Donations!$F:$F,"&lt;="&amp;'Daily Challenges'!$D$7))</f>
        <v/>
      </c>
      <c r="G470" s="38">
        <f>IF($A470="","",SUMIFS(Donations!$D:$D,Donations!$G:$G,$A470,Donations!$F:$F,"&gt;="&amp;'Daily Challenges'!$C$8,Donations!$F:$F,"&lt;="&amp;'Daily Challenges'!$D$8))</f>
        <v/>
      </c>
      <c r="H470" s="38">
        <f>IF($A470="","",SUMIFS(Donations!$D:$D,Donations!$G:$G,$A470,Donations!$F:$F,"&lt;="&amp;'Daily Challenges'!$D$9))</f>
        <v/>
      </c>
      <c r="I470" s="38">
        <f>IF($A470="","",SUMIFS(Donations!$D:$D,Donations!$G:$G,$A470,Donations!$F:$F,"&gt;="&amp;'Daily Challenges'!$C$10,Donations!$F:$F,"&lt;="&amp;'Daily Challenges'!$D$10))</f>
        <v/>
      </c>
      <c r="J470" s="38">
        <f>IF($A470="","",SUMIFS(Donations!$D:$D,Donations!$G:$G,$A470,Donations!$F:$F,"&lt;="&amp;'Daily Challenges'!$D$12))</f>
        <v/>
      </c>
    </row>
    <row r="471">
      <c r="A471" s="32" t="n"/>
      <c r="B471" s="32" t="n"/>
      <c r="C471" s="32" t="n"/>
      <c r="D471" s="37">
        <f>IF(A471="","",SUMIFS(Donations!$D:$D,Donations!$G:$G,A471))</f>
        <v/>
      </c>
      <c r="E471" s="35">
        <f>IF(A471="","",IF(D471&gt;0,"Yes",""))</f>
        <v/>
      </c>
      <c r="F471" s="38">
        <f>IF($A471="","",SUMIFS(Donations!$D:$D,Donations!$G:$G,$A471,Donations!$F:$F,"&gt;="&amp;'Daily Challenges'!$C$7,Donations!$F:$F,"&lt;="&amp;'Daily Challenges'!$D$7))</f>
        <v/>
      </c>
      <c r="G471" s="38">
        <f>IF($A471="","",SUMIFS(Donations!$D:$D,Donations!$G:$G,$A471,Donations!$F:$F,"&gt;="&amp;'Daily Challenges'!$C$8,Donations!$F:$F,"&lt;="&amp;'Daily Challenges'!$D$8))</f>
        <v/>
      </c>
      <c r="H471" s="38">
        <f>IF($A471="","",SUMIFS(Donations!$D:$D,Donations!$G:$G,$A471,Donations!$F:$F,"&lt;="&amp;'Daily Challenges'!$D$9))</f>
        <v/>
      </c>
      <c r="I471" s="38">
        <f>IF($A471="","",SUMIFS(Donations!$D:$D,Donations!$G:$G,$A471,Donations!$F:$F,"&gt;="&amp;'Daily Challenges'!$C$10,Donations!$F:$F,"&lt;="&amp;'Daily Challenges'!$D$10))</f>
        <v/>
      </c>
      <c r="J471" s="38">
        <f>IF($A471="","",SUMIFS(Donations!$D:$D,Donations!$G:$G,$A471,Donations!$F:$F,"&lt;="&amp;'Daily Challenges'!$D$12))</f>
        <v/>
      </c>
    </row>
    <row r="472">
      <c r="A472" s="32" t="n"/>
      <c r="B472" s="32" t="n"/>
      <c r="C472" s="32" t="n"/>
      <c r="D472" s="37">
        <f>IF(A472="","",SUMIFS(Donations!$D:$D,Donations!$G:$G,A472))</f>
        <v/>
      </c>
      <c r="E472" s="35">
        <f>IF(A472="","",IF(D472&gt;0,"Yes",""))</f>
        <v/>
      </c>
      <c r="F472" s="38">
        <f>IF($A472="","",SUMIFS(Donations!$D:$D,Donations!$G:$G,$A472,Donations!$F:$F,"&gt;="&amp;'Daily Challenges'!$C$7,Donations!$F:$F,"&lt;="&amp;'Daily Challenges'!$D$7))</f>
        <v/>
      </c>
      <c r="G472" s="38">
        <f>IF($A472="","",SUMIFS(Donations!$D:$D,Donations!$G:$G,$A472,Donations!$F:$F,"&gt;="&amp;'Daily Challenges'!$C$8,Donations!$F:$F,"&lt;="&amp;'Daily Challenges'!$D$8))</f>
        <v/>
      </c>
      <c r="H472" s="38">
        <f>IF($A472="","",SUMIFS(Donations!$D:$D,Donations!$G:$G,$A472,Donations!$F:$F,"&lt;="&amp;'Daily Challenges'!$D$9))</f>
        <v/>
      </c>
      <c r="I472" s="38">
        <f>IF($A472="","",SUMIFS(Donations!$D:$D,Donations!$G:$G,$A472,Donations!$F:$F,"&gt;="&amp;'Daily Challenges'!$C$10,Donations!$F:$F,"&lt;="&amp;'Daily Challenges'!$D$10))</f>
        <v/>
      </c>
      <c r="J472" s="38">
        <f>IF($A472="","",SUMIFS(Donations!$D:$D,Donations!$G:$G,$A472,Donations!$F:$F,"&lt;="&amp;'Daily Challenges'!$D$12))</f>
        <v/>
      </c>
    </row>
    <row r="473">
      <c r="A473" s="32" t="n"/>
      <c r="B473" s="32" t="n"/>
      <c r="C473" s="32" t="n"/>
      <c r="D473" s="37">
        <f>IF(A473="","",SUMIFS(Donations!$D:$D,Donations!$G:$G,A473))</f>
        <v/>
      </c>
      <c r="E473" s="35">
        <f>IF(A473="","",IF(D473&gt;0,"Yes",""))</f>
        <v/>
      </c>
      <c r="F473" s="38">
        <f>IF($A473="","",SUMIFS(Donations!$D:$D,Donations!$G:$G,$A473,Donations!$F:$F,"&gt;="&amp;'Daily Challenges'!$C$7,Donations!$F:$F,"&lt;="&amp;'Daily Challenges'!$D$7))</f>
        <v/>
      </c>
      <c r="G473" s="38">
        <f>IF($A473="","",SUMIFS(Donations!$D:$D,Donations!$G:$G,$A473,Donations!$F:$F,"&gt;="&amp;'Daily Challenges'!$C$8,Donations!$F:$F,"&lt;="&amp;'Daily Challenges'!$D$8))</f>
        <v/>
      </c>
      <c r="H473" s="38">
        <f>IF($A473="","",SUMIFS(Donations!$D:$D,Donations!$G:$G,$A473,Donations!$F:$F,"&lt;="&amp;'Daily Challenges'!$D$9))</f>
        <v/>
      </c>
      <c r="I473" s="38">
        <f>IF($A473="","",SUMIFS(Donations!$D:$D,Donations!$G:$G,$A473,Donations!$F:$F,"&gt;="&amp;'Daily Challenges'!$C$10,Donations!$F:$F,"&lt;="&amp;'Daily Challenges'!$D$10))</f>
        <v/>
      </c>
      <c r="J473" s="38">
        <f>IF($A473="","",SUMIFS(Donations!$D:$D,Donations!$G:$G,$A473,Donations!$F:$F,"&lt;="&amp;'Daily Challenges'!$D$12))</f>
        <v/>
      </c>
    </row>
    <row r="474">
      <c r="A474" s="32" t="n"/>
      <c r="B474" s="32" t="n"/>
      <c r="C474" s="32" t="n"/>
      <c r="D474" s="37">
        <f>IF(A474="","",SUMIFS(Donations!$D:$D,Donations!$G:$G,A474))</f>
        <v/>
      </c>
      <c r="E474" s="35">
        <f>IF(A474="","",IF(D474&gt;0,"Yes",""))</f>
        <v/>
      </c>
      <c r="F474" s="38">
        <f>IF($A474="","",SUMIFS(Donations!$D:$D,Donations!$G:$G,$A474,Donations!$F:$F,"&gt;="&amp;'Daily Challenges'!$C$7,Donations!$F:$F,"&lt;="&amp;'Daily Challenges'!$D$7))</f>
        <v/>
      </c>
      <c r="G474" s="38">
        <f>IF($A474="","",SUMIFS(Donations!$D:$D,Donations!$G:$G,$A474,Donations!$F:$F,"&gt;="&amp;'Daily Challenges'!$C$8,Donations!$F:$F,"&lt;="&amp;'Daily Challenges'!$D$8))</f>
        <v/>
      </c>
      <c r="H474" s="38">
        <f>IF($A474="","",SUMIFS(Donations!$D:$D,Donations!$G:$G,$A474,Donations!$F:$F,"&lt;="&amp;'Daily Challenges'!$D$9))</f>
        <v/>
      </c>
      <c r="I474" s="38">
        <f>IF($A474="","",SUMIFS(Donations!$D:$D,Donations!$G:$G,$A474,Donations!$F:$F,"&gt;="&amp;'Daily Challenges'!$C$10,Donations!$F:$F,"&lt;="&amp;'Daily Challenges'!$D$10))</f>
        <v/>
      </c>
      <c r="J474" s="38">
        <f>IF($A474="","",SUMIFS(Donations!$D:$D,Donations!$G:$G,$A474,Donations!$F:$F,"&lt;="&amp;'Daily Challenges'!$D$12))</f>
        <v/>
      </c>
    </row>
    <row r="475">
      <c r="A475" s="32" t="n"/>
      <c r="B475" s="32" t="n"/>
      <c r="C475" s="32" t="n"/>
      <c r="D475" s="37">
        <f>IF(A475="","",SUMIFS(Donations!$D:$D,Donations!$G:$G,A475))</f>
        <v/>
      </c>
      <c r="E475" s="35">
        <f>IF(A475="","",IF(D475&gt;0,"Yes",""))</f>
        <v/>
      </c>
      <c r="F475" s="38">
        <f>IF($A475="","",SUMIFS(Donations!$D:$D,Donations!$G:$G,$A475,Donations!$F:$F,"&gt;="&amp;'Daily Challenges'!$C$7,Donations!$F:$F,"&lt;="&amp;'Daily Challenges'!$D$7))</f>
        <v/>
      </c>
      <c r="G475" s="38">
        <f>IF($A475="","",SUMIFS(Donations!$D:$D,Donations!$G:$G,$A475,Donations!$F:$F,"&gt;="&amp;'Daily Challenges'!$C$8,Donations!$F:$F,"&lt;="&amp;'Daily Challenges'!$D$8))</f>
        <v/>
      </c>
      <c r="H475" s="38">
        <f>IF($A475="","",SUMIFS(Donations!$D:$D,Donations!$G:$G,$A475,Donations!$F:$F,"&lt;="&amp;'Daily Challenges'!$D$9))</f>
        <v/>
      </c>
      <c r="I475" s="38">
        <f>IF($A475="","",SUMIFS(Donations!$D:$D,Donations!$G:$G,$A475,Donations!$F:$F,"&gt;="&amp;'Daily Challenges'!$C$10,Donations!$F:$F,"&lt;="&amp;'Daily Challenges'!$D$10))</f>
        <v/>
      </c>
      <c r="J475" s="38">
        <f>IF($A475="","",SUMIFS(Donations!$D:$D,Donations!$G:$G,$A475,Donations!$F:$F,"&lt;="&amp;'Daily Challenges'!$D$12))</f>
        <v/>
      </c>
    </row>
    <row r="476">
      <c r="A476" s="32" t="n"/>
      <c r="B476" s="32" t="n"/>
      <c r="C476" s="32" t="n"/>
      <c r="D476" s="37">
        <f>IF(A476="","",SUMIFS(Donations!$D:$D,Donations!$G:$G,A476))</f>
        <v/>
      </c>
      <c r="E476" s="35">
        <f>IF(A476="","",IF(D476&gt;0,"Yes",""))</f>
        <v/>
      </c>
      <c r="F476" s="38">
        <f>IF($A476="","",SUMIFS(Donations!$D:$D,Donations!$G:$G,$A476,Donations!$F:$F,"&gt;="&amp;'Daily Challenges'!$C$7,Donations!$F:$F,"&lt;="&amp;'Daily Challenges'!$D$7))</f>
        <v/>
      </c>
      <c r="G476" s="38">
        <f>IF($A476="","",SUMIFS(Donations!$D:$D,Donations!$G:$G,$A476,Donations!$F:$F,"&gt;="&amp;'Daily Challenges'!$C$8,Donations!$F:$F,"&lt;="&amp;'Daily Challenges'!$D$8))</f>
        <v/>
      </c>
      <c r="H476" s="38">
        <f>IF($A476="","",SUMIFS(Donations!$D:$D,Donations!$G:$G,$A476,Donations!$F:$F,"&lt;="&amp;'Daily Challenges'!$D$9))</f>
        <v/>
      </c>
      <c r="I476" s="38">
        <f>IF($A476="","",SUMIFS(Donations!$D:$D,Donations!$G:$G,$A476,Donations!$F:$F,"&gt;="&amp;'Daily Challenges'!$C$10,Donations!$F:$F,"&lt;="&amp;'Daily Challenges'!$D$10))</f>
        <v/>
      </c>
      <c r="J476" s="38">
        <f>IF($A476="","",SUMIFS(Donations!$D:$D,Donations!$G:$G,$A476,Donations!$F:$F,"&lt;="&amp;'Daily Challenges'!$D$12))</f>
        <v/>
      </c>
    </row>
    <row r="477">
      <c r="A477" s="32" t="n"/>
      <c r="B477" s="32" t="n"/>
      <c r="C477" s="32" t="n"/>
      <c r="D477" s="37">
        <f>IF(A477="","",SUMIFS(Donations!$D:$D,Donations!$G:$G,A477))</f>
        <v/>
      </c>
      <c r="E477" s="35">
        <f>IF(A477="","",IF(D477&gt;0,"Yes",""))</f>
        <v/>
      </c>
      <c r="F477" s="38">
        <f>IF($A477="","",SUMIFS(Donations!$D:$D,Donations!$G:$G,$A477,Donations!$F:$F,"&gt;="&amp;'Daily Challenges'!$C$7,Donations!$F:$F,"&lt;="&amp;'Daily Challenges'!$D$7))</f>
        <v/>
      </c>
      <c r="G477" s="38">
        <f>IF($A477="","",SUMIFS(Donations!$D:$D,Donations!$G:$G,$A477,Donations!$F:$F,"&gt;="&amp;'Daily Challenges'!$C$8,Donations!$F:$F,"&lt;="&amp;'Daily Challenges'!$D$8))</f>
        <v/>
      </c>
      <c r="H477" s="38">
        <f>IF($A477="","",SUMIFS(Donations!$D:$D,Donations!$G:$G,$A477,Donations!$F:$F,"&lt;="&amp;'Daily Challenges'!$D$9))</f>
        <v/>
      </c>
      <c r="I477" s="38">
        <f>IF($A477="","",SUMIFS(Donations!$D:$D,Donations!$G:$G,$A477,Donations!$F:$F,"&gt;="&amp;'Daily Challenges'!$C$10,Donations!$F:$F,"&lt;="&amp;'Daily Challenges'!$D$10))</f>
        <v/>
      </c>
      <c r="J477" s="38">
        <f>IF($A477="","",SUMIFS(Donations!$D:$D,Donations!$G:$G,$A477,Donations!$F:$F,"&lt;="&amp;'Daily Challenges'!$D$12))</f>
        <v/>
      </c>
    </row>
    <row r="478">
      <c r="A478" s="32" t="n"/>
      <c r="B478" s="32" t="n"/>
      <c r="C478" s="32" t="n"/>
      <c r="D478" s="37">
        <f>IF(A478="","",SUMIFS(Donations!$D:$D,Donations!$G:$G,A478))</f>
        <v/>
      </c>
      <c r="E478" s="35">
        <f>IF(A478="","",IF(D478&gt;0,"Yes",""))</f>
        <v/>
      </c>
      <c r="F478" s="38">
        <f>IF($A478="","",SUMIFS(Donations!$D:$D,Donations!$G:$G,$A478,Donations!$F:$F,"&gt;="&amp;'Daily Challenges'!$C$7,Donations!$F:$F,"&lt;="&amp;'Daily Challenges'!$D$7))</f>
        <v/>
      </c>
      <c r="G478" s="38">
        <f>IF($A478="","",SUMIFS(Donations!$D:$D,Donations!$G:$G,$A478,Donations!$F:$F,"&gt;="&amp;'Daily Challenges'!$C$8,Donations!$F:$F,"&lt;="&amp;'Daily Challenges'!$D$8))</f>
        <v/>
      </c>
      <c r="H478" s="38">
        <f>IF($A478="","",SUMIFS(Donations!$D:$D,Donations!$G:$G,$A478,Donations!$F:$F,"&lt;="&amp;'Daily Challenges'!$D$9))</f>
        <v/>
      </c>
      <c r="I478" s="38">
        <f>IF($A478="","",SUMIFS(Donations!$D:$D,Donations!$G:$G,$A478,Donations!$F:$F,"&gt;="&amp;'Daily Challenges'!$C$10,Donations!$F:$F,"&lt;="&amp;'Daily Challenges'!$D$10))</f>
        <v/>
      </c>
      <c r="J478" s="38">
        <f>IF($A478="","",SUMIFS(Donations!$D:$D,Donations!$G:$G,$A478,Donations!$F:$F,"&lt;="&amp;'Daily Challenges'!$D$12))</f>
        <v/>
      </c>
    </row>
    <row r="479">
      <c r="A479" s="32" t="n"/>
      <c r="B479" s="32" t="n"/>
      <c r="C479" s="32" t="n"/>
      <c r="D479" s="37">
        <f>IF(A479="","",SUMIFS(Donations!$D:$D,Donations!$G:$G,A479))</f>
        <v/>
      </c>
      <c r="E479" s="35">
        <f>IF(A479="","",IF(D479&gt;0,"Yes",""))</f>
        <v/>
      </c>
      <c r="F479" s="38">
        <f>IF($A479="","",SUMIFS(Donations!$D:$D,Donations!$G:$G,$A479,Donations!$F:$F,"&gt;="&amp;'Daily Challenges'!$C$7,Donations!$F:$F,"&lt;="&amp;'Daily Challenges'!$D$7))</f>
        <v/>
      </c>
      <c r="G479" s="38">
        <f>IF($A479="","",SUMIFS(Donations!$D:$D,Donations!$G:$G,$A479,Donations!$F:$F,"&gt;="&amp;'Daily Challenges'!$C$8,Donations!$F:$F,"&lt;="&amp;'Daily Challenges'!$D$8))</f>
        <v/>
      </c>
      <c r="H479" s="38">
        <f>IF($A479="","",SUMIFS(Donations!$D:$D,Donations!$G:$G,$A479,Donations!$F:$F,"&lt;="&amp;'Daily Challenges'!$D$9))</f>
        <v/>
      </c>
      <c r="I479" s="38">
        <f>IF($A479="","",SUMIFS(Donations!$D:$D,Donations!$G:$G,$A479,Donations!$F:$F,"&gt;="&amp;'Daily Challenges'!$C$10,Donations!$F:$F,"&lt;="&amp;'Daily Challenges'!$D$10))</f>
        <v/>
      </c>
      <c r="J479" s="38">
        <f>IF($A479="","",SUMIFS(Donations!$D:$D,Donations!$G:$G,$A479,Donations!$F:$F,"&lt;="&amp;'Daily Challenges'!$D$12))</f>
        <v/>
      </c>
    </row>
    <row r="480">
      <c r="A480" s="32" t="n"/>
      <c r="B480" s="32" t="n"/>
      <c r="C480" s="32" t="n"/>
      <c r="D480" s="37">
        <f>IF(A480="","",SUMIFS(Donations!$D:$D,Donations!$G:$G,A480))</f>
        <v/>
      </c>
      <c r="E480" s="35">
        <f>IF(A480="","",IF(D480&gt;0,"Yes",""))</f>
        <v/>
      </c>
      <c r="F480" s="38">
        <f>IF($A480="","",SUMIFS(Donations!$D:$D,Donations!$G:$G,$A480,Donations!$F:$F,"&gt;="&amp;'Daily Challenges'!$C$7,Donations!$F:$F,"&lt;="&amp;'Daily Challenges'!$D$7))</f>
        <v/>
      </c>
      <c r="G480" s="38">
        <f>IF($A480="","",SUMIFS(Donations!$D:$D,Donations!$G:$G,$A480,Donations!$F:$F,"&gt;="&amp;'Daily Challenges'!$C$8,Donations!$F:$F,"&lt;="&amp;'Daily Challenges'!$D$8))</f>
        <v/>
      </c>
      <c r="H480" s="38">
        <f>IF($A480="","",SUMIFS(Donations!$D:$D,Donations!$G:$G,$A480,Donations!$F:$F,"&lt;="&amp;'Daily Challenges'!$D$9))</f>
        <v/>
      </c>
      <c r="I480" s="38">
        <f>IF($A480="","",SUMIFS(Donations!$D:$D,Donations!$G:$G,$A480,Donations!$F:$F,"&gt;="&amp;'Daily Challenges'!$C$10,Donations!$F:$F,"&lt;="&amp;'Daily Challenges'!$D$10))</f>
        <v/>
      </c>
      <c r="J480" s="38">
        <f>IF($A480="","",SUMIFS(Donations!$D:$D,Donations!$G:$G,$A480,Donations!$F:$F,"&lt;="&amp;'Daily Challenges'!$D$12))</f>
        <v/>
      </c>
    </row>
    <row r="481">
      <c r="A481" s="32" t="n"/>
      <c r="B481" s="32" t="n"/>
      <c r="C481" s="32" t="n"/>
      <c r="D481" s="37">
        <f>IF(A481="","",SUMIFS(Donations!$D:$D,Donations!$G:$G,A481))</f>
        <v/>
      </c>
      <c r="E481" s="35">
        <f>IF(A481="","",IF(D481&gt;0,"Yes",""))</f>
        <v/>
      </c>
      <c r="F481" s="38">
        <f>IF($A481="","",SUMIFS(Donations!$D:$D,Donations!$G:$G,$A481,Donations!$F:$F,"&gt;="&amp;'Daily Challenges'!$C$7,Donations!$F:$F,"&lt;="&amp;'Daily Challenges'!$D$7))</f>
        <v/>
      </c>
      <c r="G481" s="38">
        <f>IF($A481="","",SUMIFS(Donations!$D:$D,Donations!$G:$G,$A481,Donations!$F:$F,"&gt;="&amp;'Daily Challenges'!$C$8,Donations!$F:$F,"&lt;="&amp;'Daily Challenges'!$D$8))</f>
        <v/>
      </c>
      <c r="H481" s="38">
        <f>IF($A481="","",SUMIFS(Donations!$D:$D,Donations!$G:$G,$A481,Donations!$F:$F,"&lt;="&amp;'Daily Challenges'!$D$9))</f>
        <v/>
      </c>
      <c r="I481" s="38">
        <f>IF($A481="","",SUMIFS(Donations!$D:$D,Donations!$G:$G,$A481,Donations!$F:$F,"&gt;="&amp;'Daily Challenges'!$C$10,Donations!$F:$F,"&lt;="&amp;'Daily Challenges'!$D$10))</f>
        <v/>
      </c>
      <c r="J481" s="38">
        <f>IF($A481="","",SUMIFS(Donations!$D:$D,Donations!$G:$G,$A481,Donations!$F:$F,"&lt;="&amp;'Daily Challenges'!$D$12))</f>
        <v/>
      </c>
    </row>
    <row r="482">
      <c r="A482" s="32" t="n"/>
      <c r="B482" s="32" t="n"/>
      <c r="C482" s="32" t="n"/>
      <c r="D482" s="37">
        <f>IF(A482="","",SUMIFS(Donations!$D:$D,Donations!$G:$G,A482))</f>
        <v/>
      </c>
      <c r="E482" s="35">
        <f>IF(A482="","",IF(D482&gt;0,"Yes",""))</f>
        <v/>
      </c>
      <c r="F482" s="38">
        <f>IF($A482="","",SUMIFS(Donations!$D:$D,Donations!$G:$G,$A482,Donations!$F:$F,"&gt;="&amp;'Daily Challenges'!$C$7,Donations!$F:$F,"&lt;="&amp;'Daily Challenges'!$D$7))</f>
        <v/>
      </c>
      <c r="G482" s="38">
        <f>IF($A482="","",SUMIFS(Donations!$D:$D,Donations!$G:$G,$A482,Donations!$F:$F,"&gt;="&amp;'Daily Challenges'!$C$8,Donations!$F:$F,"&lt;="&amp;'Daily Challenges'!$D$8))</f>
        <v/>
      </c>
      <c r="H482" s="38">
        <f>IF($A482="","",SUMIFS(Donations!$D:$D,Donations!$G:$G,$A482,Donations!$F:$F,"&lt;="&amp;'Daily Challenges'!$D$9))</f>
        <v/>
      </c>
      <c r="I482" s="38">
        <f>IF($A482="","",SUMIFS(Donations!$D:$D,Donations!$G:$G,$A482,Donations!$F:$F,"&gt;="&amp;'Daily Challenges'!$C$10,Donations!$F:$F,"&lt;="&amp;'Daily Challenges'!$D$10))</f>
        <v/>
      </c>
      <c r="J482" s="38">
        <f>IF($A482="","",SUMIFS(Donations!$D:$D,Donations!$G:$G,$A482,Donations!$F:$F,"&lt;="&amp;'Daily Challenges'!$D$12))</f>
        <v/>
      </c>
    </row>
    <row r="483">
      <c r="A483" s="32" t="n"/>
      <c r="B483" s="32" t="n"/>
      <c r="C483" s="32" t="n"/>
      <c r="D483" s="37">
        <f>IF(A483="","",SUMIFS(Donations!$D:$D,Donations!$G:$G,A483))</f>
        <v/>
      </c>
      <c r="E483" s="35">
        <f>IF(A483="","",IF(D483&gt;0,"Yes",""))</f>
        <v/>
      </c>
      <c r="F483" s="38">
        <f>IF($A483="","",SUMIFS(Donations!$D:$D,Donations!$G:$G,$A483,Donations!$F:$F,"&gt;="&amp;'Daily Challenges'!$C$7,Donations!$F:$F,"&lt;="&amp;'Daily Challenges'!$D$7))</f>
        <v/>
      </c>
      <c r="G483" s="38">
        <f>IF($A483="","",SUMIFS(Donations!$D:$D,Donations!$G:$G,$A483,Donations!$F:$F,"&gt;="&amp;'Daily Challenges'!$C$8,Donations!$F:$F,"&lt;="&amp;'Daily Challenges'!$D$8))</f>
        <v/>
      </c>
      <c r="H483" s="38">
        <f>IF($A483="","",SUMIFS(Donations!$D:$D,Donations!$G:$G,$A483,Donations!$F:$F,"&lt;="&amp;'Daily Challenges'!$D$9))</f>
        <v/>
      </c>
      <c r="I483" s="38">
        <f>IF($A483="","",SUMIFS(Donations!$D:$D,Donations!$G:$G,$A483,Donations!$F:$F,"&gt;="&amp;'Daily Challenges'!$C$10,Donations!$F:$F,"&lt;="&amp;'Daily Challenges'!$D$10))</f>
        <v/>
      </c>
      <c r="J483" s="38">
        <f>IF($A483="","",SUMIFS(Donations!$D:$D,Donations!$G:$G,$A483,Donations!$F:$F,"&lt;="&amp;'Daily Challenges'!$D$12))</f>
        <v/>
      </c>
    </row>
    <row r="484">
      <c r="A484" s="32" t="n"/>
      <c r="B484" s="32" t="n"/>
      <c r="C484" s="32" t="n"/>
      <c r="D484" s="37">
        <f>IF(A484="","",SUMIFS(Donations!$D:$D,Donations!$G:$G,A484))</f>
        <v/>
      </c>
      <c r="E484" s="35">
        <f>IF(A484="","",IF(D484&gt;0,"Yes",""))</f>
        <v/>
      </c>
      <c r="F484" s="38">
        <f>IF($A484="","",SUMIFS(Donations!$D:$D,Donations!$G:$G,$A484,Donations!$F:$F,"&gt;="&amp;'Daily Challenges'!$C$7,Donations!$F:$F,"&lt;="&amp;'Daily Challenges'!$D$7))</f>
        <v/>
      </c>
      <c r="G484" s="38">
        <f>IF($A484="","",SUMIFS(Donations!$D:$D,Donations!$G:$G,$A484,Donations!$F:$F,"&gt;="&amp;'Daily Challenges'!$C$8,Donations!$F:$F,"&lt;="&amp;'Daily Challenges'!$D$8))</f>
        <v/>
      </c>
      <c r="H484" s="38">
        <f>IF($A484="","",SUMIFS(Donations!$D:$D,Donations!$G:$G,$A484,Donations!$F:$F,"&lt;="&amp;'Daily Challenges'!$D$9))</f>
        <v/>
      </c>
      <c r="I484" s="38">
        <f>IF($A484="","",SUMIFS(Donations!$D:$D,Donations!$G:$G,$A484,Donations!$F:$F,"&gt;="&amp;'Daily Challenges'!$C$10,Donations!$F:$F,"&lt;="&amp;'Daily Challenges'!$D$10))</f>
        <v/>
      </c>
      <c r="J484" s="38">
        <f>IF($A484="","",SUMIFS(Donations!$D:$D,Donations!$G:$G,$A484,Donations!$F:$F,"&lt;="&amp;'Daily Challenges'!$D$12))</f>
        <v/>
      </c>
    </row>
    <row r="485">
      <c r="A485" s="32" t="n"/>
      <c r="B485" s="32" t="n"/>
      <c r="C485" s="32" t="n"/>
      <c r="D485" s="37">
        <f>IF(A485="","",SUMIFS(Donations!$D:$D,Donations!$G:$G,A485))</f>
        <v/>
      </c>
      <c r="E485" s="35">
        <f>IF(A485="","",IF(D485&gt;0,"Yes",""))</f>
        <v/>
      </c>
      <c r="F485" s="38">
        <f>IF($A485="","",SUMIFS(Donations!$D:$D,Donations!$G:$G,$A485,Donations!$F:$F,"&gt;="&amp;'Daily Challenges'!$C$7,Donations!$F:$F,"&lt;="&amp;'Daily Challenges'!$D$7))</f>
        <v/>
      </c>
      <c r="G485" s="38">
        <f>IF($A485="","",SUMIFS(Donations!$D:$D,Donations!$G:$G,$A485,Donations!$F:$F,"&gt;="&amp;'Daily Challenges'!$C$8,Donations!$F:$F,"&lt;="&amp;'Daily Challenges'!$D$8))</f>
        <v/>
      </c>
      <c r="H485" s="38">
        <f>IF($A485="","",SUMIFS(Donations!$D:$D,Donations!$G:$G,$A485,Donations!$F:$F,"&lt;="&amp;'Daily Challenges'!$D$9))</f>
        <v/>
      </c>
      <c r="I485" s="38">
        <f>IF($A485="","",SUMIFS(Donations!$D:$D,Donations!$G:$G,$A485,Donations!$F:$F,"&gt;="&amp;'Daily Challenges'!$C$10,Donations!$F:$F,"&lt;="&amp;'Daily Challenges'!$D$10))</f>
        <v/>
      </c>
      <c r="J485" s="38">
        <f>IF($A485="","",SUMIFS(Donations!$D:$D,Donations!$G:$G,$A485,Donations!$F:$F,"&lt;="&amp;'Daily Challenges'!$D$12))</f>
        <v/>
      </c>
    </row>
    <row r="486">
      <c r="A486" s="32" t="n"/>
      <c r="B486" s="32" t="n"/>
      <c r="C486" s="32" t="n"/>
      <c r="D486" s="37">
        <f>IF(A486="","",SUMIFS(Donations!$D:$D,Donations!$G:$G,A486))</f>
        <v/>
      </c>
      <c r="E486" s="35">
        <f>IF(A486="","",IF(D486&gt;0,"Yes",""))</f>
        <v/>
      </c>
      <c r="F486" s="38">
        <f>IF($A486="","",SUMIFS(Donations!$D:$D,Donations!$G:$G,$A486,Donations!$F:$F,"&gt;="&amp;'Daily Challenges'!$C$7,Donations!$F:$F,"&lt;="&amp;'Daily Challenges'!$D$7))</f>
        <v/>
      </c>
      <c r="G486" s="38">
        <f>IF($A486="","",SUMIFS(Donations!$D:$D,Donations!$G:$G,$A486,Donations!$F:$F,"&gt;="&amp;'Daily Challenges'!$C$8,Donations!$F:$F,"&lt;="&amp;'Daily Challenges'!$D$8))</f>
        <v/>
      </c>
      <c r="H486" s="38">
        <f>IF($A486="","",SUMIFS(Donations!$D:$D,Donations!$G:$G,$A486,Donations!$F:$F,"&lt;="&amp;'Daily Challenges'!$D$9))</f>
        <v/>
      </c>
      <c r="I486" s="38">
        <f>IF($A486="","",SUMIFS(Donations!$D:$D,Donations!$G:$G,$A486,Donations!$F:$F,"&gt;="&amp;'Daily Challenges'!$C$10,Donations!$F:$F,"&lt;="&amp;'Daily Challenges'!$D$10))</f>
        <v/>
      </c>
      <c r="J486" s="38">
        <f>IF($A486="","",SUMIFS(Donations!$D:$D,Donations!$G:$G,$A486,Donations!$F:$F,"&lt;="&amp;'Daily Challenges'!$D$12))</f>
        <v/>
      </c>
    </row>
    <row r="487">
      <c r="A487" s="32" t="n"/>
      <c r="B487" s="32" t="n"/>
      <c r="C487" s="32" t="n"/>
      <c r="D487" s="37">
        <f>IF(A487="","",SUMIFS(Donations!$D:$D,Donations!$G:$G,A487))</f>
        <v/>
      </c>
      <c r="E487" s="35">
        <f>IF(A487="","",IF(D487&gt;0,"Yes",""))</f>
        <v/>
      </c>
      <c r="F487" s="38">
        <f>IF($A487="","",SUMIFS(Donations!$D:$D,Donations!$G:$G,$A487,Donations!$F:$F,"&gt;="&amp;'Daily Challenges'!$C$7,Donations!$F:$F,"&lt;="&amp;'Daily Challenges'!$D$7))</f>
        <v/>
      </c>
      <c r="G487" s="38">
        <f>IF($A487="","",SUMIFS(Donations!$D:$D,Donations!$G:$G,$A487,Donations!$F:$F,"&gt;="&amp;'Daily Challenges'!$C$8,Donations!$F:$F,"&lt;="&amp;'Daily Challenges'!$D$8))</f>
        <v/>
      </c>
      <c r="H487" s="38">
        <f>IF($A487="","",SUMIFS(Donations!$D:$D,Donations!$G:$G,$A487,Donations!$F:$F,"&lt;="&amp;'Daily Challenges'!$D$9))</f>
        <v/>
      </c>
      <c r="I487" s="38">
        <f>IF($A487="","",SUMIFS(Donations!$D:$D,Donations!$G:$G,$A487,Donations!$F:$F,"&gt;="&amp;'Daily Challenges'!$C$10,Donations!$F:$F,"&lt;="&amp;'Daily Challenges'!$D$10))</f>
        <v/>
      </c>
      <c r="J487" s="38">
        <f>IF($A487="","",SUMIFS(Donations!$D:$D,Donations!$G:$G,$A487,Donations!$F:$F,"&lt;="&amp;'Daily Challenges'!$D$12))</f>
        <v/>
      </c>
    </row>
    <row r="488">
      <c r="A488" s="32" t="n"/>
      <c r="B488" s="32" t="n"/>
      <c r="C488" s="32" t="n"/>
      <c r="D488" s="37">
        <f>IF(A488="","",SUMIFS(Donations!$D:$D,Donations!$G:$G,A488))</f>
        <v/>
      </c>
      <c r="E488" s="35">
        <f>IF(A488="","",IF(D488&gt;0,"Yes",""))</f>
        <v/>
      </c>
      <c r="F488" s="38">
        <f>IF($A488="","",SUMIFS(Donations!$D:$D,Donations!$G:$G,$A488,Donations!$F:$F,"&gt;="&amp;'Daily Challenges'!$C$7,Donations!$F:$F,"&lt;="&amp;'Daily Challenges'!$D$7))</f>
        <v/>
      </c>
      <c r="G488" s="38">
        <f>IF($A488="","",SUMIFS(Donations!$D:$D,Donations!$G:$G,$A488,Donations!$F:$F,"&gt;="&amp;'Daily Challenges'!$C$8,Donations!$F:$F,"&lt;="&amp;'Daily Challenges'!$D$8))</f>
        <v/>
      </c>
      <c r="H488" s="38">
        <f>IF($A488="","",SUMIFS(Donations!$D:$D,Donations!$G:$G,$A488,Donations!$F:$F,"&lt;="&amp;'Daily Challenges'!$D$9))</f>
        <v/>
      </c>
      <c r="I488" s="38">
        <f>IF($A488="","",SUMIFS(Donations!$D:$D,Donations!$G:$G,$A488,Donations!$F:$F,"&gt;="&amp;'Daily Challenges'!$C$10,Donations!$F:$F,"&lt;="&amp;'Daily Challenges'!$D$10))</f>
        <v/>
      </c>
      <c r="J488" s="38">
        <f>IF($A488="","",SUMIFS(Donations!$D:$D,Donations!$G:$G,$A488,Donations!$F:$F,"&lt;="&amp;'Daily Challenges'!$D$12))</f>
        <v/>
      </c>
    </row>
    <row r="489">
      <c r="A489" s="32" t="n"/>
      <c r="B489" s="32" t="n"/>
      <c r="C489" s="32" t="n"/>
      <c r="D489" s="37">
        <f>IF(A489="","",SUMIFS(Donations!$D:$D,Donations!$G:$G,A489))</f>
        <v/>
      </c>
      <c r="E489" s="35">
        <f>IF(A489="","",IF(D489&gt;0,"Yes",""))</f>
        <v/>
      </c>
      <c r="F489" s="38">
        <f>IF($A489="","",SUMIFS(Donations!$D:$D,Donations!$G:$G,$A489,Donations!$F:$F,"&gt;="&amp;'Daily Challenges'!$C$7,Donations!$F:$F,"&lt;="&amp;'Daily Challenges'!$D$7))</f>
        <v/>
      </c>
      <c r="G489" s="38">
        <f>IF($A489="","",SUMIFS(Donations!$D:$D,Donations!$G:$G,$A489,Donations!$F:$F,"&gt;="&amp;'Daily Challenges'!$C$8,Donations!$F:$F,"&lt;="&amp;'Daily Challenges'!$D$8))</f>
        <v/>
      </c>
      <c r="H489" s="38">
        <f>IF($A489="","",SUMIFS(Donations!$D:$D,Donations!$G:$G,$A489,Donations!$F:$F,"&lt;="&amp;'Daily Challenges'!$D$9))</f>
        <v/>
      </c>
      <c r="I489" s="38">
        <f>IF($A489="","",SUMIFS(Donations!$D:$D,Donations!$G:$G,$A489,Donations!$F:$F,"&gt;="&amp;'Daily Challenges'!$C$10,Donations!$F:$F,"&lt;="&amp;'Daily Challenges'!$D$10))</f>
        <v/>
      </c>
      <c r="J489" s="38">
        <f>IF($A489="","",SUMIFS(Donations!$D:$D,Donations!$G:$G,$A489,Donations!$F:$F,"&lt;="&amp;'Daily Challenges'!$D$12))</f>
        <v/>
      </c>
    </row>
    <row r="490">
      <c r="A490" s="32" t="n"/>
      <c r="B490" s="32" t="n"/>
      <c r="C490" s="32" t="n"/>
      <c r="D490" s="37">
        <f>IF(A490="","",SUMIFS(Donations!$D:$D,Donations!$G:$G,A490))</f>
        <v/>
      </c>
      <c r="E490" s="35">
        <f>IF(A490="","",IF(D490&gt;0,"Yes",""))</f>
        <v/>
      </c>
      <c r="F490" s="38">
        <f>IF($A490="","",SUMIFS(Donations!$D:$D,Donations!$G:$G,$A490,Donations!$F:$F,"&gt;="&amp;'Daily Challenges'!$C$7,Donations!$F:$F,"&lt;="&amp;'Daily Challenges'!$D$7))</f>
        <v/>
      </c>
      <c r="G490" s="38">
        <f>IF($A490="","",SUMIFS(Donations!$D:$D,Donations!$G:$G,$A490,Donations!$F:$F,"&gt;="&amp;'Daily Challenges'!$C$8,Donations!$F:$F,"&lt;="&amp;'Daily Challenges'!$D$8))</f>
        <v/>
      </c>
      <c r="H490" s="38">
        <f>IF($A490="","",SUMIFS(Donations!$D:$D,Donations!$G:$G,$A490,Donations!$F:$F,"&lt;="&amp;'Daily Challenges'!$D$9))</f>
        <v/>
      </c>
      <c r="I490" s="38">
        <f>IF($A490="","",SUMIFS(Donations!$D:$D,Donations!$G:$G,$A490,Donations!$F:$F,"&gt;="&amp;'Daily Challenges'!$C$10,Donations!$F:$F,"&lt;="&amp;'Daily Challenges'!$D$10))</f>
        <v/>
      </c>
      <c r="J490" s="38">
        <f>IF($A490="","",SUMIFS(Donations!$D:$D,Donations!$G:$G,$A490,Donations!$F:$F,"&lt;="&amp;'Daily Challenges'!$D$12))</f>
        <v/>
      </c>
    </row>
    <row r="491">
      <c r="A491" s="32" t="n"/>
      <c r="B491" s="32" t="n"/>
      <c r="C491" s="32" t="n"/>
      <c r="D491" s="37">
        <f>IF(A491="","",SUMIFS(Donations!$D:$D,Donations!$G:$G,A491))</f>
        <v/>
      </c>
      <c r="E491" s="35">
        <f>IF(A491="","",IF(D491&gt;0,"Yes",""))</f>
        <v/>
      </c>
      <c r="F491" s="38">
        <f>IF($A491="","",SUMIFS(Donations!$D:$D,Donations!$G:$G,$A491,Donations!$F:$F,"&gt;="&amp;'Daily Challenges'!$C$7,Donations!$F:$F,"&lt;="&amp;'Daily Challenges'!$D$7))</f>
        <v/>
      </c>
      <c r="G491" s="38">
        <f>IF($A491="","",SUMIFS(Donations!$D:$D,Donations!$G:$G,$A491,Donations!$F:$F,"&gt;="&amp;'Daily Challenges'!$C$8,Donations!$F:$F,"&lt;="&amp;'Daily Challenges'!$D$8))</f>
        <v/>
      </c>
      <c r="H491" s="38">
        <f>IF($A491="","",SUMIFS(Donations!$D:$D,Donations!$G:$G,$A491,Donations!$F:$F,"&lt;="&amp;'Daily Challenges'!$D$9))</f>
        <v/>
      </c>
      <c r="I491" s="38">
        <f>IF($A491="","",SUMIFS(Donations!$D:$D,Donations!$G:$G,$A491,Donations!$F:$F,"&gt;="&amp;'Daily Challenges'!$C$10,Donations!$F:$F,"&lt;="&amp;'Daily Challenges'!$D$10))</f>
        <v/>
      </c>
      <c r="J491" s="38">
        <f>IF($A491="","",SUMIFS(Donations!$D:$D,Donations!$G:$G,$A491,Donations!$F:$F,"&lt;="&amp;'Daily Challenges'!$D$12))</f>
        <v/>
      </c>
    </row>
    <row r="492">
      <c r="A492" s="32" t="n"/>
      <c r="B492" s="32" t="n"/>
      <c r="C492" s="32" t="n"/>
      <c r="D492" s="37">
        <f>IF(A492="","",SUMIFS(Donations!$D:$D,Donations!$G:$G,A492))</f>
        <v/>
      </c>
      <c r="E492" s="35">
        <f>IF(A492="","",IF(D492&gt;0,"Yes",""))</f>
        <v/>
      </c>
      <c r="F492" s="38">
        <f>IF($A492="","",SUMIFS(Donations!$D:$D,Donations!$G:$G,$A492,Donations!$F:$F,"&gt;="&amp;'Daily Challenges'!$C$7,Donations!$F:$F,"&lt;="&amp;'Daily Challenges'!$D$7))</f>
        <v/>
      </c>
      <c r="G492" s="38">
        <f>IF($A492="","",SUMIFS(Donations!$D:$D,Donations!$G:$G,$A492,Donations!$F:$F,"&gt;="&amp;'Daily Challenges'!$C$8,Donations!$F:$F,"&lt;="&amp;'Daily Challenges'!$D$8))</f>
        <v/>
      </c>
      <c r="H492" s="38">
        <f>IF($A492="","",SUMIFS(Donations!$D:$D,Donations!$G:$G,$A492,Donations!$F:$F,"&lt;="&amp;'Daily Challenges'!$D$9))</f>
        <v/>
      </c>
      <c r="I492" s="38">
        <f>IF($A492="","",SUMIFS(Donations!$D:$D,Donations!$G:$G,$A492,Donations!$F:$F,"&gt;="&amp;'Daily Challenges'!$C$10,Donations!$F:$F,"&lt;="&amp;'Daily Challenges'!$D$10))</f>
        <v/>
      </c>
      <c r="J492" s="38">
        <f>IF($A492="","",SUMIFS(Donations!$D:$D,Donations!$G:$G,$A492,Donations!$F:$F,"&lt;="&amp;'Daily Challenges'!$D$12))</f>
        <v/>
      </c>
    </row>
    <row r="493">
      <c r="A493" s="32" t="n"/>
      <c r="B493" s="32" t="n"/>
      <c r="C493" s="32" t="n"/>
      <c r="D493" s="37">
        <f>IF(A493="","",SUMIFS(Donations!$D:$D,Donations!$G:$G,A493))</f>
        <v/>
      </c>
      <c r="E493" s="35">
        <f>IF(A493="","",IF(D493&gt;0,"Yes",""))</f>
        <v/>
      </c>
      <c r="F493" s="38">
        <f>IF($A493="","",SUMIFS(Donations!$D:$D,Donations!$G:$G,$A493,Donations!$F:$F,"&gt;="&amp;'Daily Challenges'!$C$7,Donations!$F:$F,"&lt;="&amp;'Daily Challenges'!$D$7))</f>
        <v/>
      </c>
      <c r="G493" s="38">
        <f>IF($A493="","",SUMIFS(Donations!$D:$D,Donations!$G:$G,$A493,Donations!$F:$F,"&gt;="&amp;'Daily Challenges'!$C$8,Donations!$F:$F,"&lt;="&amp;'Daily Challenges'!$D$8))</f>
        <v/>
      </c>
      <c r="H493" s="38">
        <f>IF($A493="","",SUMIFS(Donations!$D:$D,Donations!$G:$G,$A493,Donations!$F:$F,"&lt;="&amp;'Daily Challenges'!$D$9))</f>
        <v/>
      </c>
      <c r="I493" s="38">
        <f>IF($A493="","",SUMIFS(Donations!$D:$D,Donations!$G:$G,$A493,Donations!$F:$F,"&gt;="&amp;'Daily Challenges'!$C$10,Donations!$F:$F,"&lt;="&amp;'Daily Challenges'!$D$10))</f>
        <v/>
      </c>
      <c r="J493" s="38">
        <f>IF($A493="","",SUMIFS(Donations!$D:$D,Donations!$G:$G,$A493,Donations!$F:$F,"&lt;="&amp;'Daily Challenges'!$D$12))</f>
        <v/>
      </c>
    </row>
    <row r="494">
      <c r="A494" s="32" t="n"/>
      <c r="B494" s="32" t="n"/>
      <c r="C494" s="32" t="n"/>
      <c r="D494" s="37">
        <f>IF(A494="","",SUMIFS(Donations!$D:$D,Donations!$G:$G,A494))</f>
        <v/>
      </c>
      <c r="E494" s="35">
        <f>IF(A494="","",IF(D494&gt;0,"Yes",""))</f>
        <v/>
      </c>
      <c r="F494" s="38">
        <f>IF($A494="","",SUMIFS(Donations!$D:$D,Donations!$G:$G,$A494,Donations!$F:$F,"&gt;="&amp;'Daily Challenges'!$C$7,Donations!$F:$F,"&lt;="&amp;'Daily Challenges'!$D$7))</f>
        <v/>
      </c>
      <c r="G494" s="38">
        <f>IF($A494="","",SUMIFS(Donations!$D:$D,Donations!$G:$G,$A494,Donations!$F:$F,"&gt;="&amp;'Daily Challenges'!$C$8,Donations!$F:$F,"&lt;="&amp;'Daily Challenges'!$D$8))</f>
        <v/>
      </c>
      <c r="H494" s="38">
        <f>IF($A494="","",SUMIFS(Donations!$D:$D,Donations!$G:$G,$A494,Donations!$F:$F,"&lt;="&amp;'Daily Challenges'!$D$9))</f>
        <v/>
      </c>
      <c r="I494" s="38">
        <f>IF($A494="","",SUMIFS(Donations!$D:$D,Donations!$G:$G,$A494,Donations!$F:$F,"&gt;="&amp;'Daily Challenges'!$C$10,Donations!$F:$F,"&lt;="&amp;'Daily Challenges'!$D$10))</f>
        <v/>
      </c>
      <c r="J494" s="38">
        <f>IF($A494="","",SUMIFS(Donations!$D:$D,Donations!$G:$G,$A494,Donations!$F:$F,"&lt;="&amp;'Daily Challenges'!$D$12))</f>
        <v/>
      </c>
    </row>
    <row r="495">
      <c r="A495" s="32" t="n"/>
      <c r="B495" s="32" t="n"/>
      <c r="C495" s="32" t="n"/>
      <c r="D495" s="37">
        <f>IF(A495="","",SUMIFS(Donations!$D:$D,Donations!$G:$G,A495))</f>
        <v/>
      </c>
      <c r="E495" s="35">
        <f>IF(A495="","",IF(D495&gt;0,"Yes",""))</f>
        <v/>
      </c>
      <c r="F495" s="38">
        <f>IF($A495="","",SUMIFS(Donations!$D:$D,Donations!$G:$G,$A495,Donations!$F:$F,"&gt;="&amp;'Daily Challenges'!$C$7,Donations!$F:$F,"&lt;="&amp;'Daily Challenges'!$D$7))</f>
        <v/>
      </c>
      <c r="G495" s="38">
        <f>IF($A495="","",SUMIFS(Donations!$D:$D,Donations!$G:$G,$A495,Donations!$F:$F,"&gt;="&amp;'Daily Challenges'!$C$8,Donations!$F:$F,"&lt;="&amp;'Daily Challenges'!$D$8))</f>
        <v/>
      </c>
      <c r="H495" s="38">
        <f>IF($A495="","",SUMIFS(Donations!$D:$D,Donations!$G:$G,$A495,Donations!$F:$F,"&lt;="&amp;'Daily Challenges'!$D$9))</f>
        <v/>
      </c>
      <c r="I495" s="38">
        <f>IF($A495="","",SUMIFS(Donations!$D:$D,Donations!$G:$G,$A495,Donations!$F:$F,"&gt;="&amp;'Daily Challenges'!$C$10,Donations!$F:$F,"&lt;="&amp;'Daily Challenges'!$D$10))</f>
        <v/>
      </c>
      <c r="J495" s="38">
        <f>IF($A495="","",SUMIFS(Donations!$D:$D,Donations!$G:$G,$A495,Donations!$F:$F,"&lt;="&amp;'Daily Challenges'!$D$12))</f>
        <v/>
      </c>
    </row>
    <row r="496">
      <c r="A496" s="32" t="n"/>
      <c r="B496" s="32" t="n"/>
      <c r="C496" s="32" t="n"/>
      <c r="D496" s="37">
        <f>IF(A496="","",SUMIFS(Donations!$D:$D,Donations!$G:$G,A496))</f>
        <v/>
      </c>
      <c r="E496" s="35">
        <f>IF(A496="","",IF(D496&gt;0,"Yes",""))</f>
        <v/>
      </c>
      <c r="F496" s="38">
        <f>IF($A496="","",SUMIFS(Donations!$D:$D,Donations!$G:$G,$A496,Donations!$F:$F,"&gt;="&amp;'Daily Challenges'!$C$7,Donations!$F:$F,"&lt;="&amp;'Daily Challenges'!$D$7))</f>
        <v/>
      </c>
      <c r="G496" s="38">
        <f>IF($A496="","",SUMIFS(Donations!$D:$D,Donations!$G:$G,$A496,Donations!$F:$F,"&gt;="&amp;'Daily Challenges'!$C$8,Donations!$F:$F,"&lt;="&amp;'Daily Challenges'!$D$8))</f>
        <v/>
      </c>
      <c r="H496" s="38">
        <f>IF($A496="","",SUMIFS(Donations!$D:$D,Donations!$G:$G,$A496,Donations!$F:$F,"&lt;="&amp;'Daily Challenges'!$D$9))</f>
        <v/>
      </c>
      <c r="I496" s="38">
        <f>IF($A496="","",SUMIFS(Donations!$D:$D,Donations!$G:$G,$A496,Donations!$F:$F,"&gt;="&amp;'Daily Challenges'!$C$10,Donations!$F:$F,"&lt;="&amp;'Daily Challenges'!$D$10))</f>
        <v/>
      </c>
      <c r="J496" s="38">
        <f>IF($A496="","",SUMIFS(Donations!$D:$D,Donations!$G:$G,$A496,Donations!$F:$F,"&lt;="&amp;'Daily Challenges'!$D$12))</f>
        <v/>
      </c>
    </row>
    <row r="497">
      <c r="A497" s="32" t="n"/>
      <c r="B497" s="32" t="n"/>
      <c r="C497" s="32" t="n"/>
      <c r="D497" s="37">
        <f>IF(A497="","",SUMIFS(Donations!$D:$D,Donations!$G:$G,A497))</f>
        <v/>
      </c>
      <c r="E497" s="35">
        <f>IF(A497="","",IF(D497&gt;0,"Yes",""))</f>
        <v/>
      </c>
      <c r="F497" s="38">
        <f>IF($A497="","",SUMIFS(Donations!$D:$D,Donations!$G:$G,$A497,Donations!$F:$F,"&gt;="&amp;'Daily Challenges'!$C$7,Donations!$F:$F,"&lt;="&amp;'Daily Challenges'!$D$7))</f>
        <v/>
      </c>
      <c r="G497" s="38">
        <f>IF($A497="","",SUMIFS(Donations!$D:$D,Donations!$G:$G,$A497,Donations!$F:$F,"&gt;="&amp;'Daily Challenges'!$C$8,Donations!$F:$F,"&lt;="&amp;'Daily Challenges'!$D$8))</f>
        <v/>
      </c>
      <c r="H497" s="38">
        <f>IF($A497="","",SUMIFS(Donations!$D:$D,Donations!$G:$G,$A497,Donations!$F:$F,"&lt;="&amp;'Daily Challenges'!$D$9))</f>
        <v/>
      </c>
      <c r="I497" s="38">
        <f>IF($A497="","",SUMIFS(Donations!$D:$D,Donations!$G:$G,$A497,Donations!$F:$F,"&gt;="&amp;'Daily Challenges'!$C$10,Donations!$F:$F,"&lt;="&amp;'Daily Challenges'!$D$10))</f>
        <v/>
      </c>
      <c r="J497" s="38">
        <f>IF($A497="","",SUMIFS(Donations!$D:$D,Donations!$G:$G,$A497,Donations!$F:$F,"&lt;="&amp;'Daily Challenges'!$D$12))</f>
        <v/>
      </c>
    </row>
    <row r="498">
      <c r="A498" s="32" t="n"/>
      <c r="B498" s="32" t="n"/>
      <c r="C498" s="32" t="n"/>
      <c r="D498" s="37">
        <f>IF(A498="","",SUMIFS(Donations!$D:$D,Donations!$G:$G,A498))</f>
        <v/>
      </c>
      <c r="E498" s="35">
        <f>IF(A498="","",IF(D498&gt;0,"Yes",""))</f>
        <v/>
      </c>
      <c r="F498" s="38">
        <f>IF($A498="","",SUMIFS(Donations!$D:$D,Donations!$G:$G,$A498,Donations!$F:$F,"&gt;="&amp;'Daily Challenges'!$C$7,Donations!$F:$F,"&lt;="&amp;'Daily Challenges'!$D$7))</f>
        <v/>
      </c>
      <c r="G498" s="38">
        <f>IF($A498="","",SUMIFS(Donations!$D:$D,Donations!$G:$G,$A498,Donations!$F:$F,"&gt;="&amp;'Daily Challenges'!$C$8,Donations!$F:$F,"&lt;="&amp;'Daily Challenges'!$D$8))</f>
        <v/>
      </c>
      <c r="H498" s="38">
        <f>IF($A498="","",SUMIFS(Donations!$D:$D,Donations!$G:$G,$A498,Donations!$F:$F,"&lt;="&amp;'Daily Challenges'!$D$9))</f>
        <v/>
      </c>
      <c r="I498" s="38">
        <f>IF($A498="","",SUMIFS(Donations!$D:$D,Donations!$G:$G,$A498,Donations!$F:$F,"&gt;="&amp;'Daily Challenges'!$C$10,Donations!$F:$F,"&lt;="&amp;'Daily Challenges'!$D$10))</f>
        <v/>
      </c>
      <c r="J498" s="38">
        <f>IF($A498="","",SUMIFS(Donations!$D:$D,Donations!$G:$G,$A498,Donations!$F:$F,"&lt;="&amp;'Daily Challenges'!$D$12))</f>
        <v/>
      </c>
    </row>
    <row r="499">
      <c r="A499" s="32" t="n"/>
      <c r="B499" s="32" t="n"/>
      <c r="C499" s="32" t="n"/>
      <c r="D499" s="37">
        <f>IF(A499="","",SUMIFS(Donations!$D:$D,Donations!$G:$G,A499))</f>
        <v/>
      </c>
      <c r="E499" s="35">
        <f>IF(A499="","",IF(D499&gt;0,"Yes",""))</f>
        <v/>
      </c>
      <c r="F499" s="38">
        <f>IF($A499="","",SUMIFS(Donations!$D:$D,Donations!$G:$G,$A499,Donations!$F:$F,"&gt;="&amp;'Daily Challenges'!$C$7,Donations!$F:$F,"&lt;="&amp;'Daily Challenges'!$D$7))</f>
        <v/>
      </c>
      <c r="G499" s="38">
        <f>IF($A499="","",SUMIFS(Donations!$D:$D,Donations!$G:$G,$A499,Donations!$F:$F,"&gt;="&amp;'Daily Challenges'!$C$8,Donations!$F:$F,"&lt;="&amp;'Daily Challenges'!$D$8))</f>
        <v/>
      </c>
      <c r="H499" s="38">
        <f>IF($A499="","",SUMIFS(Donations!$D:$D,Donations!$G:$G,$A499,Donations!$F:$F,"&lt;="&amp;'Daily Challenges'!$D$9))</f>
        <v/>
      </c>
      <c r="I499" s="38">
        <f>IF($A499="","",SUMIFS(Donations!$D:$D,Donations!$G:$G,$A499,Donations!$F:$F,"&gt;="&amp;'Daily Challenges'!$C$10,Donations!$F:$F,"&lt;="&amp;'Daily Challenges'!$D$10))</f>
        <v/>
      </c>
      <c r="J499" s="38">
        <f>IF($A499="","",SUMIFS(Donations!$D:$D,Donations!$G:$G,$A499,Donations!$F:$F,"&lt;="&amp;'Daily Challenges'!$D$12))</f>
        <v/>
      </c>
    </row>
    <row r="500">
      <c r="A500" s="32" t="n"/>
      <c r="B500" s="32" t="n"/>
      <c r="C500" s="32" t="n"/>
      <c r="D500" s="37">
        <f>IF(A500="","",SUMIFS(Donations!$D:$D,Donations!$G:$G,A500))</f>
        <v/>
      </c>
      <c r="E500" s="35">
        <f>IF(A500="","",IF(D500&gt;0,"Yes",""))</f>
        <v/>
      </c>
      <c r="F500" s="38">
        <f>IF($A500="","",SUMIFS(Donations!$D:$D,Donations!$G:$G,$A500,Donations!$F:$F,"&gt;="&amp;'Daily Challenges'!$C$7,Donations!$F:$F,"&lt;="&amp;'Daily Challenges'!$D$7))</f>
        <v/>
      </c>
      <c r="G500" s="38">
        <f>IF($A500="","",SUMIFS(Donations!$D:$D,Donations!$G:$G,$A500,Donations!$F:$F,"&gt;="&amp;'Daily Challenges'!$C$8,Donations!$F:$F,"&lt;="&amp;'Daily Challenges'!$D$8))</f>
        <v/>
      </c>
      <c r="H500" s="38">
        <f>IF($A500="","",SUMIFS(Donations!$D:$D,Donations!$G:$G,$A500,Donations!$F:$F,"&lt;="&amp;'Daily Challenges'!$D$9))</f>
        <v/>
      </c>
      <c r="I500" s="38">
        <f>IF($A500="","",SUMIFS(Donations!$D:$D,Donations!$G:$G,$A500,Donations!$F:$F,"&gt;="&amp;'Daily Challenges'!$C$10,Donations!$F:$F,"&lt;="&amp;'Daily Challenges'!$D$10))</f>
        <v/>
      </c>
      <c r="J500" s="38">
        <f>IF($A500="","",SUMIFS(Donations!$D:$D,Donations!$G:$G,$A500,Donations!$F:$F,"&lt;="&amp;'Daily Challenges'!$D$12))</f>
        <v/>
      </c>
    </row>
    <row r="501">
      <c r="A501" s="32" t="n"/>
      <c r="B501" s="32" t="n"/>
      <c r="C501" s="32" t="n"/>
      <c r="D501" s="37">
        <f>IF(A501="","",SUMIFS(Donations!$D:$D,Donations!$G:$G,A501))</f>
        <v/>
      </c>
      <c r="E501" s="35">
        <f>IF(A501="","",IF(D501&gt;0,"Yes",""))</f>
        <v/>
      </c>
      <c r="F501" s="38">
        <f>IF($A501="","",SUMIFS(Donations!$D:$D,Donations!$G:$G,$A501,Donations!$F:$F,"&gt;="&amp;'Daily Challenges'!$C$7,Donations!$F:$F,"&lt;="&amp;'Daily Challenges'!$D$7))</f>
        <v/>
      </c>
      <c r="G501" s="38">
        <f>IF($A501="","",SUMIFS(Donations!$D:$D,Donations!$G:$G,$A501,Donations!$F:$F,"&gt;="&amp;'Daily Challenges'!$C$8,Donations!$F:$F,"&lt;="&amp;'Daily Challenges'!$D$8))</f>
        <v/>
      </c>
      <c r="H501" s="38">
        <f>IF($A501="","",SUMIFS(Donations!$D:$D,Donations!$G:$G,$A501,Donations!$F:$F,"&lt;="&amp;'Daily Challenges'!$D$9))</f>
        <v/>
      </c>
      <c r="I501" s="38">
        <f>IF($A501="","",SUMIFS(Donations!$D:$D,Donations!$G:$G,$A501,Donations!$F:$F,"&gt;="&amp;'Daily Challenges'!$C$10,Donations!$F:$F,"&lt;="&amp;'Daily Challenges'!$D$10))</f>
        <v/>
      </c>
      <c r="J501" s="38">
        <f>IF($A501="","",SUMIFS(Donations!$D:$D,Donations!$G:$G,$A501,Donations!$F:$F,"&lt;="&amp;'Daily Challenges'!$D$12))</f>
        <v/>
      </c>
    </row>
    <row r="502">
      <c r="A502" s="32" t="n"/>
      <c r="B502" s="32" t="n"/>
      <c r="C502" s="32" t="n"/>
      <c r="D502" s="37">
        <f>IF(A502="","",SUMIFS(Donations!$D:$D,Donations!$G:$G,A502))</f>
        <v/>
      </c>
      <c r="E502" s="35">
        <f>IF(A502="","",IF(D502&gt;0,"Yes",""))</f>
        <v/>
      </c>
      <c r="F502" s="38">
        <f>IF($A502="","",SUMIFS(Donations!$D:$D,Donations!$G:$G,$A502,Donations!$F:$F,"&gt;="&amp;'Daily Challenges'!$C$7,Donations!$F:$F,"&lt;="&amp;'Daily Challenges'!$D$7))</f>
        <v/>
      </c>
      <c r="G502" s="38">
        <f>IF($A502="","",SUMIFS(Donations!$D:$D,Donations!$G:$G,$A502,Donations!$F:$F,"&gt;="&amp;'Daily Challenges'!$C$8,Donations!$F:$F,"&lt;="&amp;'Daily Challenges'!$D$8))</f>
        <v/>
      </c>
      <c r="H502" s="38">
        <f>IF($A502="","",SUMIFS(Donations!$D:$D,Donations!$G:$G,$A502,Donations!$F:$F,"&lt;="&amp;'Daily Challenges'!$D$9))</f>
        <v/>
      </c>
      <c r="I502" s="38">
        <f>IF($A502="","",SUMIFS(Donations!$D:$D,Donations!$G:$G,$A502,Donations!$F:$F,"&gt;="&amp;'Daily Challenges'!$C$10,Donations!$F:$F,"&lt;="&amp;'Daily Challenges'!$D$10))</f>
        <v/>
      </c>
      <c r="J502" s="38">
        <f>IF($A502="","",SUMIFS(Donations!$D:$D,Donations!$G:$G,$A502,Donations!$F:$F,"&lt;="&amp;'Daily Challenges'!$D$12))</f>
        <v/>
      </c>
    </row>
    <row r="503">
      <c r="A503" s="32" t="n"/>
      <c r="B503" s="32" t="n"/>
      <c r="C503" s="32" t="n"/>
      <c r="D503" s="37">
        <f>IF(A503="","",SUMIFS(Donations!$D:$D,Donations!$G:$G,A503))</f>
        <v/>
      </c>
      <c r="E503" s="35">
        <f>IF(A503="","",IF(D503&gt;0,"Yes",""))</f>
        <v/>
      </c>
      <c r="F503" s="38">
        <f>IF($A503="","",SUMIFS(Donations!$D:$D,Donations!$G:$G,$A503,Donations!$F:$F,"&gt;="&amp;'Daily Challenges'!$C$7,Donations!$F:$F,"&lt;="&amp;'Daily Challenges'!$D$7))</f>
        <v/>
      </c>
      <c r="G503" s="38">
        <f>IF($A503="","",SUMIFS(Donations!$D:$D,Donations!$G:$G,$A503,Donations!$F:$F,"&gt;="&amp;'Daily Challenges'!$C$8,Donations!$F:$F,"&lt;="&amp;'Daily Challenges'!$D$8))</f>
        <v/>
      </c>
      <c r="H503" s="38">
        <f>IF($A503="","",SUMIFS(Donations!$D:$D,Donations!$G:$G,$A503,Donations!$F:$F,"&lt;="&amp;'Daily Challenges'!$D$9))</f>
        <v/>
      </c>
      <c r="I503" s="38">
        <f>IF($A503="","",SUMIFS(Donations!$D:$D,Donations!$G:$G,$A503,Donations!$F:$F,"&gt;="&amp;'Daily Challenges'!$C$10,Donations!$F:$F,"&lt;="&amp;'Daily Challenges'!$D$10))</f>
        <v/>
      </c>
      <c r="J503" s="38">
        <f>IF($A503="","",SUMIFS(Donations!$D:$D,Donations!$G:$G,$A503,Donations!$F:$F,"&lt;="&amp;'Daily Challenges'!$D$12))</f>
        <v/>
      </c>
    </row>
    <row r="504">
      <c r="A504" s="32" t="n"/>
      <c r="B504" s="32" t="n"/>
      <c r="C504" s="32" t="n"/>
      <c r="D504" s="37">
        <f>IF(A504="","",SUMIFS(Donations!$D:$D,Donations!$G:$G,A504))</f>
        <v/>
      </c>
      <c r="E504" s="35">
        <f>IF(A504="","",IF(D504&gt;0,"Yes",""))</f>
        <v/>
      </c>
      <c r="F504" s="38">
        <f>IF($A504="","",SUMIFS(Donations!$D:$D,Donations!$G:$G,$A504,Donations!$F:$F,"&gt;="&amp;'Daily Challenges'!$C$7,Donations!$F:$F,"&lt;="&amp;'Daily Challenges'!$D$7))</f>
        <v/>
      </c>
      <c r="G504" s="38">
        <f>IF($A504="","",SUMIFS(Donations!$D:$D,Donations!$G:$G,$A504,Donations!$F:$F,"&gt;="&amp;'Daily Challenges'!$C$8,Donations!$F:$F,"&lt;="&amp;'Daily Challenges'!$D$8))</f>
        <v/>
      </c>
      <c r="H504" s="38">
        <f>IF($A504="","",SUMIFS(Donations!$D:$D,Donations!$G:$G,$A504,Donations!$F:$F,"&lt;="&amp;'Daily Challenges'!$D$9))</f>
        <v/>
      </c>
      <c r="I504" s="38">
        <f>IF($A504="","",SUMIFS(Donations!$D:$D,Donations!$G:$G,$A504,Donations!$F:$F,"&gt;="&amp;'Daily Challenges'!$C$10,Donations!$F:$F,"&lt;="&amp;'Daily Challenges'!$D$10))</f>
        <v/>
      </c>
      <c r="J504" s="38">
        <f>IF($A504="","",SUMIFS(Donations!$D:$D,Donations!$G:$G,$A504,Donations!$F:$F,"&lt;="&amp;'Daily Challenges'!$D$12))</f>
        <v/>
      </c>
    </row>
    <row r="505">
      <c r="A505" s="32" t="n"/>
      <c r="B505" s="32" t="n"/>
      <c r="C505" s="32" t="n"/>
      <c r="D505" s="37">
        <f>IF(A505="","",SUMIFS(Donations!$D:$D,Donations!$G:$G,A505))</f>
        <v/>
      </c>
      <c r="E505" s="35">
        <f>IF(A505="","",IF(D505&gt;0,"Yes",""))</f>
        <v/>
      </c>
      <c r="F505" s="38">
        <f>IF($A505="","",SUMIFS(Donations!$D:$D,Donations!$G:$G,$A505,Donations!$F:$F,"&gt;="&amp;'Daily Challenges'!$C$7,Donations!$F:$F,"&lt;="&amp;'Daily Challenges'!$D$7))</f>
        <v/>
      </c>
      <c r="G505" s="38">
        <f>IF($A505="","",SUMIFS(Donations!$D:$D,Donations!$G:$G,$A505,Donations!$F:$F,"&gt;="&amp;'Daily Challenges'!$C$8,Donations!$F:$F,"&lt;="&amp;'Daily Challenges'!$D$8))</f>
        <v/>
      </c>
      <c r="H505" s="38">
        <f>IF($A505="","",SUMIFS(Donations!$D:$D,Donations!$G:$G,$A505,Donations!$F:$F,"&lt;="&amp;'Daily Challenges'!$D$9))</f>
        <v/>
      </c>
      <c r="I505" s="38">
        <f>IF($A505="","",SUMIFS(Donations!$D:$D,Donations!$G:$G,$A505,Donations!$F:$F,"&gt;="&amp;'Daily Challenges'!$C$10,Donations!$F:$F,"&lt;="&amp;'Daily Challenges'!$D$10))</f>
        <v/>
      </c>
      <c r="J505" s="38">
        <f>IF($A505="","",SUMIFS(Donations!$D:$D,Donations!$G:$G,$A505,Donations!$F:$F,"&lt;="&amp;'Daily Challenges'!$D$12))</f>
        <v/>
      </c>
    </row>
    <row r="506">
      <c r="A506" s="32" t="n"/>
      <c r="B506" s="32" t="n"/>
      <c r="C506" s="32" t="n"/>
      <c r="D506" s="37">
        <f>IF(A506="","",SUMIFS(Donations!$D:$D,Donations!$G:$G,A506))</f>
        <v/>
      </c>
      <c r="E506" s="35">
        <f>IF(A506="","",IF(D506&gt;0,"Yes",""))</f>
        <v/>
      </c>
      <c r="F506" s="38">
        <f>IF($A506="","",SUMIFS(Donations!$D:$D,Donations!$G:$G,$A506,Donations!$F:$F,"&gt;="&amp;'Daily Challenges'!$C$7,Donations!$F:$F,"&lt;="&amp;'Daily Challenges'!$D$7))</f>
        <v/>
      </c>
      <c r="G506" s="38">
        <f>IF($A506="","",SUMIFS(Donations!$D:$D,Donations!$G:$G,$A506,Donations!$F:$F,"&gt;="&amp;'Daily Challenges'!$C$8,Donations!$F:$F,"&lt;="&amp;'Daily Challenges'!$D$8))</f>
        <v/>
      </c>
      <c r="H506" s="38">
        <f>IF($A506="","",SUMIFS(Donations!$D:$D,Donations!$G:$G,$A506,Donations!$F:$F,"&lt;="&amp;'Daily Challenges'!$D$9))</f>
        <v/>
      </c>
      <c r="I506" s="38">
        <f>IF($A506="","",SUMIFS(Donations!$D:$D,Donations!$G:$G,$A506,Donations!$F:$F,"&gt;="&amp;'Daily Challenges'!$C$10,Donations!$F:$F,"&lt;="&amp;'Daily Challenges'!$D$10))</f>
        <v/>
      </c>
      <c r="J506" s="38">
        <f>IF($A506="","",SUMIFS(Donations!$D:$D,Donations!$G:$G,$A506,Donations!$F:$F,"&lt;="&amp;'Daily Challenges'!$D$12))</f>
        <v/>
      </c>
    </row>
    <row r="507">
      <c r="A507" s="32" t="n"/>
      <c r="B507" s="32" t="n"/>
      <c r="C507" s="32" t="n"/>
      <c r="D507" s="37">
        <f>IF(A507="","",SUMIFS(Donations!$D:$D,Donations!$G:$G,A507))</f>
        <v/>
      </c>
      <c r="E507" s="35">
        <f>IF(A507="","",IF(D507&gt;0,"Yes",""))</f>
        <v/>
      </c>
      <c r="F507" s="38">
        <f>IF($A507="","",SUMIFS(Donations!$D:$D,Donations!$G:$G,$A507,Donations!$F:$F,"&gt;="&amp;'Daily Challenges'!$C$7,Donations!$F:$F,"&lt;="&amp;'Daily Challenges'!$D$7))</f>
        <v/>
      </c>
      <c r="G507" s="38">
        <f>IF($A507="","",SUMIFS(Donations!$D:$D,Donations!$G:$G,$A507,Donations!$F:$F,"&gt;="&amp;'Daily Challenges'!$C$8,Donations!$F:$F,"&lt;="&amp;'Daily Challenges'!$D$8))</f>
        <v/>
      </c>
      <c r="H507" s="38">
        <f>IF($A507="","",SUMIFS(Donations!$D:$D,Donations!$G:$G,$A507,Donations!$F:$F,"&lt;="&amp;'Daily Challenges'!$D$9))</f>
        <v/>
      </c>
      <c r="I507" s="38">
        <f>IF($A507="","",SUMIFS(Donations!$D:$D,Donations!$G:$G,$A507,Donations!$F:$F,"&gt;="&amp;'Daily Challenges'!$C$10,Donations!$F:$F,"&lt;="&amp;'Daily Challenges'!$D$10))</f>
        <v/>
      </c>
      <c r="J507" s="38">
        <f>IF($A507="","",SUMIFS(Donations!$D:$D,Donations!$G:$G,$A507,Donations!$F:$F,"&lt;="&amp;'Daily Challenges'!$D$12))</f>
        <v/>
      </c>
    </row>
    <row r="508">
      <c r="A508" s="32" t="n"/>
      <c r="B508" s="32" t="n"/>
      <c r="C508" s="32" t="n"/>
      <c r="D508" s="37">
        <f>IF(A508="","",SUMIFS(Donations!$D:$D,Donations!$G:$G,A508))</f>
        <v/>
      </c>
      <c r="E508" s="35">
        <f>IF(A508="","",IF(D508&gt;0,"Yes",""))</f>
        <v/>
      </c>
      <c r="F508" s="38">
        <f>IF($A508="","",SUMIFS(Donations!$D:$D,Donations!$G:$G,$A508,Donations!$F:$F,"&gt;="&amp;'Daily Challenges'!$C$7,Donations!$F:$F,"&lt;="&amp;'Daily Challenges'!$D$7))</f>
        <v/>
      </c>
      <c r="G508" s="38">
        <f>IF($A508="","",SUMIFS(Donations!$D:$D,Donations!$G:$G,$A508,Donations!$F:$F,"&gt;="&amp;'Daily Challenges'!$C$8,Donations!$F:$F,"&lt;="&amp;'Daily Challenges'!$D$8))</f>
        <v/>
      </c>
      <c r="H508" s="38">
        <f>IF($A508="","",SUMIFS(Donations!$D:$D,Donations!$G:$G,$A508,Donations!$F:$F,"&lt;="&amp;'Daily Challenges'!$D$9))</f>
        <v/>
      </c>
      <c r="I508" s="38">
        <f>IF($A508="","",SUMIFS(Donations!$D:$D,Donations!$G:$G,$A508,Donations!$F:$F,"&gt;="&amp;'Daily Challenges'!$C$10,Donations!$F:$F,"&lt;="&amp;'Daily Challenges'!$D$10))</f>
        <v/>
      </c>
      <c r="J508" s="38">
        <f>IF($A508="","",SUMIFS(Donations!$D:$D,Donations!$G:$G,$A508,Donations!$F:$F,"&lt;="&amp;'Daily Challenges'!$D$12))</f>
        <v/>
      </c>
    </row>
    <row r="509">
      <c r="A509" s="32" t="n"/>
      <c r="B509" s="32" t="n"/>
      <c r="C509" s="32" t="n"/>
      <c r="D509" s="37">
        <f>IF(A509="","",SUMIFS(Donations!$D:$D,Donations!$G:$G,A509))</f>
        <v/>
      </c>
      <c r="E509" s="35">
        <f>IF(A509="","",IF(D509&gt;0,"Yes",""))</f>
        <v/>
      </c>
      <c r="F509" s="38">
        <f>IF($A509="","",SUMIFS(Donations!$D:$D,Donations!$G:$G,$A509,Donations!$F:$F,"&gt;="&amp;'Daily Challenges'!$C$7,Donations!$F:$F,"&lt;="&amp;'Daily Challenges'!$D$7))</f>
        <v/>
      </c>
      <c r="G509" s="38">
        <f>IF($A509="","",SUMIFS(Donations!$D:$D,Donations!$G:$G,$A509,Donations!$F:$F,"&gt;="&amp;'Daily Challenges'!$C$8,Donations!$F:$F,"&lt;="&amp;'Daily Challenges'!$D$8))</f>
        <v/>
      </c>
      <c r="H509" s="38">
        <f>IF($A509="","",SUMIFS(Donations!$D:$D,Donations!$G:$G,$A509,Donations!$F:$F,"&lt;="&amp;'Daily Challenges'!$D$9))</f>
        <v/>
      </c>
      <c r="I509" s="38">
        <f>IF($A509="","",SUMIFS(Donations!$D:$D,Donations!$G:$G,$A509,Donations!$F:$F,"&gt;="&amp;'Daily Challenges'!$C$10,Donations!$F:$F,"&lt;="&amp;'Daily Challenges'!$D$10))</f>
        <v/>
      </c>
      <c r="J509" s="38">
        <f>IF($A509="","",SUMIFS(Donations!$D:$D,Donations!$G:$G,$A509,Donations!$F:$F,"&lt;="&amp;'Daily Challenges'!$D$12))</f>
        <v/>
      </c>
    </row>
    <row r="510">
      <c r="A510" s="32" t="n"/>
      <c r="B510" s="32" t="n"/>
      <c r="C510" s="32" t="n"/>
      <c r="D510" s="37">
        <f>IF(A510="","",SUMIFS(Donations!$D:$D,Donations!$G:$G,A510))</f>
        <v/>
      </c>
      <c r="E510" s="35">
        <f>IF(A510="","",IF(D510&gt;0,"Yes",""))</f>
        <v/>
      </c>
      <c r="F510" s="38">
        <f>IF($A510="","",SUMIFS(Donations!$D:$D,Donations!$G:$G,$A510,Donations!$F:$F,"&gt;="&amp;'Daily Challenges'!$C$7,Donations!$F:$F,"&lt;="&amp;'Daily Challenges'!$D$7))</f>
        <v/>
      </c>
      <c r="G510" s="38">
        <f>IF($A510="","",SUMIFS(Donations!$D:$D,Donations!$G:$G,$A510,Donations!$F:$F,"&gt;="&amp;'Daily Challenges'!$C$8,Donations!$F:$F,"&lt;="&amp;'Daily Challenges'!$D$8))</f>
        <v/>
      </c>
      <c r="H510" s="38">
        <f>IF($A510="","",SUMIFS(Donations!$D:$D,Donations!$G:$G,$A510,Donations!$F:$F,"&lt;="&amp;'Daily Challenges'!$D$9))</f>
        <v/>
      </c>
      <c r="I510" s="38">
        <f>IF($A510="","",SUMIFS(Donations!$D:$D,Donations!$G:$G,$A510,Donations!$F:$F,"&gt;="&amp;'Daily Challenges'!$C$10,Donations!$F:$F,"&lt;="&amp;'Daily Challenges'!$D$10))</f>
        <v/>
      </c>
      <c r="J510" s="38">
        <f>IF($A510="","",SUMIFS(Donations!$D:$D,Donations!$G:$G,$A510,Donations!$F:$F,"&lt;="&amp;'Daily Challenges'!$D$12))</f>
        <v/>
      </c>
    </row>
    <row r="511">
      <c r="A511" s="32" t="n"/>
      <c r="B511" s="32" t="n"/>
      <c r="C511" s="32" t="n"/>
      <c r="D511" s="37">
        <f>IF(A511="","",SUMIFS(Donations!$D:$D,Donations!$G:$G,A511))</f>
        <v/>
      </c>
      <c r="E511" s="35">
        <f>IF(A511="","",IF(D511&gt;0,"Yes",""))</f>
        <v/>
      </c>
      <c r="F511" s="38">
        <f>IF($A511="","",SUMIFS(Donations!$D:$D,Donations!$G:$G,$A511,Donations!$F:$F,"&gt;="&amp;'Daily Challenges'!$C$7,Donations!$F:$F,"&lt;="&amp;'Daily Challenges'!$D$7))</f>
        <v/>
      </c>
      <c r="G511" s="38">
        <f>IF($A511="","",SUMIFS(Donations!$D:$D,Donations!$G:$G,$A511,Donations!$F:$F,"&gt;="&amp;'Daily Challenges'!$C$8,Donations!$F:$F,"&lt;="&amp;'Daily Challenges'!$D$8))</f>
        <v/>
      </c>
      <c r="H511" s="38">
        <f>IF($A511="","",SUMIFS(Donations!$D:$D,Donations!$G:$G,$A511,Donations!$F:$F,"&lt;="&amp;'Daily Challenges'!$D$9))</f>
        <v/>
      </c>
      <c r="I511" s="38">
        <f>IF($A511="","",SUMIFS(Donations!$D:$D,Donations!$G:$G,$A511,Donations!$F:$F,"&gt;="&amp;'Daily Challenges'!$C$10,Donations!$F:$F,"&lt;="&amp;'Daily Challenges'!$D$10))</f>
        <v/>
      </c>
      <c r="J511" s="38">
        <f>IF($A511="","",SUMIFS(Donations!$D:$D,Donations!$G:$G,$A511,Donations!$F:$F,"&lt;="&amp;'Daily Challenges'!$D$12))</f>
        <v/>
      </c>
    </row>
    <row r="512">
      <c r="A512" s="32" t="n"/>
      <c r="B512" s="32" t="n"/>
      <c r="C512" s="32" t="n"/>
      <c r="D512" s="37">
        <f>IF(A512="","",SUMIFS(Donations!$D:$D,Donations!$G:$G,A512))</f>
        <v/>
      </c>
      <c r="E512" s="35">
        <f>IF(A512="","",IF(D512&gt;0,"Yes",""))</f>
        <v/>
      </c>
      <c r="F512" s="38">
        <f>IF($A512="","",SUMIFS(Donations!$D:$D,Donations!$G:$G,$A512,Donations!$F:$F,"&gt;="&amp;'Daily Challenges'!$C$7,Donations!$F:$F,"&lt;="&amp;'Daily Challenges'!$D$7))</f>
        <v/>
      </c>
      <c r="G512" s="38">
        <f>IF($A512="","",SUMIFS(Donations!$D:$D,Donations!$G:$G,$A512,Donations!$F:$F,"&gt;="&amp;'Daily Challenges'!$C$8,Donations!$F:$F,"&lt;="&amp;'Daily Challenges'!$D$8))</f>
        <v/>
      </c>
      <c r="H512" s="38">
        <f>IF($A512="","",SUMIFS(Donations!$D:$D,Donations!$G:$G,$A512,Donations!$F:$F,"&lt;="&amp;'Daily Challenges'!$D$9))</f>
        <v/>
      </c>
      <c r="I512" s="38">
        <f>IF($A512="","",SUMIFS(Donations!$D:$D,Donations!$G:$G,$A512,Donations!$F:$F,"&gt;="&amp;'Daily Challenges'!$C$10,Donations!$F:$F,"&lt;="&amp;'Daily Challenges'!$D$10))</f>
        <v/>
      </c>
      <c r="J512" s="38">
        <f>IF($A512="","",SUMIFS(Donations!$D:$D,Donations!$G:$G,$A512,Donations!$F:$F,"&lt;="&amp;'Daily Challenges'!$D$12))</f>
        <v/>
      </c>
    </row>
    <row r="513">
      <c r="A513" s="32" t="n"/>
      <c r="B513" s="32" t="n"/>
      <c r="C513" s="32" t="n"/>
      <c r="D513" s="37">
        <f>IF(A513="","",SUMIFS(Donations!$D:$D,Donations!$G:$G,A513))</f>
        <v/>
      </c>
      <c r="E513" s="35">
        <f>IF(A513="","",IF(D513&gt;0,"Yes",""))</f>
        <v/>
      </c>
      <c r="F513" s="38">
        <f>IF($A513="","",SUMIFS(Donations!$D:$D,Donations!$G:$G,$A513,Donations!$F:$F,"&gt;="&amp;'Daily Challenges'!$C$7,Donations!$F:$F,"&lt;="&amp;'Daily Challenges'!$D$7))</f>
        <v/>
      </c>
      <c r="G513" s="38">
        <f>IF($A513="","",SUMIFS(Donations!$D:$D,Donations!$G:$G,$A513,Donations!$F:$F,"&gt;="&amp;'Daily Challenges'!$C$8,Donations!$F:$F,"&lt;="&amp;'Daily Challenges'!$D$8))</f>
        <v/>
      </c>
      <c r="H513" s="38">
        <f>IF($A513="","",SUMIFS(Donations!$D:$D,Donations!$G:$G,$A513,Donations!$F:$F,"&lt;="&amp;'Daily Challenges'!$D$9))</f>
        <v/>
      </c>
      <c r="I513" s="38">
        <f>IF($A513="","",SUMIFS(Donations!$D:$D,Donations!$G:$G,$A513,Donations!$F:$F,"&gt;="&amp;'Daily Challenges'!$C$10,Donations!$F:$F,"&lt;="&amp;'Daily Challenges'!$D$10))</f>
        <v/>
      </c>
      <c r="J513" s="38">
        <f>IF($A513="","",SUMIFS(Donations!$D:$D,Donations!$G:$G,$A513,Donations!$F:$F,"&lt;="&amp;'Daily Challenges'!$D$12))</f>
        <v/>
      </c>
    </row>
    <row r="514">
      <c r="A514" s="32" t="n"/>
      <c r="B514" s="32" t="n"/>
      <c r="C514" s="32" t="n"/>
      <c r="D514" s="37">
        <f>IF(A514="","",SUMIFS(Donations!$D:$D,Donations!$G:$G,A514))</f>
        <v/>
      </c>
      <c r="E514" s="35">
        <f>IF(A514="","",IF(D514&gt;0,"Yes",""))</f>
        <v/>
      </c>
      <c r="F514" s="38">
        <f>IF($A514="","",SUMIFS(Donations!$D:$D,Donations!$G:$G,$A514,Donations!$F:$F,"&gt;="&amp;'Daily Challenges'!$C$7,Donations!$F:$F,"&lt;="&amp;'Daily Challenges'!$D$7))</f>
        <v/>
      </c>
      <c r="G514" s="38">
        <f>IF($A514="","",SUMIFS(Donations!$D:$D,Donations!$G:$G,$A514,Donations!$F:$F,"&gt;="&amp;'Daily Challenges'!$C$8,Donations!$F:$F,"&lt;="&amp;'Daily Challenges'!$D$8))</f>
        <v/>
      </c>
      <c r="H514" s="38">
        <f>IF($A514="","",SUMIFS(Donations!$D:$D,Donations!$G:$G,$A514,Donations!$F:$F,"&lt;="&amp;'Daily Challenges'!$D$9))</f>
        <v/>
      </c>
      <c r="I514" s="38">
        <f>IF($A514="","",SUMIFS(Donations!$D:$D,Donations!$G:$G,$A514,Donations!$F:$F,"&gt;="&amp;'Daily Challenges'!$C$10,Donations!$F:$F,"&lt;="&amp;'Daily Challenges'!$D$10))</f>
        <v/>
      </c>
      <c r="J514" s="38">
        <f>IF($A514="","",SUMIFS(Donations!$D:$D,Donations!$G:$G,$A514,Donations!$F:$F,"&lt;="&amp;'Daily Challenges'!$D$12))</f>
        <v/>
      </c>
    </row>
    <row r="515">
      <c r="A515" s="32" t="n"/>
      <c r="B515" s="32" t="n"/>
      <c r="C515" s="32" t="n"/>
      <c r="D515" s="37">
        <f>IF(A515="","",SUMIFS(Donations!$D:$D,Donations!$G:$G,A515))</f>
        <v/>
      </c>
      <c r="E515" s="35">
        <f>IF(A515="","",IF(D515&gt;0,"Yes",""))</f>
        <v/>
      </c>
      <c r="F515" s="38">
        <f>IF($A515="","",SUMIFS(Donations!$D:$D,Donations!$G:$G,$A515,Donations!$F:$F,"&gt;="&amp;'Daily Challenges'!$C$7,Donations!$F:$F,"&lt;="&amp;'Daily Challenges'!$D$7))</f>
        <v/>
      </c>
      <c r="G515" s="38">
        <f>IF($A515="","",SUMIFS(Donations!$D:$D,Donations!$G:$G,$A515,Donations!$F:$F,"&gt;="&amp;'Daily Challenges'!$C$8,Donations!$F:$F,"&lt;="&amp;'Daily Challenges'!$D$8))</f>
        <v/>
      </c>
      <c r="H515" s="38">
        <f>IF($A515="","",SUMIFS(Donations!$D:$D,Donations!$G:$G,$A515,Donations!$F:$F,"&lt;="&amp;'Daily Challenges'!$D$9))</f>
        <v/>
      </c>
      <c r="I515" s="38">
        <f>IF($A515="","",SUMIFS(Donations!$D:$D,Donations!$G:$G,$A515,Donations!$F:$F,"&gt;="&amp;'Daily Challenges'!$C$10,Donations!$F:$F,"&lt;="&amp;'Daily Challenges'!$D$10))</f>
        <v/>
      </c>
      <c r="J515" s="38">
        <f>IF($A515="","",SUMIFS(Donations!$D:$D,Donations!$G:$G,$A515,Donations!$F:$F,"&lt;="&amp;'Daily Challenges'!$D$12))</f>
        <v/>
      </c>
    </row>
    <row r="516">
      <c r="A516" s="32" t="n"/>
      <c r="B516" s="32" t="n"/>
      <c r="C516" s="32" t="n"/>
      <c r="D516" s="37">
        <f>IF(A516="","",SUMIFS(Donations!$D:$D,Donations!$G:$G,A516))</f>
        <v/>
      </c>
      <c r="E516" s="35">
        <f>IF(A516="","",IF(D516&gt;0,"Yes",""))</f>
        <v/>
      </c>
      <c r="F516" s="38">
        <f>IF($A516="","",SUMIFS(Donations!$D:$D,Donations!$G:$G,$A516,Donations!$F:$F,"&gt;="&amp;'Daily Challenges'!$C$7,Donations!$F:$F,"&lt;="&amp;'Daily Challenges'!$D$7))</f>
        <v/>
      </c>
      <c r="G516" s="38">
        <f>IF($A516="","",SUMIFS(Donations!$D:$D,Donations!$G:$G,$A516,Donations!$F:$F,"&gt;="&amp;'Daily Challenges'!$C$8,Donations!$F:$F,"&lt;="&amp;'Daily Challenges'!$D$8))</f>
        <v/>
      </c>
      <c r="H516" s="38">
        <f>IF($A516="","",SUMIFS(Donations!$D:$D,Donations!$G:$G,$A516,Donations!$F:$F,"&lt;="&amp;'Daily Challenges'!$D$9))</f>
        <v/>
      </c>
      <c r="I516" s="38">
        <f>IF($A516="","",SUMIFS(Donations!$D:$D,Donations!$G:$G,$A516,Donations!$F:$F,"&gt;="&amp;'Daily Challenges'!$C$10,Donations!$F:$F,"&lt;="&amp;'Daily Challenges'!$D$10))</f>
        <v/>
      </c>
      <c r="J516" s="38">
        <f>IF($A516="","",SUMIFS(Donations!$D:$D,Donations!$G:$G,$A516,Donations!$F:$F,"&lt;="&amp;'Daily Challenges'!$D$12))</f>
        <v/>
      </c>
    </row>
    <row r="517">
      <c r="A517" s="32" t="n"/>
      <c r="B517" s="32" t="n"/>
      <c r="C517" s="32" t="n"/>
      <c r="D517" s="37">
        <f>IF(A517="","",SUMIFS(Donations!$D:$D,Donations!$G:$G,A517))</f>
        <v/>
      </c>
      <c r="E517" s="35">
        <f>IF(A517="","",IF(D517&gt;0,"Yes",""))</f>
        <v/>
      </c>
      <c r="F517" s="38">
        <f>IF($A517="","",SUMIFS(Donations!$D:$D,Donations!$G:$G,$A517,Donations!$F:$F,"&gt;="&amp;'Daily Challenges'!$C$7,Donations!$F:$F,"&lt;="&amp;'Daily Challenges'!$D$7))</f>
        <v/>
      </c>
      <c r="G517" s="38">
        <f>IF($A517="","",SUMIFS(Donations!$D:$D,Donations!$G:$G,$A517,Donations!$F:$F,"&gt;="&amp;'Daily Challenges'!$C$8,Donations!$F:$F,"&lt;="&amp;'Daily Challenges'!$D$8))</f>
        <v/>
      </c>
      <c r="H517" s="38">
        <f>IF($A517="","",SUMIFS(Donations!$D:$D,Donations!$G:$G,$A517,Donations!$F:$F,"&lt;="&amp;'Daily Challenges'!$D$9))</f>
        <v/>
      </c>
      <c r="I517" s="38">
        <f>IF($A517="","",SUMIFS(Donations!$D:$D,Donations!$G:$G,$A517,Donations!$F:$F,"&gt;="&amp;'Daily Challenges'!$C$10,Donations!$F:$F,"&lt;="&amp;'Daily Challenges'!$D$10))</f>
        <v/>
      </c>
      <c r="J517" s="38">
        <f>IF($A517="","",SUMIFS(Donations!$D:$D,Donations!$G:$G,$A517,Donations!$F:$F,"&lt;="&amp;'Daily Challenges'!$D$12))</f>
        <v/>
      </c>
    </row>
    <row r="518">
      <c r="A518" s="32" t="n"/>
      <c r="B518" s="32" t="n"/>
      <c r="C518" s="32" t="n"/>
      <c r="D518" s="37">
        <f>IF(A518="","",SUMIFS(Donations!$D:$D,Donations!$G:$G,A518))</f>
        <v/>
      </c>
      <c r="E518" s="35">
        <f>IF(A518="","",IF(D518&gt;0,"Yes",""))</f>
        <v/>
      </c>
      <c r="F518" s="38">
        <f>IF($A518="","",SUMIFS(Donations!$D:$D,Donations!$G:$G,$A518,Donations!$F:$F,"&gt;="&amp;'Daily Challenges'!$C$7,Donations!$F:$F,"&lt;="&amp;'Daily Challenges'!$D$7))</f>
        <v/>
      </c>
      <c r="G518" s="38">
        <f>IF($A518="","",SUMIFS(Donations!$D:$D,Donations!$G:$G,$A518,Donations!$F:$F,"&gt;="&amp;'Daily Challenges'!$C$8,Donations!$F:$F,"&lt;="&amp;'Daily Challenges'!$D$8))</f>
        <v/>
      </c>
      <c r="H518" s="38">
        <f>IF($A518="","",SUMIFS(Donations!$D:$D,Donations!$G:$G,$A518,Donations!$F:$F,"&lt;="&amp;'Daily Challenges'!$D$9))</f>
        <v/>
      </c>
      <c r="I518" s="38">
        <f>IF($A518="","",SUMIFS(Donations!$D:$D,Donations!$G:$G,$A518,Donations!$F:$F,"&gt;="&amp;'Daily Challenges'!$C$10,Donations!$F:$F,"&lt;="&amp;'Daily Challenges'!$D$10))</f>
        <v/>
      </c>
      <c r="J518" s="38">
        <f>IF($A518="","",SUMIFS(Donations!$D:$D,Donations!$G:$G,$A518,Donations!$F:$F,"&lt;="&amp;'Daily Challenges'!$D$12))</f>
        <v/>
      </c>
    </row>
    <row r="519">
      <c r="A519" s="32" t="n"/>
      <c r="B519" s="32" t="n"/>
      <c r="C519" s="32" t="n"/>
      <c r="D519" s="37">
        <f>IF(A519="","",SUMIFS(Donations!$D:$D,Donations!$G:$G,A519))</f>
        <v/>
      </c>
      <c r="E519" s="35">
        <f>IF(A519="","",IF(D519&gt;0,"Yes",""))</f>
        <v/>
      </c>
      <c r="F519" s="38">
        <f>IF($A519="","",SUMIFS(Donations!$D:$D,Donations!$G:$G,$A519,Donations!$F:$F,"&gt;="&amp;'Daily Challenges'!$C$7,Donations!$F:$F,"&lt;="&amp;'Daily Challenges'!$D$7))</f>
        <v/>
      </c>
      <c r="G519" s="38">
        <f>IF($A519="","",SUMIFS(Donations!$D:$D,Donations!$G:$G,$A519,Donations!$F:$F,"&gt;="&amp;'Daily Challenges'!$C$8,Donations!$F:$F,"&lt;="&amp;'Daily Challenges'!$D$8))</f>
        <v/>
      </c>
      <c r="H519" s="38">
        <f>IF($A519="","",SUMIFS(Donations!$D:$D,Donations!$G:$G,$A519,Donations!$F:$F,"&lt;="&amp;'Daily Challenges'!$D$9))</f>
        <v/>
      </c>
      <c r="I519" s="38">
        <f>IF($A519="","",SUMIFS(Donations!$D:$D,Donations!$G:$G,$A519,Donations!$F:$F,"&gt;="&amp;'Daily Challenges'!$C$10,Donations!$F:$F,"&lt;="&amp;'Daily Challenges'!$D$10))</f>
        <v/>
      </c>
      <c r="J519" s="38">
        <f>IF($A519="","",SUMIFS(Donations!$D:$D,Donations!$G:$G,$A519,Donations!$F:$F,"&lt;="&amp;'Daily Challenges'!$D$12))</f>
        <v/>
      </c>
    </row>
    <row r="520">
      <c r="A520" s="32" t="n"/>
      <c r="B520" s="32" t="n"/>
      <c r="C520" s="32" t="n"/>
      <c r="D520" s="37">
        <f>IF(A520="","",SUMIFS(Donations!$D:$D,Donations!$G:$G,A520))</f>
        <v/>
      </c>
      <c r="E520" s="35">
        <f>IF(A520="","",IF(D520&gt;0,"Yes",""))</f>
        <v/>
      </c>
      <c r="F520" s="38">
        <f>IF($A520="","",SUMIFS(Donations!$D:$D,Donations!$G:$G,$A520,Donations!$F:$F,"&gt;="&amp;'Daily Challenges'!$C$7,Donations!$F:$F,"&lt;="&amp;'Daily Challenges'!$D$7))</f>
        <v/>
      </c>
      <c r="G520" s="38">
        <f>IF($A520="","",SUMIFS(Donations!$D:$D,Donations!$G:$G,$A520,Donations!$F:$F,"&gt;="&amp;'Daily Challenges'!$C$8,Donations!$F:$F,"&lt;="&amp;'Daily Challenges'!$D$8))</f>
        <v/>
      </c>
      <c r="H520" s="38">
        <f>IF($A520="","",SUMIFS(Donations!$D:$D,Donations!$G:$G,$A520,Donations!$F:$F,"&lt;="&amp;'Daily Challenges'!$D$9))</f>
        <v/>
      </c>
      <c r="I520" s="38">
        <f>IF($A520="","",SUMIFS(Donations!$D:$D,Donations!$G:$G,$A520,Donations!$F:$F,"&gt;="&amp;'Daily Challenges'!$C$10,Donations!$F:$F,"&lt;="&amp;'Daily Challenges'!$D$10))</f>
        <v/>
      </c>
      <c r="J520" s="38">
        <f>IF($A520="","",SUMIFS(Donations!$D:$D,Donations!$G:$G,$A520,Donations!$F:$F,"&lt;="&amp;'Daily Challenges'!$D$12))</f>
        <v/>
      </c>
    </row>
    <row r="521">
      <c r="A521" s="32" t="n"/>
      <c r="B521" s="32" t="n"/>
      <c r="C521" s="32" t="n"/>
      <c r="D521" s="37">
        <f>IF(A521="","",SUMIFS(Donations!$D:$D,Donations!$G:$G,A521))</f>
        <v/>
      </c>
      <c r="E521" s="35">
        <f>IF(A521="","",IF(D521&gt;0,"Yes",""))</f>
        <v/>
      </c>
      <c r="F521" s="38">
        <f>IF($A521="","",SUMIFS(Donations!$D:$D,Donations!$G:$G,$A521,Donations!$F:$F,"&gt;="&amp;'Daily Challenges'!$C$7,Donations!$F:$F,"&lt;="&amp;'Daily Challenges'!$D$7))</f>
        <v/>
      </c>
      <c r="G521" s="38">
        <f>IF($A521="","",SUMIFS(Donations!$D:$D,Donations!$G:$G,$A521,Donations!$F:$F,"&gt;="&amp;'Daily Challenges'!$C$8,Donations!$F:$F,"&lt;="&amp;'Daily Challenges'!$D$8))</f>
        <v/>
      </c>
      <c r="H521" s="38">
        <f>IF($A521="","",SUMIFS(Donations!$D:$D,Donations!$G:$G,$A521,Donations!$F:$F,"&lt;="&amp;'Daily Challenges'!$D$9))</f>
        <v/>
      </c>
      <c r="I521" s="38">
        <f>IF($A521="","",SUMIFS(Donations!$D:$D,Donations!$G:$G,$A521,Donations!$F:$F,"&gt;="&amp;'Daily Challenges'!$C$10,Donations!$F:$F,"&lt;="&amp;'Daily Challenges'!$D$10))</f>
        <v/>
      </c>
      <c r="J521" s="38">
        <f>IF($A521="","",SUMIFS(Donations!$D:$D,Donations!$G:$G,$A521,Donations!$F:$F,"&lt;="&amp;'Daily Challenges'!$D$12))</f>
        <v/>
      </c>
    </row>
    <row r="522">
      <c r="A522" s="32" t="n"/>
      <c r="B522" s="32" t="n"/>
      <c r="C522" s="32" t="n"/>
      <c r="D522" s="37">
        <f>IF(A522="","",SUMIFS(Donations!$D:$D,Donations!$G:$G,A522))</f>
        <v/>
      </c>
      <c r="E522" s="35">
        <f>IF(A522="","",IF(D522&gt;0,"Yes",""))</f>
        <v/>
      </c>
      <c r="F522" s="38">
        <f>IF($A522="","",SUMIFS(Donations!$D:$D,Donations!$G:$G,$A522,Donations!$F:$F,"&gt;="&amp;'Daily Challenges'!$C$7,Donations!$F:$F,"&lt;="&amp;'Daily Challenges'!$D$7))</f>
        <v/>
      </c>
      <c r="G522" s="38">
        <f>IF($A522="","",SUMIFS(Donations!$D:$D,Donations!$G:$G,$A522,Donations!$F:$F,"&gt;="&amp;'Daily Challenges'!$C$8,Donations!$F:$F,"&lt;="&amp;'Daily Challenges'!$D$8))</f>
        <v/>
      </c>
      <c r="H522" s="38">
        <f>IF($A522="","",SUMIFS(Donations!$D:$D,Donations!$G:$G,$A522,Donations!$F:$F,"&lt;="&amp;'Daily Challenges'!$D$9))</f>
        <v/>
      </c>
      <c r="I522" s="38">
        <f>IF($A522="","",SUMIFS(Donations!$D:$D,Donations!$G:$G,$A522,Donations!$F:$F,"&gt;="&amp;'Daily Challenges'!$C$10,Donations!$F:$F,"&lt;="&amp;'Daily Challenges'!$D$10))</f>
        <v/>
      </c>
      <c r="J522" s="38">
        <f>IF($A522="","",SUMIFS(Donations!$D:$D,Donations!$G:$G,$A522,Donations!$F:$F,"&lt;="&amp;'Daily Challenges'!$D$12))</f>
        <v/>
      </c>
    </row>
    <row r="523">
      <c r="A523" s="32" t="n"/>
      <c r="B523" s="32" t="n"/>
      <c r="C523" s="32" t="n"/>
      <c r="D523" s="37">
        <f>IF(A523="","",SUMIFS(Donations!$D:$D,Donations!$G:$G,A523))</f>
        <v/>
      </c>
      <c r="E523" s="35">
        <f>IF(A523="","",IF(D523&gt;0,"Yes",""))</f>
        <v/>
      </c>
      <c r="F523" s="38">
        <f>IF($A523="","",SUMIFS(Donations!$D:$D,Donations!$G:$G,$A523,Donations!$F:$F,"&gt;="&amp;'Daily Challenges'!$C$7,Donations!$F:$F,"&lt;="&amp;'Daily Challenges'!$D$7))</f>
        <v/>
      </c>
      <c r="G523" s="38">
        <f>IF($A523="","",SUMIFS(Donations!$D:$D,Donations!$G:$G,$A523,Donations!$F:$F,"&gt;="&amp;'Daily Challenges'!$C$8,Donations!$F:$F,"&lt;="&amp;'Daily Challenges'!$D$8))</f>
        <v/>
      </c>
      <c r="H523" s="38">
        <f>IF($A523="","",SUMIFS(Donations!$D:$D,Donations!$G:$G,$A523,Donations!$F:$F,"&lt;="&amp;'Daily Challenges'!$D$9))</f>
        <v/>
      </c>
      <c r="I523" s="38">
        <f>IF($A523="","",SUMIFS(Donations!$D:$D,Donations!$G:$G,$A523,Donations!$F:$F,"&gt;="&amp;'Daily Challenges'!$C$10,Donations!$F:$F,"&lt;="&amp;'Daily Challenges'!$D$10))</f>
        <v/>
      </c>
      <c r="J523" s="38">
        <f>IF($A523="","",SUMIFS(Donations!$D:$D,Donations!$G:$G,$A523,Donations!$F:$F,"&lt;="&amp;'Daily Challenges'!$D$12))</f>
        <v/>
      </c>
    </row>
    <row r="524">
      <c r="A524" s="32" t="n"/>
      <c r="B524" s="32" t="n"/>
      <c r="C524" s="32" t="n"/>
      <c r="D524" s="37">
        <f>IF(A524="","",SUMIFS(Donations!$D:$D,Donations!$G:$G,A524))</f>
        <v/>
      </c>
      <c r="E524" s="35">
        <f>IF(A524="","",IF(D524&gt;0,"Yes",""))</f>
        <v/>
      </c>
      <c r="F524" s="38">
        <f>IF($A524="","",SUMIFS(Donations!$D:$D,Donations!$G:$G,$A524,Donations!$F:$F,"&gt;="&amp;'Daily Challenges'!$C$7,Donations!$F:$F,"&lt;="&amp;'Daily Challenges'!$D$7))</f>
        <v/>
      </c>
      <c r="G524" s="38">
        <f>IF($A524="","",SUMIFS(Donations!$D:$D,Donations!$G:$G,$A524,Donations!$F:$F,"&gt;="&amp;'Daily Challenges'!$C$8,Donations!$F:$F,"&lt;="&amp;'Daily Challenges'!$D$8))</f>
        <v/>
      </c>
      <c r="H524" s="38">
        <f>IF($A524="","",SUMIFS(Donations!$D:$D,Donations!$G:$G,$A524,Donations!$F:$F,"&lt;="&amp;'Daily Challenges'!$D$9))</f>
        <v/>
      </c>
      <c r="I524" s="38">
        <f>IF($A524="","",SUMIFS(Donations!$D:$D,Donations!$G:$G,$A524,Donations!$F:$F,"&gt;="&amp;'Daily Challenges'!$C$10,Donations!$F:$F,"&lt;="&amp;'Daily Challenges'!$D$10))</f>
        <v/>
      </c>
      <c r="J524" s="38">
        <f>IF($A524="","",SUMIFS(Donations!$D:$D,Donations!$G:$G,$A524,Donations!$F:$F,"&lt;="&amp;'Daily Challenges'!$D$12))</f>
        <v/>
      </c>
    </row>
    <row r="525">
      <c r="A525" s="32" t="n"/>
      <c r="B525" s="32" t="n"/>
      <c r="C525" s="32" t="n"/>
      <c r="D525" s="37">
        <f>IF(A525="","",SUMIFS(Donations!$D:$D,Donations!$G:$G,A525))</f>
        <v/>
      </c>
      <c r="E525" s="35">
        <f>IF(A525="","",IF(D525&gt;0,"Yes",""))</f>
        <v/>
      </c>
      <c r="F525" s="38">
        <f>IF($A525="","",SUMIFS(Donations!$D:$D,Donations!$G:$G,$A525,Donations!$F:$F,"&gt;="&amp;'Daily Challenges'!$C$7,Donations!$F:$F,"&lt;="&amp;'Daily Challenges'!$D$7))</f>
        <v/>
      </c>
      <c r="G525" s="38">
        <f>IF($A525="","",SUMIFS(Donations!$D:$D,Donations!$G:$G,$A525,Donations!$F:$F,"&gt;="&amp;'Daily Challenges'!$C$8,Donations!$F:$F,"&lt;="&amp;'Daily Challenges'!$D$8))</f>
        <v/>
      </c>
      <c r="H525" s="38">
        <f>IF($A525="","",SUMIFS(Donations!$D:$D,Donations!$G:$G,$A525,Donations!$F:$F,"&lt;="&amp;'Daily Challenges'!$D$9))</f>
        <v/>
      </c>
      <c r="I525" s="38">
        <f>IF($A525="","",SUMIFS(Donations!$D:$D,Donations!$G:$G,$A525,Donations!$F:$F,"&gt;="&amp;'Daily Challenges'!$C$10,Donations!$F:$F,"&lt;="&amp;'Daily Challenges'!$D$10))</f>
        <v/>
      </c>
      <c r="J525" s="38">
        <f>IF($A525="","",SUMIFS(Donations!$D:$D,Donations!$G:$G,$A525,Donations!$F:$F,"&lt;="&amp;'Daily Challenges'!$D$12))</f>
        <v/>
      </c>
    </row>
    <row r="526">
      <c r="A526" s="32" t="n"/>
      <c r="B526" s="32" t="n"/>
      <c r="C526" s="32" t="n"/>
      <c r="D526" s="37">
        <f>IF(A526="","",SUMIFS(Donations!$D:$D,Donations!$G:$G,A526))</f>
        <v/>
      </c>
      <c r="E526" s="35">
        <f>IF(A526="","",IF(D526&gt;0,"Yes",""))</f>
        <v/>
      </c>
      <c r="F526" s="38">
        <f>IF($A526="","",SUMIFS(Donations!$D:$D,Donations!$G:$G,$A526,Donations!$F:$F,"&gt;="&amp;'Daily Challenges'!$C$7,Donations!$F:$F,"&lt;="&amp;'Daily Challenges'!$D$7))</f>
        <v/>
      </c>
      <c r="G526" s="38">
        <f>IF($A526="","",SUMIFS(Donations!$D:$D,Donations!$G:$G,$A526,Donations!$F:$F,"&gt;="&amp;'Daily Challenges'!$C$8,Donations!$F:$F,"&lt;="&amp;'Daily Challenges'!$D$8))</f>
        <v/>
      </c>
      <c r="H526" s="38">
        <f>IF($A526="","",SUMIFS(Donations!$D:$D,Donations!$G:$G,$A526,Donations!$F:$F,"&lt;="&amp;'Daily Challenges'!$D$9))</f>
        <v/>
      </c>
      <c r="I526" s="38">
        <f>IF($A526="","",SUMIFS(Donations!$D:$D,Donations!$G:$G,$A526,Donations!$F:$F,"&gt;="&amp;'Daily Challenges'!$C$10,Donations!$F:$F,"&lt;="&amp;'Daily Challenges'!$D$10))</f>
        <v/>
      </c>
      <c r="J526" s="38">
        <f>IF($A526="","",SUMIFS(Donations!$D:$D,Donations!$G:$G,$A526,Donations!$F:$F,"&lt;="&amp;'Daily Challenges'!$D$12))</f>
        <v/>
      </c>
    </row>
    <row r="527">
      <c r="A527" s="32" t="n"/>
      <c r="B527" s="32" t="n"/>
      <c r="C527" s="32" t="n"/>
      <c r="D527" s="37">
        <f>IF(A527="","",SUMIFS(Donations!$D:$D,Donations!$G:$G,A527))</f>
        <v/>
      </c>
      <c r="E527" s="35">
        <f>IF(A527="","",IF(D527&gt;0,"Yes",""))</f>
        <v/>
      </c>
      <c r="F527" s="38">
        <f>IF($A527="","",SUMIFS(Donations!$D:$D,Donations!$G:$G,$A527,Donations!$F:$F,"&gt;="&amp;'Daily Challenges'!$C$7,Donations!$F:$F,"&lt;="&amp;'Daily Challenges'!$D$7))</f>
        <v/>
      </c>
      <c r="G527" s="38">
        <f>IF($A527="","",SUMIFS(Donations!$D:$D,Donations!$G:$G,$A527,Donations!$F:$F,"&gt;="&amp;'Daily Challenges'!$C$8,Donations!$F:$F,"&lt;="&amp;'Daily Challenges'!$D$8))</f>
        <v/>
      </c>
      <c r="H527" s="38">
        <f>IF($A527="","",SUMIFS(Donations!$D:$D,Donations!$G:$G,$A527,Donations!$F:$F,"&lt;="&amp;'Daily Challenges'!$D$9))</f>
        <v/>
      </c>
      <c r="I527" s="38">
        <f>IF($A527="","",SUMIFS(Donations!$D:$D,Donations!$G:$G,$A527,Donations!$F:$F,"&gt;="&amp;'Daily Challenges'!$C$10,Donations!$F:$F,"&lt;="&amp;'Daily Challenges'!$D$10))</f>
        <v/>
      </c>
      <c r="J527" s="38">
        <f>IF($A527="","",SUMIFS(Donations!$D:$D,Donations!$G:$G,$A527,Donations!$F:$F,"&lt;="&amp;'Daily Challenges'!$D$12))</f>
        <v/>
      </c>
    </row>
    <row r="528">
      <c r="A528" s="32" t="n"/>
      <c r="B528" s="32" t="n"/>
      <c r="C528" s="32" t="n"/>
      <c r="D528" s="37">
        <f>IF(A528="","",SUMIFS(Donations!$D:$D,Donations!$G:$G,A528))</f>
        <v/>
      </c>
      <c r="E528" s="35">
        <f>IF(A528="","",IF(D528&gt;0,"Yes",""))</f>
        <v/>
      </c>
      <c r="F528" s="38">
        <f>IF($A528="","",SUMIFS(Donations!$D:$D,Donations!$G:$G,$A528,Donations!$F:$F,"&gt;="&amp;'Daily Challenges'!$C$7,Donations!$F:$F,"&lt;="&amp;'Daily Challenges'!$D$7))</f>
        <v/>
      </c>
      <c r="G528" s="38">
        <f>IF($A528="","",SUMIFS(Donations!$D:$D,Donations!$G:$G,$A528,Donations!$F:$F,"&gt;="&amp;'Daily Challenges'!$C$8,Donations!$F:$F,"&lt;="&amp;'Daily Challenges'!$D$8))</f>
        <v/>
      </c>
      <c r="H528" s="38">
        <f>IF($A528="","",SUMIFS(Donations!$D:$D,Donations!$G:$G,$A528,Donations!$F:$F,"&lt;="&amp;'Daily Challenges'!$D$9))</f>
        <v/>
      </c>
      <c r="I528" s="38">
        <f>IF($A528="","",SUMIFS(Donations!$D:$D,Donations!$G:$G,$A528,Donations!$F:$F,"&gt;="&amp;'Daily Challenges'!$C$10,Donations!$F:$F,"&lt;="&amp;'Daily Challenges'!$D$10))</f>
        <v/>
      </c>
      <c r="J528" s="38">
        <f>IF($A528="","",SUMIFS(Donations!$D:$D,Donations!$G:$G,$A528,Donations!$F:$F,"&lt;="&amp;'Daily Challenges'!$D$12))</f>
        <v/>
      </c>
    </row>
    <row r="529">
      <c r="A529" s="32" t="n"/>
      <c r="B529" s="32" t="n"/>
      <c r="C529" s="32" t="n"/>
      <c r="D529" s="37">
        <f>IF(A529="","",SUMIFS(Donations!$D:$D,Donations!$G:$G,A529))</f>
        <v/>
      </c>
      <c r="E529" s="35">
        <f>IF(A529="","",IF(D529&gt;0,"Yes",""))</f>
        <v/>
      </c>
      <c r="F529" s="38">
        <f>IF($A529="","",SUMIFS(Donations!$D:$D,Donations!$G:$G,$A529,Donations!$F:$F,"&gt;="&amp;'Daily Challenges'!$C$7,Donations!$F:$F,"&lt;="&amp;'Daily Challenges'!$D$7))</f>
        <v/>
      </c>
      <c r="G529" s="38">
        <f>IF($A529="","",SUMIFS(Donations!$D:$D,Donations!$G:$G,$A529,Donations!$F:$F,"&gt;="&amp;'Daily Challenges'!$C$8,Donations!$F:$F,"&lt;="&amp;'Daily Challenges'!$D$8))</f>
        <v/>
      </c>
      <c r="H529" s="38">
        <f>IF($A529="","",SUMIFS(Donations!$D:$D,Donations!$G:$G,$A529,Donations!$F:$F,"&lt;="&amp;'Daily Challenges'!$D$9))</f>
        <v/>
      </c>
      <c r="I529" s="38">
        <f>IF($A529="","",SUMIFS(Donations!$D:$D,Donations!$G:$G,$A529,Donations!$F:$F,"&gt;="&amp;'Daily Challenges'!$C$10,Donations!$F:$F,"&lt;="&amp;'Daily Challenges'!$D$10))</f>
        <v/>
      </c>
      <c r="J529" s="38">
        <f>IF($A529="","",SUMIFS(Donations!$D:$D,Donations!$G:$G,$A529,Donations!$F:$F,"&lt;="&amp;'Daily Challenges'!$D$12))</f>
        <v/>
      </c>
    </row>
    <row r="530">
      <c r="A530" s="32" t="n"/>
      <c r="B530" s="32" t="n"/>
      <c r="C530" s="32" t="n"/>
      <c r="D530" s="37">
        <f>IF(A530="","",SUMIFS(Donations!$D:$D,Donations!$G:$G,A530))</f>
        <v/>
      </c>
      <c r="E530" s="35">
        <f>IF(A530="","",IF(D530&gt;0,"Yes",""))</f>
        <v/>
      </c>
      <c r="F530" s="38">
        <f>IF($A530="","",SUMIFS(Donations!$D:$D,Donations!$G:$G,$A530,Donations!$F:$F,"&gt;="&amp;'Daily Challenges'!$C$7,Donations!$F:$F,"&lt;="&amp;'Daily Challenges'!$D$7))</f>
        <v/>
      </c>
      <c r="G530" s="38">
        <f>IF($A530="","",SUMIFS(Donations!$D:$D,Donations!$G:$G,$A530,Donations!$F:$F,"&gt;="&amp;'Daily Challenges'!$C$8,Donations!$F:$F,"&lt;="&amp;'Daily Challenges'!$D$8))</f>
        <v/>
      </c>
      <c r="H530" s="38">
        <f>IF($A530="","",SUMIFS(Donations!$D:$D,Donations!$G:$G,$A530,Donations!$F:$F,"&lt;="&amp;'Daily Challenges'!$D$9))</f>
        <v/>
      </c>
      <c r="I530" s="38">
        <f>IF($A530="","",SUMIFS(Donations!$D:$D,Donations!$G:$G,$A530,Donations!$F:$F,"&gt;="&amp;'Daily Challenges'!$C$10,Donations!$F:$F,"&lt;="&amp;'Daily Challenges'!$D$10))</f>
        <v/>
      </c>
      <c r="J530" s="38">
        <f>IF($A530="","",SUMIFS(Donations!$D:$D,Donations!$G:$G,$A530,Donations!$F:$F,"&lt;="&amp;'Daily Challenges'!$D$12))</f>
        <v/>
      </c>
    </row>
    <row r="531">
      <c r="A531" s="32" t="n"/>
      <c r="B531" s="32" t="n"/>
      <c r="C531" s="32" t="n"/>
      <c r="D531" s="37">
        <f>IF(A531="","",SUMIFS(Donations!$D:$D,Donations!$G:$G,A531))</f>
        <v/>
      </c>
      <c r="E531" s="35">
        <f>IF(A531="","",IF(D531&gt;0,"Yes",""))</f>
        <v/>
      </c>
      <c r="F531" s="38">
        <f>IF($A531="","",SUMIFS(Donations!$D:$D,Donations!$G:$G,$A531,Donations!$F:$F,"&gt;="&amp;'Daily Challenges'!$C$7,Donations!$F:$F,"&lt;="&amp;'Daily Challenges'!$D$7))</f>
        <v/>
      </c>
      <c r="G531" s="38">
        <f>IF($A531="","",SUMIFS(Donations!$D:$D,Donations!$G:$G,$A531,Donations!$F:$F,"&gt;="&amp;'Daily Challenges'!$C$8,Donations!$F:$F,"&lt;="&amp;'Daily Challenges'!$D$8))</f>
        <v/>
      </c>
      <c r="H531" s="38">
        <f>IF($A531="","",SUMIFS(Donations!$D:$D,Donations!$G:$G,$A531,Donations!$F:$F,"&lt;="&amp;'Daily Challenges'!$D$9))</f>
        <v/>
      </c>
      <c r="I531" s="38">
        <f>IF($A531="","",SUMIFS(Donations!$D:$D,Donations!$G:$G,$A531,Donations!$F:$F,"&gt;="&amp;'Daily Challenges'!$C$10,Donations!$F:$F,"&lt;="&amp;'Daily Challenges'!$D$10))</f>
        <v/>
      </c>
      <c r="J531" s="38">
        <f>IF($A531="","",SUMIFS(Donations!$D:$D,Donations!$G:$G,$A531,Donations!$F:$F,"&lt;="&amp;'Daily Challenges'!$D$12))</f>
        <v/>
      </c>
    </row>
    <row r="532">
      <c r="A532" s="32" t="n"/>
      <c r="B532" s="32" t="n"/>
      <c r="C532" s="32" t="n"/>
      <c r="D532" s="37">
        <f>IF(A532="","",SUMIFS(Donations!$D:$D,Donations!$G:$G,A532))</f>
        <v/>
      </c>
      <c r="E532" s="35">
        <f>IF(A532="","",IF(D532&gt;0,"Yes",""))</f>
        <v/>
      </c>
      <c r="F532" s="38">
        <f>IF($A532="","",SUMIFS(Donations!$D:$D,Donations!$G:$G,$A532,Donations!$F:$F,"&gt;="&amp;'Daily Challenges'!$C$7,Donations!$F:$F,"&lt;="&amp;'Daily Challenges'!$D$7))</f>
        <v/>
      </c>
      <c r="G532" s="38">
        <f>IF($A532="","",SUMIFS(Donations!$D:$D,Donations!$G:$G,$A532,Donations!$F:$F,"&gt;="&amp;'Daily Challenges'!$C$8,Donations!$F:$F,"&lt;="&amp;'Daily Challenges'!$D$8))</f>
        <v/>
      </c>
      <c r="H532" s="38">
        <f>IF($A532="","",SUMIFS(Donations!$D:$D,Donations!$G:$G,$A532,Donations!$F:$F,"&lt;="&amp;'Daily Challenges'!$D$9))</f>
        <v/>
      </c>
      <c r="I532" s="38">
        <f>IF($A532="","",SUMIFS(Donations!$D:$D,Donations!$G:$G,$A532,Donations!$F:$F,"&gt;="&amp;'Daily Challenges'!$C$10,Donations!$F:$F,"&lt;="&amp;'Daily Challenges'!$D$10))</f>
        <v/>
      </c>
      <c r="J532" s="38">
        <f>IF($A532="","",SUMIFS(Donations!$D:$D,Donations!$G:$G,$A532,Donations!$F:$F,"&lt;="&amp;'Daily Challenges'!$D$12))</f>
        <v/>
      </c>
    </row>
    <row r="533">
      <c r="A533" s="32" t="n"/>
      <c r="B533" s="32" t="n"/>
      <c r="C533" s="32" t="n"/>
      <c r="D533" s="37">
        <f>IF(A533="","",SUMIFS(Donations!$D:$D,Donations!$G:$G,A533))</f>
        <v/>
      </c>
      <c r="E533" s="35">
        <f>IF(A533="","",IF(D533&gt;0,"Yes",""))</f>
        <v/>
      </c>
      <c r="F533" s="38">
        <f>IF($A533="","",SUMIFS(Donations!$D:$D,Donations!$G:$G,$A533,Donations!$F:$F,"&gt;="&amp;'Daily Challenges'!$C$7,Donations!$F:$F,"&lt;="&amp;'Daily Challenges'!$D$7))</f>
        <v/>
      </c>
      <c r="G533" s="38">
        <f>IF($A533="","",SUMIFS(Donations!$D:$D,Donations!$G:$G,$A533,Donations!$F:$F,"&gt;="&amp;'Daily Challenges'!$C$8,Donations!$F:$F,"&lt;="&amp;'Daily Challenges'!$D$8))</f>
        <v/>
      </c>
      <c r="H533" s="38">
        <f>IF($A533="","",SUMIFS(Donations!$D:$D,Donations!$G:$G,$A533,Donations!$F:$F,"&lt;="&amp;'Daily Challenges'!$D$9))</f>
        <v/>
      </c>
      <c r="I533" s="38">
        <f>IF($A533="","",SUMIFS(Donations!$D:$D,Donations!$G:$G,$A533,Donations!$F:$F,"&gt;="&amp;'Daily Challenges'!$C$10,Donations!$F:$F,"&lt;="&amp;'Daily Challenges'!$D$10))</f>
        <v/>
      </c>
      <c r="J533" s="38">
        <f>IF($A533="","",SUMIFS(Donations!$D:$D,Donations!$G:$G,$A533,Donations!$F:$F,"&lt;="&amp;'Daily Challenges'!$D$12))</f>
        <v/>
      </c>
    </row>
    <row r="534">
      <c r="A534" s="32" t="n"/>
      <c r="B534" s="32" t="n"/>
      <c r="C534" s="32" t="n"/>
      <c r="D534" s="37">
        <f>IF(A534="","",SUMIFS(Donations!$D:$D,Donations!$G:$G,A534))</f>
        <v/>
      </c>
      <c r="E534" s="35">
        <f>IF(A534="","",IF(D534&gt;0,"Yes",""))</f>
        <v/>
      </c>
      <c r="F534" s="38">
        <f>IF($A534="","",SUMIFS(Donations!$D:$D,Donations!$G:$G,$A534,Donations!$F:$F,"&gt;="&amp;'Daily Challenges'!$C$7,Donations!$F:$F,"&lt;="&amp;'Daily Challenges'!$D$7))</f>
        <v/>
      </c>
      <c r="G534" s="38">
        <f>IF($A534="","",SUMIFS(Donations!$D:$D,Donations!$G:$G,$A534,Donations!$F:$F,"&gt;="&amp;'Daily Challenges'!$C$8,Donations!$F:$F,"&lt;="&amp;'Daily Challenges'!$D$8))</f>
        <v/>
      </c>
      <c r="H534" s="38">
        <f>IF($A534="","",SUMIFS(Donations!$D:$D,Donations!$G:$G,$A534,Donations!$F:$F,"&lt;="&amp;'Daily Challenges'!$D$9))</f>
        <v/>
      </c>
      <c r="I534" s="38">
        <f>IF($A534="","",SUMIFS(Donations!$D:$D,Donations!$G:$G,$A534,Donations!$F:$F,"&gt;="&amp;'Daily Challenges'!$C$10,Donations!$F:$F,"&lt;="&amp;'Daily Challenges'!$D$10))</f>
        <v/>
      </c>
      <c r="J534" s="38">
        <f>IF($A534="","",SUMIFS(Donations!$D:$D,Donations!$G:$G,$A534,Donations!$F:$F,"&lt;="&amp;'Daily Challenges'!$D$12))</f>
        <v/>
      </c>
    </row>
    <row r="535">
      <c r="A535" s="32" t="n"/>
      <c r="B535" s="32" t="n"/>
      <c r="C535" s="32" t="n"/>
      <c r="D535" s="37">
        <f>IF(A535="","",SUMIFS(Donations!$D:$D,Donations!$G:$G,A535))</f>
        <v/>
      </c>
      <c r="E535" s="35">
        <f>IF(A535="","",IF(D535&gt;0,"Yes",""))</f>
        <v/>
      </c>
      <c r="F535" s="38">
        <f>IF($A535="","",SUMIFS(Donations!$D:$D,Donations!$G:$G,$A535,Donations!$F:$F,"&gt;="&amp;'Daily Challenges'!$C$7,Donations!$F:$F,"&lt;="&amp;'Daily Challenges'!$D$7))</f>
        <v/>
      </c>
      <c r="G535" s="38">
        <f>IF($A535="","",SUMIFS(Donations!$D:$D,Donations!$G:$G,$A535,Donations!$F:$F,"&gt;="&amp;'Daily Challenges'!$C$8,Donations!$F:$F,"&lt;="&amp;'Daily Challenges'!$D$8))</f>
        <v/>
      </c>
      <c r="H535" s="38">
        <f>IF($A535="","",SUMIFS(Donations!$D:$D,Donations!$G:$G,$A535,Donations!$F:$F,"&lt;="&amp;'Daily Challenges'!$D$9))</f>
        <v/>
      </c>
      <c r="I535" s="38">
        <f>IF($A535="","",SUMIFS(Donations!$D:$D,Donations!$G:$G,$A535,Donations!$F:$F,"&gt;="&amp;'Daily Challenges'!$C$10,Donations!$F:$F,"&lt;="&amp;'Daily Challenges'!$D$10))</f>
        <v/>
      </c>
      <c r="J535" s="38">
        <f>IF($A535="","",SUMIFS(Donations!$D:$D,Donations!$G:$G,$A535,Donations!$F:$F,"&lt;="&amp;'Daily Challenges'!$D$12))</f>
        <v/>
      </c>
    </row>
    <row r="536">
      <c r="A536" s="32" t="n"/>
      <c r="B536" s="32" t="n"/>
      <c r="C536" s="32" t="n"/>
      <c r="D536" s="37">
        <f>IF(A536="","",SUMIFS(Donations!$D:$D,Donations!$G:$G,A536))</f>
        <v/>
      </c>
      <c r="E536" s="35">
        <f>IF(A536="","",IF(D536&gt;0,"Yes",""))</f>
        <v/>
      </c>
      <c r="F536" s="38">
        <f>IF($A536="","",SUMIFS(Donations!$D:$D,Donations!$G:$G,$A536,Donations!$F:$F,"&gt;="&amp;'Daily Challenges'!$C$7,Donations!$F:$F,"&lt;="&amp;'Daily Challenges'!$D$7))</f>
        <v/>
      </c>
      <c r="G536" s="38">
        <f>IF($A536="","",SUMIFS(Donations!$D:$D,Donations!$G:$G,$A536,Donations!$F:$F,"&gt;="&amp;'Daily Challenges'!$C$8,Donations!$F:$F,"&lt;="&amp;'Daily Challenges'!$D$8))</f>
        <v/>
      </c>
      <c r="H536" s="38">
        <f>IF($A536="","",SUMIFS(Donations!$D:$D,Donations!$G:$G,$A536,Donations!$F:$F,"&lt;="&amp;'Daily Challenges'!$D$9))</f>
        <v/>
      </c>
      <c r="I536" s="38">
        <f>IF($A536="","",SUMIFS(Donations!$D:$D,Donations!$G:$G,$A536,Donations!$F:$F,"&gt;="&amp;'Daily Challenges'!$C$10,Donations!$F:$F,"&lt;="&amp;'Daily Challenges'!$D$10))</f>
        <v/>
      </c>
      <c r="J536" s="38">
        <f>IF($A536="","",SUMIFS(Donations!$D:$D,Donations!$G:$G,$A536,Donations!$F:$F,"&lt;="&amp;'Daily Challenges'!$D$12))</f>
        <v/>
      </c>
    </row>
    <row r="537">
      <c r="A537" s="32" t="n"/>
      <c r="B537" s="32" t="n"/>
      <c r="C537" s="32" t="n"/>
      <c r="D537" s="37">
        <f>IF(A537="","",SUMIFS(Donations!$D:$D,Donations!$G:$G,A537))</f>
        <v/>
      </c>
      <c r="E537" s="35">
        <f>IF(A537="","",IF(D537&gt;0,"Yes",""))</f>
        <v/>
      </c>
      <c r="F537" s="38">
        <f>IF($A537="","",SUMIFS(Donations!$D:$D,Donations!$G:$G,$A537,Donations!$F:$F,"&gt;="&amp;'Daily Challenges'!$C$7,Donations!$F:$F,"&lt;="&amp;'Daily Challenges'!$D$7))</f>
        <v/>
      </c>
      <c r="G537" s="38">
        <f>IF($A537="","",SUMIFS(Donations!$D:$D,Donations!$G:$G,$A537,Donations!$F:$F,"&gt;="&amp;'Daily Challenges'!$C$8,Donations!$F:$F,"&lt;="&amp;'Daily Challenges'!$D$8))</f>
        <v/>
      </c>
      <c r="H537" s="38">
        <f>IF($A537="","",SUMIFS(Donations!$D:$D,Donations!$G:$G,$A537,Donations!$F:$F,"&lt;="&amp;'Daily Challenges'!$D$9))</f>
        <v/>
      </c>
      <c r="I537" s="38">
        <f>IF($A537="","",SUMIFS(Donations!$D:$D,Donations!$G:$G,$A537,Donations!$F:$F,"&gt;="&amp;'Daily Challenges'!$C$10,Donations!$F:$F,"&lt;="&amp;'Daily Challenges'!$D$10))</f>
        <v/>
      </c>
      <c r="J537" s="38">
        <f>IF($A537="","",SUMIFS(Donations!$D:$D,Donations!$G:$G,$A537,Donations!$F:$F,"&lt;="&amp;'Daily Challenges'!$D$12))</f>
        <v/>
      </c>
    </row>
    <row r="538">
      <c r="A538" s="32" t="n"/>
      <c r="B538" s="32" t="n"/>
      <c r="C538" s="32" t="n"/>
      <c r="D538" s="37">
        <f>IF(A538="","",SUMIFS(Donations!$D:$D,Donations!$G:$G,A538))</f>
        <v/>
      </c>
      <c r="E538" s="35">
        <f>IF(A538="","",IF(D538&gt;0,"Yes",""))</f>
        <v/>
      </c>
      <c r="F538" s="38">
        <f>IF($A538="","",SUMIFS(Donations!$D:$D,Donations!$G:$G,$A538,Donations!$F:$F,"&gt;="&amp;'Daily Challenges'!$C$7,Donations!$F:$F,"&lt;="&amp;'Daily Challenges'!$D$7))</f>
        <v/>
      </c>
      <c r="G538" s="38">
        <f>IF($A538="","",SUMIFS(Donations!$D:$D,Donations!$G:$G,$A538,Donations!$F:$F,"&gt;="&amp;'Daily Challenges'!$C$8,Donations!$F:$F,"&lt;="&amp;'Daily Challenges'!$D$8))</f>
        <v/>
      </c>
      <c r="H538" s="38">
        <f>IF($A538="","",SUMIFS(Donations!$D:$D,Donations!$G:$G,$A538,Donations!$F:$F,"&lt;="&amp;'Daily Challenges'!$D$9))</f>
        <v/>
      </c>
      <c r="I538" s="38">
        <f>IF($A538="","",SUMIFS(Donations!$D:$D,Donations!$G:$G,$A538,Donations!$F:$F,"&gt;="&amp;'Daily Challenges'!$C$10,Donations!$F:$F,"&lt;="&amp;'Daily Challenges'!$D$10))</f>
        <v/>
      </c>
      <c r="J538" s="38">
        <f>IF($A538="","",SUMIFS(Donations!$D:$D,Donations!$G:$G,$A538,Donations!$F:$F,"&lt;="&amp;'Daily Challenges'!$D$12))</f>
        <v/>
      </c>
    </row>
    <row r="539">
      <c r="A539" s="32" t="n"/>
      <c r="B539" s="32" t="n"/>
      <c r="C539" s="32" t="n"/>
      <c r="D539" s="37">
        <f>IF(A539="","",SUMIFS(Donations!$D:$D,Donations!$G:$G,A539))</f>
        <v/>
      </c>
      <c r="E539" s="35">
        <f>IF(A539="","",IF(D539&gt;0,"Yes",""))</f>
        <v/>
      </c>
      <c r="F539" s="38">
        <f>IF($A539="","",SUMIFS(Donations!$D:$D,Donations!$G:$G,$A539,Donations!$F:$F,"&gt;="&amp;'Daily Challenges'!$C$7,Donations!$F:$F,"&lt;="&amp;'Daily Challenges'!$D$7))</f>
        <v/>
      </c>
      <c r="G539" s="38">
        <f>IF($A539="","",SUMIFS(Donations!$D:$D,Donations!$G:$G,$A539,Donations!$F:$F,"&gt;="&amp;'Daily Challenges'!$C$8,Donations!$F:$F,"&lt;="&amp;'Daily Challenges'!$D$8))</f>
        <v/>
      </c>
      <c r="H539" s="38">
        <f>IF($A539="","",SUMIFS(Donations!$D:$D,Donations!$G:$G,$A539,Donations!$F:$F,"&lt;="&amp;'Daily Challenges'!$D$9))</f>
        <v/>
      </c>
      <c r="I539" s="38">
        <f>IF($A539="","",SUMIFS(Donations!$D:$D,Donations!$G:$G,$A539,Donations!$F:$F,"&gt;="&amp;'Daily Challenges'!$C$10,Donations!$F:$F,"&lt;="&amp;'Daily Challenges'!$D$10))</f>
        <v/>
      </c>
      <c r="J539" s="38">
        <f>IF($A539="","",SUMIFS(Donations!$D:$D,Donations!$G:$G,$A539,Donations!$F:$F,"&lt;="&amp;'Daily Challenges'!$D$12))</f>
        <v/>
      </c>
    </row>
    <row r="540">
      <c r="A540" s="32" t="n"/>
      <c r="B540" s="32" t="n"/>
      <c r="C540" s="32" t="n"/>
      <c r="D540" s="37">
        <f>IF(A540="","",SUMIFS(Donations!$D:$D,Donations!$G:$G,A540))</f>
        <v/>
      </c>
      <c r="E540" s="35">
        <f>IF(A540="","",IF(D540&gt;0,"Yes",""))</f>
        <v/>
      </c>
      <c r="F540" s="38">
        <f>IF($A540="","",SUMIFS(Donations!$D:$D,Donations!$G:$G,$A540,Donations!$F:$F,"&gt;="&amp;'Daily Challenges'!$C$7,Donations!$F:$F,"&lt;="&amp;'Daily Challenges'!$D$7))</f>
        <v/>
      </c>
      <c r="G540" s="38">
        <f>IF($A540="","",SUMIFS(Donations!$D:$D,Donations!$G:$G,$A540,Donations!$F:$F,"&gt;="&amp;'Daily Challenges'!$C$8,Donations!$F:$F,"&lt;="&amp;'Daily Challenges'!$D$8))</f>
        <v/>
      </c>
      <c r="H540" s="38">
        <f>IF($A540="","",SUMIFS(Donations!$D:$D,Donations!$G:$G,$A540,Donations!$F:$F,"&lt;="&amp;'Daily Challenges'!$D$9))</f>
        <v/>
      </c>
      <c r="I540" s="38">
        <f>IF($A540="","",SUMIFS(Donations!$D:$D,Donations!$G:$G,$A540,Donations!$F:$F,"&gt;="&amp;'Daily Challenges'!$C$10,Donations!$F:$F,"&lt;="&amp;'Daily Challenges'!$D$10))</f>
        <v/>
      </c>
      <c r="J540" s="38">
        <f>IF($A540="","",SUMIFS(Donations!$D:$D,Donations!$G:$G,$A540,Donations!$F:$F,"&lt;="&amp;'Daily Challenges'!$D$12))</f>
        <v/>
      </c>
    </row>
    <row r="541">
      <c r="A541" s="32" t="n"/>
      <c r="B541" s="32" t="n"/>
      <c r="C541" s="32" t="n"/>
      <c r="D541" s="37">
        <f>IF(A541="","",SUMIFS(Donations!$D:$D,Donations!$G:$G,A541))</f>
        <v/>
      </c>
      <c r="E541" s="35">
        <f>IF(A541="","",IF(D541&gt;0,"Yes",""))</f>
        <v/>
      </c>
      <c r="F541" s="38">
        <f>IF($A541="","",SUMIFS(Donations!$D:$D,Donations!$G:$G,$A541,Donations!$F:$F,"&gt;="&amp;'Daily Challenges'!$C$7,Donations!$F:$F,"&lt;="&amp;'Daily Challenges'!$D$7))</f>
        <v/>
      </c>
      <c r="G541" s="38">
        <f>IF($A541="","",SUMIFS(Donations!$D:$D,Donations!$G:$G,$A541,Donations!$F:$F,"&gt;="&amp;'Daily Challenges'!$C$8,Donations!$F:$F,"&lt;="&amp;'Daily Challenges'!$D$8))</f>
        <v/>
      </c>
      <c r="H541" s="38">
        <f>IF($A541="","",SUMIFS(Donations!$D:$D,Donations!$G:$G,$A541,Donations!$F:$F,"&lt;="&amp;'Daily Challenges'!$D$9))</f>
        <v/>
      </c>
      <c r="I541" s="38">
        <f>IF($A541="","",SUMIFS(Donations!$D:$D,Donations!$G:$G,$A541,Donations!$F:$F,"&gt;="&amp;'Daily Challenges'!$C$10,Donations!$F:$F,"&lt;="&amp;'Daily Challenges'!$D$10))</f>
        <v/>
      </c>
      <c r="J541" s="38">
        <f>IF($A541="","",SUMIFS(Donations!$D:$D,Donations!$G:$G,$A541,Donations!$F:$F,"&lt;="&amp;'Daily Challenges'!$D$12))</f>
        <v/>
      </c>
    </row>
    <row r="542">
      <c r="A542" s="32" t="n"/>
      <c r="B542" s="32" t="n"/>
      <c r="C542" s="32" t="n"/>
      <c r="D542" s="37">
        <f>IF(A542="","",SUMIFS(Donations!$D:$D,Donations!$G:$G,A542))</f>
        <v/>
      </c>
      <c r="E542" s="35">
        <f>IF(A542="","",IF(D542&gt;0,"Yes",""))</f>
        <v/>
      </c>
      <c r="F542" s="38">
        <f>IF($A542="","",SUMIFS(Donations!$D:$D,Donations!$G:$G,$A542,Donations!$F:$F,"&gt;="&amp;'Daily Challenges'!$C$7,Donations!$F:$F,"&lt;="&amp;'Daily Challenges'!$D$7))</f>
        <v/>
      </c>
      <c r="G542" s="38">
        <f>IF($A542="","",SUMIFS(Donations!$D:$D,Donations!$G:$G,$A542,Donations!$F:$F,"&gt;="&amp;'Daily Challenges'!$C$8,Donations!$F:$F,"&lt;="&amp;'Daily Challenges'!$D$8))</f>
        <v/>
      </c>
      <c r="H542" s="38">
        <f>IF($A542="","",SUMIFS(Donations!$D:$D,Donations!$G:$G,$A542,Donations!$F:$F,"&lt;="&amp;'Daily Challenges'!$D$9))</f>
        <v/>
      </c>
      <c r="I542" s="38">
        <f>IF($A542="","",SUMIFS(Donations!$D:$D,Donations!$G:$G,$A542,Donations!$F:$F,"&gt;="&amp;'Daily Challenges'!$C$10,Donations!$F:$F,"&lt;="&amp;'Daily Challenges'!$D$10))</f>
        <v/>
      </c>
      <c r="J542" s="38">
        <f>IF($A542="","",SUMIFS(Donations!$D:$D,Donations!$G:$G,$A542,Donations!$F:$F,"&lt;="&amp;'Daily Challenges'!$D$12))</f>
        <v/>
      </c>
    </row>
    <row r="543">
      <c r="A543" s="32" t="n"/>
      <c r="B543" s="32" t="n"/>
      <c r="C543" s="32" t="n"/>
      <c r="D543" s="37">
        <f>IF(A543="","",SUMIFS(Donations!$D:$D,Donations!$G:$G,A543))</f>
        <v/>
      </c>
      <c r="E543" s="35">
        <f>IF(A543="","",IF(D543&gt;0,"Yes",""))</f>
        <v/>
      </c>
      <c r="F543" s="38">
        <f>IF($A543="","",SUMIFS(Donations!$D:$D,Donations!$G:$G,$A543,Donations!$F:$F,"&gt;="&amp;'Daily Challenges'!$C$7,Donations!$F:$F,"&lt;="&amp;'Daily Challenges'!$D$7))</f>
        <v/>
      </c>
      <c r="G543" s="38">
        <f>IF($A543="","",SUMIFS(Donations!$D:$D,Donations!$G:$G,$A543,Donations!$F:$F,"&gt;="&amp;'Daily Challenges'!$C$8,Donations!$F:$F,"&lt;="&amp;'Daily Challenges'!$D$8))</f>
        <v/>
      </c>
      <c r="H543" s="38">
        <f>IF($A543="","",SUMIFS(Donations!$D:$D,Donations!$G:$G,$A543,Donations!$F:$F,"&lt;="&amp;'Daily Challenges'!$D$9))</f>
        <v/>
      </c>
      <c r="I543" s="38">
        <f>IF($A543="","",SUMIFS(Donations!$D:$D,Donations!$G:$G,$A543,Donations!$F:$F,"&gt;="&amp;'Daily Challenges'!$C$10,Donations!$F:$F,"&lt;="&amp;'Daily Challenges'!$D$10))</f>
        <v/>
      </c>
      <c r="J543" s="38">
        <f>IF($A543="","",SUMIFS(Donations!$D:$D,Donations!$G:$G,$A543,Donations!$F:$F,"&lt;="&amp;'Daily Challenges'!$D$12))</f>
        <v/>
      </c>
    </row>
    <row r="544">
      <c r="A544" s="32" t="n"/>
      <c r="B544" s="32" t="n"/>
      <c r="C544" s="32" t="n"/>
      <c r="D544" s="37">
        <f>IF(A544="","",SUMIFS(Donations!$D:$D,Donations!$G:$G,A544))</f>
        <v/>
      </c>
      <c r="E544" s="35">
        <f>IF(A544="","",IF(D544&gt;0,"Yes",""))</f>
        <v/>
      </c>
      <c r="F544" s="38">
        <f>IF($A544="","",SUMIFS(Donations!$D:$D,Donations!$G:$G,$A544,Donations!$F:$F,"&gt;="&amp;'Daily Challenges'!$C$7,Donations!$F:$F,"&lt;="&amp;'Daily Challenges'!$D$7))</f>
        <v/>
      </c>
      <c r="G544" s="38">
        <f>IF($A544="","",SUMIFS(Donations!$D:$D,Donations!$G:$G,$A544,Donations!$F:$F,"&gt;="&amp;'Daily Challenges'!$C$8,Donations!$F:$F,"&lt;="&amp;'Daily Challenges'!$D$8))</f>
        <v/>
      </c>
      <c r="H544" s="38">
        <f>IF($A544="","",SUMIFS(Donations!$D:$D,Donations!$G:$G,$A544,Donations!$F:$F,"&lt;="&amp;'Daily Challenges'!$D$9))</f>
        <v/>
      </c>
      <c r="I544" s="38">
        <f>IF($A544="","",SUMIFS(Donations!$D:$D,Donations!$G:$G,$A544,Donations!$F:$F,"&gt;="&amp;'Daily Challenges'!$C$10,Donations!$F:$F,"&lt;="&amp;'Daily Challenges'!$D$10))</f>
        <v/>
      </c>
      <c r="J544" s="38">
        <f>IF($A544="","",SUMIFS(Donations!$D:$D,Donations!$G:$G,$A544,Donations!$F:$F,"&lt;="&amp;'Daily Challenges'!$D$12))</f>
        <v/>
      </c>
    </row>
    <row r="545">
      <c r="A545" s="32" t="n"/>
      <c r="B545" s="32" t="n"/>
      <c r="C545" s="32" t="n"/>
      <c r="D545" s="37">
        <f>IF(A545="","",SUMIFS(Donations!$D:$D,Donations!$G:$G,A545))</f>
        <v/>
      </c>
      <c r="E545" s="35">
        <f>IF(A545="","",IF(D545&gt;0,"Yes",""))</f>
        <v/>
      </c>
      <c r="F545" s="38">
        <f>IF($A545="","",SUMIFS(Donations!$D:$D,Donations!$G:$G,$A545,Donations!$F:$F,"&gt;="&amp;'Daily Challenges'!$C$7,Donations!$F:$F,"&lt;="&amp;'Daily Challenges'!$D$7))</f>
        <v/>
      </c>
      <c r="G545" s="38">
        <f>IF($A545="","",SUMIFS(Donations!$D:$D,Donations!$G:$G,$A545,Donations!$F:$F,"&gt;="&amp;'Daily Challenges'!$C$8,Donations!$F:$F,"&lt;="&amp;'Daily Challenges'!$D$8))</f>
        <v/>
      </c>
      <c r="H545" s="38">
        <f>IF($A545="","",SUMIFS(Donations!$D:$D,Donations!$G:$G,$A545,Donations!$F:$F,"&lt;="&amp;'Daily Challenges'!$D$9))</f>
        <v/>
      </c>
      <c r="I545" s="38">
        <f>IF($A545="","",SUMIFS(Donations!$D:$D,Donations!$G:$G,$A545,Donations!$F:$F,"&gt;="&amp;'Daily Challenges'!$C$10,Donations!$F:$F,"&lt;="&amp;'Daily Challenges'!$D$10))</f>
        <v/>
      </c>
      <c r="J545" s="38">
        <f>IF($A545="","",SUMIFS(Donations!$D:$D,Donations!$G:$G,$A545,Donations!$F:$F,"&lt;="&amp;'Daily Challenges'!$D$12))</f>
        <v/>
      </c>
    </row>
    <row r="546">
      <c r="A546" s="32" t="n"/>
      <c r="B546" s="32" t="n"/>
      <c r="C546" s="32" t="n"/>
      <c r="D546" s="37">
        <f>IF(A546="","",SUMIFS(Donations!$D:$D,Donations!$G:$G,A546))</f>
        <v/>
      </c>
      <c r="E546" s="35">
        <f>IF(A546="","",IF(D546&gt;0,"Yes",""))</f>
        <v/>
      </c>
      <c r="F546" s="38">
        <f>IF($A546="","",SUMIFS(Donations!$D:$D,Donations!$G:$G,$A546,Donations!$F:$F,"&gt;="&amp;'Daily Challenges'!$C$7,Donations!$F:$F,"&lt;="&amp;'Daily Challenges'!$D$7))</f>
        <v/>
      </c>
      <c r="G546" s="38">
        <f>IF($A546="","",SUMIFS(Donations!$D:$D,Donations!$G:$G,$A546,Donations!$F:$F,"&gt;="&amp;'Daily Challenges'!$C$8,Donations!$F:$F,"&lt;="&amp;'Daily Challenges'!$D$8))</f>
        <v/>
      </c>
      <c r="H546" s="38">
        <f>IF($A546="","",SUMIFS(Donations!$D:$D,Donations!$G:$G,$A546,Donations!$F:$F,"&lt;="&amp;'Daily Challenges'!$D$9))</f>
        <v/>
      </c>
      <c r="I546" s="38">
        <f>IF($A546="","",SUMIFS(Donations!$D:$D,Donations!$G:$G,$A546,Donations!$F:$F,"&gt;="&amp;'Daily Challenges'!$C$10,Donations!$F:$F,"&lt;="&amp;'Daily Challenges'!$D$10))</f>
        <v/>
      </c>
      <c r="J546" s="38">
        <f>IF($A546="","",SUMIFS(Donations!$D:$D,Donations!$G:$G,$A546,Donations!$F:$F,"&lt;="&amp;'Daily Challenges'!$D$12))</f>
        <v/>
      </c>
    </row>
    <row r="547">
      <c r="A547" s="32" t="n"/>
      <c r="B547" s="32" t="n"/>
      <c r="C547" s="32" t="n"/>
      <c r="D547" s="37">
        <f>IF(A547="","",SUMIFS(Donations!$D:$D,Donations!$G:$G,A547))</f>
        <v/>
      </c>
      <c r="E547" s="35">
        <f>IF(A547="","",IF(D547&gt;0,"Yes",""))</f>
        <v/>
      </c>
      <c r="F547" s="38">
        <f>IF($A547="","",SUMIFS(Donations!$D:$D,Donations!$G:$G,$A547,Donations!$F:$F,"&gt;="&amp;'Daily Challenges'!$C$7,Donations!$F:$F,"&lt;="&amp;'Daily Challenges'!$D$7))</f>
        <v/>
      </c>
      <c r="G547" s="38">
        <f>IF($A547="","",SUMIFS(Donations!$D:$D,Donations!$G:$G,$A547,Donations!$F:$F,"&gt;="&amp;'Daily Challenges'!$C$8,Donations!$F:$F,"&lt;="&amp;'Daily Challenges'!$D$8))</f>
        <v/>
      </c>
      <c r="H547" s="38">
        <f>IF($A547="","",SUMIFS(Donations!$D:$D,Donations!$G:$G,$A547,Donations!$F:$F,"&lt;="&amp;'Daily Challenges'!$D$9))</f>
        <v/>
      </c>
      <c r="I547" s="38">
        <f>IF($A547="","",SUMIFS(Donations!$D:$D,Donations!$G:$G,$A547,Donations!$F:$F,"&gt;="&amp;'Daily Challenges'!$C$10,Donations!$F:$F,"&lt;="&amp;'Daily Challenges'!$D$10))</f>
        <v/>
      </c>
      <c r="J547" s="38">
        <f>IF($A547="","",SUMIFS(Donations!$D:$D,Donations!$G:$G,$A547,Donations!$F:$F,"&lt;="&amp;'Daily Challenges'!$D$12))</f>
        <v/>
      </c>
    </row>
    <row r="548">
      <c r="A548" s="32" t="n"/>
      <c r="B548" s="32" t="n"/>
      <c r="C548" s="32" t="n"/>
      <c r="D548" s="37">
        <f>IF(A548="","",SUMIFS(Donations!$D:$D,Donations!$G:$G,A548))</f>
        <v/>
      </c>
      <c r="E548" s="35">
        <f>IF(A548="","",IF(D548&gt;0,"Yes",""))</f>
        <v/>
      </c>
      <c r="F548" s="38">
        <f>IF($A548="","",SUMIFS(Donations!$D:$D,Donations!$G:$G,$A548,Donations!$F:$F,"&gt;="&amp;'Daily Challenges'!$C$7,Donations!$F:$F,"&lt;="&amp;'Daily Challenges'!$D$7))</f>
        <v/>
      </c>
      <c r="G548" s="38">
        <f>IF($A548="","",SUMIFS(Donations!$D:$D,Donations!$G:$G,$A548,Donations!$F:$F,"&gt;="&amp;'Daily Challenges'!$C$8,Donations!$F:$F,"&lt;="&amp;'Daily Challenges'!$D$8))</f>
        <v/>
      </c>
      <c r="H548" s="38">
        <f>IF($A548="","",SUMIFS(Donations!$D:$D,Donations!$G:$G,$A548,Donations!$F:$F,"&lt;="&amp;'Daily Challenges'!$D$9))</f>
        <v/>
      </c>
      <c r="I548" s="38">
        <f>IF($A548="","",SUMIFS(Donations!$D:$D,Donations!$G:$G,$A548,Donations!$F:$F,"&gt;="&amp;'Daily Challenges'!$C$10,Donations!$F:$F,"&lt;="&amp;'Daily Challenges'!$D$10))</f>
        <v/>
      </c>
      <c r="J548" s="38">
        <f>IF($A548="","",SUMIFS(Donations!$D:$D,Donations!$G:$G,$A548,Donations!$F:$F,"&lt;="&amp;'Daily Challenges'!$D$12))</f>
        <v/>
      </c>
    </row>
    <row r="549">
      <c r="A549" s="32" t="n"/>
      <c r="B549" s="32" t="n"/>
      <c r="C549" s="32" t="n"/>
      <c r="D549" s="37">
        <f>IF(A549="","",SUMIFS(Donations!$D:$D,Donations!$G:$G,A549))</f>
        <v/>
      </c>
      <c r="E549" s="35">
        <f>IF(A549="","",IF(D549&gt;0,"Yes",""))</f>
        <v/>
      </c>
      <c r="F549" s="38">
        <f>IF($A549="","",SUMIFS(Donations!$D:$D,Donations!$G:$G,$A549,Donations!$F:$F,"&gt;="&amp;'Daily Challenges'!$C$7,Donations!$F:$F,"&lt;="&amp;'Daily Challenges'!$D$7))</f>
        <v/>
      </c>
      <c r="G549" s="38">
        <f>IF($A549="","",SUMIFS(Donations!$D:$D,Donations!$G:$G,$A549,Donations!$F:$F,"&gt;="&amp;'Daily Challenges'!$C$8,Donations!$F:$F,"&lt;="&amp;'Daily Challenges'!$D$8))</f>
        <v/>
      </c>
      <c r="H549" s="38">
        <f>IF($A549="","",SUMIFS(Donations!$D:$D,Donations!$G:$G,$A549,Donations!$F:$F,"&lt;="&amp;'Daily Challenges'!$D$9))</f>
        <v/>
      </c>
      <c r="I549" s="38">
        <f>IF($A549="","",SUMIFS(Donations!$D:$D,Donations!$G:$G,$A549,Donations!$F:$F,"&gt;="&amp;'Daily Challenges'!$C$10,Donations!$F:$F,"&lt;="&amp;'Daily Challenges'!$D$10))</f>
        <v/>
      </c>
      <c r="J549" s="38">
        <f>IF($A549="","",SUMIFS(Donations!$D:$D,Donations!$G:$G,$A549,Donations!$F:$F,"&lt;="&amp;'Daily Challenges'!$D$12))</f>
        <v/>
      </c>
    </row>
    <row r="550">
      <c r="A550" s="32" t="n"/>
      <c r="B550" s="32" t="n"/>
      <c r="C550" s="32" t="n"/>
      <c r="D550" s="37">
        <f>IF(A550="","",SUMIFS(Donations!$D:$D,Donations!$G:$G,A550))</f>
        <v/>
      </c>
      <c r="E550" s="35">
        <f>IF(A550="","",IF(D550&gt;0,"Yes",""))</f>
        <v/>
      </c>
      <c r="F550" s="38">
        <f>IF($A550="","",SUMIFS(Donations!$D:$D,Donations!$G:$G,$A550,Donations!$F:$F,"&gt;="&amp;'Daily Challenges'!$C$7,Donations!$F:$F,"&lt;="&amp;'Daily Challenges'!$D$7))</f>
        <v/>
      </c>
      <c r="G550" s="38">
        <f>IF($A550="","",SUMIFS(Donations!$D:$D,Donations!$G:$G,$A550,Donations!$F:$F,"&gt;="&amp;'Daily Challenges'!$C$8,Donations!$F:$F,"&lt;="&amp;'Daily Challenges'!$D$8))</f>
        <v/>
      </c>
      <c r="H550" s="38">
        <f>IF($A550="","",SUMIFS(Donations!$D:$D,Donations!$G:$G,$A550,Donations!$F:$F,"&lt;="&amp;'Daily Challenges'!$D$9))</f>
        <v/>
      </c>
      <c r="I550" s="38">
        <f>IF($A550="","",SUMIFS(Donations!$D:$D,Donations!$G:$G,$A550,Donations!$F:$F,"&gt;="&amp;'Daily Challenges'!$C$10,Donations!$F:$F,"&lt;="&amp;'Daily Challenges'!$D$10))</f>
        <v/>
      </c>
      <c r="J550" s="38">
        <f>IF($A550="","",SUMIFS(Donations!$D:$D,Donations!$G:$G,$A550,Donations!$F:$F,"&lt;="&amp;'Daily Challenges'!$D$12))</f>
        <v/>
      </c>
    </row>
    <row r="551">
      <c r="A551" s="32" t="n"/>
      <c r="B551" s="32" t="n"/>
      <c r="C551" s="32" t="n"/>
      <c r="D551" s="37">
        <f>IF(A551="","",SUMIFS(Donations!$D:$D,Donations!$G:$G,A551))</f>
        <v/>
      </c>
      <c r="E551" s="35">
        <f>IF(A551="","",IF(D551&gt;0,"Yes",""))</f>
        <v/>
      </c>
      <c r="F551" s="38">
        <f>IF($A551="","",SUMIFS(Donations!$D:$D,Donations!$G:$G,$A551,Donations!$F:$F,"&gt;="&amp;'Daily Challenges'!$C$7,Donations!$F:$F,"&lt;="&amp;'Daily Challenges'!$D$7))</f>
        <v/>
      </c>
      <c r="G551" s="38">
        <f>IF($A551="","",SUMIFS(Donations!$D:$D,Donations!$G:$G,$A551,Donations!$F:$F,"&gt;="&amp;'Daily Challenges'!$C$8,Donations!$F:$F,"&lt;="&amp;'Daily Challenges'!$D$8))</f>
        <v/>
      </c>
      <c r="H551" s="38">
        <f>IF($A551="","",SUMIFS(Donations!$D:$D,Donations!$G:$G,$A551,Donations!$F:$F,"&lt;="&amp;'Daily Challenges'!$D$9))</f>
        <v/>
      </c>
      <c r="I551" s="38">
        <f>IF($A551="","",SUMIFS(Donations!$D:$D,Donations!$G:$G,$A551,Donations!$F:$F,"&gt;="&amp;'Daily Challenges'!$C$10,Donations!$F:$F,"&lt;="&amp;'Daily Challenges'!$D$10))</f>
        <v/>
      </c>
      <c r="J551" s="38">
        <f>IF($A551="","",SUMIFS(Donations!$D:$D,Donations!$G:$G,$A551,Donations!$F:$F,"&lt;="&amp;'Daily Challenges'!$D$12))</f>
        <v/>
      </c>
    </row>
    <row r="552">
      <c r="A552" s="32" t="n"/>
      <c r="B552" s="32" t="n"/>
      <c r="C552" s="32" t="n"/>
      <c r="D552" s="37">
        <f>IF(A552="","",SUMIFS(Donations!$D:$D,Donations!$G:$G,A552))</f>
        <v/>
      </c>
      <c r="E552" s="35">
        <f>IF(A552="","",IF(D552&gt;0,"Yes",""))</f>
        <v/>
      </c>
      <c r="F552" s="38">
        <f>IF($A552="","",SUMIFS(Donations!$D:$D,Donations!$G:$G,$A552,Donations!$F:$F,"&gt;="&amp;'Daily Challenges'!$C$7,Donations!$F:$F,"&lt;="&amp;'Daily Challenges'!$D$7))</f>
        <v/>
      </c>
      <c r="G552" s="38">
        <f>IF($A552="","",SUMIFS(Donations!$D:$D,Donations!$G:$G,$A552,Donations!$F:$F,"&gt;="&amp;'Daily Challenges'!$C$8,Donations!$F:$F,"&lt;="&amp;'Daily Challenges'!$D$8))</f>
        <v/>
      </c>
      <c r="H552" s="38">
        <f>IF($A552="","",SUMIFS(Donations!$D:$D,Donations!$G:$G,$A552,Donations!$F:$F,"&lt;="&amp;'Daily Challenges'!$D$9))</f>
        <v/>
      </c>
      <c r="I552" s="38">
        <f>IF($A552="","",SUMIFS(Donations!$D:$D,Donations!$G:$G,$A552,Donations!$F:$F,"&gt;="&amp;'Daily Challenges'!$C$10,Donations!$F:$F,"&lt;="&amp;'Daily Challenges'!$D$10))</f>
        <v/>
      </c>
      <c r="J552" s="38">
        <f>IF($A552="","",SUMIFS(Donations!$D:$D,Donations!$G:$G,$A552,Donations!$F:$F,"&lt;="&amp;'Daily Challenges'!$D$12))</f>
        <v/>
      </c>
    </row>
    <row r="553">
      <c r="A553" s="32" t="n"/>
      <c r="B553" s="32" t="n"/>
      <c r="C553" s="32" t="n"/>
      <c r="D553" s="37">
        <f>IF(A553="","",SUMIFS(Donations!$D:$D,Donations!$G:$G,A553))</f>
        <v/>
      </c>
      <c r="E553" s="35">
        <f>IF(A553="","",IF(D553&gt;0,"Yes",""))</f>
        <v/>
      </c>
      <c r="F553" s="38">
        <f>IF($A553="","",SUMIFS(Donations!$D:$D,Donations!$G:$G,$A553,Donations!$F:$F,"&gt;="&amp;'Daily Challenges'!$C$7,Donations!$F:$F,"&lt;="&amp;'Daily Challenges'!$D$7))</f>
        <v/>
      </c>
      <c r="G553" s="38">
        <f>IF($A553="","",SUMIFS(Donations!$D:$D,Donations!$G:$G,$A553,Donations!$F:$F,"&gt;="&amp;'Daily Challenges'!$C$8,Donations!$F:$F,"&lt;="&amp;'Daily Challenges'!$D$8))</f>
        <v/>
      </c>
      <c r="H553" s="38">
        <f>IF($A553="","",SUMIFS(Donations!$D:$D,Donations!$G:$G,$A553,Donations!$F:$F,"&lt;="&amp;'Daily Challenges'!$D$9))</f>
        <v/>
      </c>
      <c r="I553" s="38">
        <f>IF($A553="","",SUMIFS(Donations!$D:$D,Donations!$G:$G,$A553,Donations!$F:$F,"&gt;="&amp;'Daily Challenges'!$C$10,Donations!$F:$F,"&lt;="&amp;'Daily Challenges'!$D$10))</f>
        <v/>
      </c>
      <c r="J553" s="38">
        <f>IF($A553="","",SUMIFS(Donations!$D:$D,Donations!$G:$G,$A553,Donations!$F:$F,"&lt;="&amp;'Daily Challenges'!$D$12))</f>
        <v/>
      </c>
    </row>
    <row r="554">
      <c r="A554" s="32" t="n"/>
      <c r="B554" s="32" t="n"/>
      <c r="C554" s="32" t="n"/>
      <c r="D554" s="37">
        <f>IF(A554="","",SUMIFS(Donations!$D:$D,Donations!$G:$G,A554))</f>
        <v/>
      </c>
      <c r="E554" s="35">
        <f>IF(A554="","",IF(D554&gt;0,"Yes",""))</f>
        <v/>
      </c>
      <c r="F554" s="38">
        <f>IF($A554="","",SUMIFS(Donations!$D:$D,Donations!$G:$G,$A554,Donations!$F:$F,"&gt;="&amp;'Daily Challenges'!$C$7,Donations!$F:$F,"&lt;="&amp;'Daily Challenges'!$D$7))</f>
        <v/>
      </c>
      <c r="G554" s="38">
        <f>IF($A554="","",SUMIFS(Donations!$D:$D,Donations!$G:$G,$A554,Donations!$F:$F,"&gt;="&amp;'Daily Challenges'!$C$8,Donations!$F:$F,"&lt;="&amp;'Daily Challenges'!$D$8))</f>
        <v/>
      </c>
      <c r="H554" s="38">
        <f>IF($A554="","",SUMIFS(Donations!$D:$D,Donations!$G:$G,$A554,Donations!$F:$F,"&lt;="&amp;'Daily Challenges'!$D$9))</f>
        <v/>
      </c>
      <c r="I554" s="38">
        <f>IF($A554="","",SUMIFS(Donations!$D:$D,Donations!$G:$G,$A554,Donations!$F:$F,"&gt;="&amp;'Daily Challenges'!$C$10,Donations!$F:$F,"&lt;="&amp;'Daily Challenges'!$D$10))</f>
        <v/>
      </c>
      <c r="J554" s="38">
        <f>IF($A554="","",SUMIFS(Donations!$D:$D,Donations!$G:$G,$A554,Donations!$F:$F,"&lt;="&amp;'Daily Challenges'!$D$12))</f>
        <v/>
      </c>
    </row>
    <row r="555">
      <c r="A555" s="32" t="n"/>
      <c r="B555" s="32" t="n"/>
      <c r="C555" s="32" t="n"/>
      <c r="D555" s="37">
        <f>IF(A555="","",SUMIFS(Donations!$D:$D,Donations!$G:$G,A555))</f>
        <v/>
      </c>
      <c r="E555" s="35">
        <f>IF(A555="","",IF(D555&gt;0,"Yes",""))</f>
        <v/>
      </c>
      <c r="F555" s="38">
        <f>IF($A555="","",SUMIFS(Donations!$D:$D,Donations!$G:$G,$A555,Donations!$F:$F,"&gt;="&amp;'Daily Challenges'!$C$7,Donations!$F:$F,"&lt;="&amp;'Daily Challenges'!$D$7))</f>
        <v/>
      </c>
      <c r="G555" s="38">
        <f>IF($A555="","",SUMIFS(Donations!$D:$D,Donations!$G:$G,$A555,Donations!$F:$F,"&gt;="&amp;'Daily Challenges'!$C$8,Donations!$F:$F,"&lt;="&amp;'Daily Challenges'!$D$8))</f>
        <v/>
      </c>
      <c r="H555" s="38">
        <f>IF($A555="","",SUMIFS(Donations!$D:$D,Donations!$G:$G,$A555,Donations!$F:$F,"&lt;="&amp;'Daily Challenges'!$D$9))</f>
        <v/>
      </c>
      <c r="I555" s="38">
        <f>IF($A555="","",SUMIFS(Donations!$D:$D,Donations!$G:$G,$A555,Donations!$F:$F,"&gt;="&amp;'Daily Challenges'!$C$10,Donations!$F:$F,"&lt;="&amp;'Daily Challenges'!$D$10))</f>
        <v/>
      </c>
      <c r="J555" s="38">
        <f>IF($A555="","",SUMIFS(Donations!$D:$D,Donations!$G:$G,$A555,Donations!$F:$F,"&lt;="&amp;'Daily Challenges'!$D$12))</f>
        <v/>
      </c>
    </row>
    <row r="556">
      <c r="A556" s="32" t="n"/>
      <c r="B556" s="32" t="n"/>
      <c r="C556" s="32" t="n"/>
      <c r="D556" s="37">
        <f>IF(A556="","",SUMIFS(Donations!$D:$D,Donations!$G:$G,A556))</f>
        <v/>
      </c>
      <c r="E556" s="35">
        <f>IF(A556="","",IF(D556&gt;0,"Yes",""))</f>
        <v/>
      </c>
      <c r="F556" s="38">
        <f>IF($A556="","",SUMIFS(Donations!$D:$D,Donations!$G:$G,$A556,Donations!$F:$F,"&gt;="&amp;'Daily Challenges'!$C$7,Donations!$F:$F,"&lt;="&amp;'Daily Challenges'!$D$7))</f>
        <v/>
      </c>
      <c r="G556" s="38">
        <f>IF($A556="","",SUMIFS(Donations!$D:$D,Donations!$G:$G,$A556,Donations!$F:$F,"&gt;="&amp;'Daily Challenges'!$C$8,Donations!$F:$F,"&lt;="&amp;'Daily Challenges'!$D$8))</f>
        <v/>
      </c>
      <c r="H556" s="38">
        <f>IF($A556="","",SUMIFS(Donations!$D:$D,Donations!$G:$G,$A556,Donations!$F:$F,"&lt;="&amp;'Daily Challenges'!$D$9))</f>
        <v/>
      </c>
      <c r="I556" s="38">
        <f>IF($A556="","",SUMIFS(Donations!$D:$D,Donations!$G:$G,$A556,Donations!$F:$F,"&gt;="&amp;'Daily Challenges'!$C$10,Donations!$F:$F,"&lt;="&amp;'Daily Challenges'!$D$10))</f>
        <v/>
      </c>
      <c r="J556" s="38">
        <f>IF($A556="","",SUMIFS(Donations!$D:$D,Donations!$G:$G,$A556,Donations!$F:$F,"&lt;="&amp;'Daily Challenges'!$D$12))</f>
        <v/>
      </c>
    </row>
    <row r="557">
      <c r="A557" s="32" t="n"/>
      <c r="B557" s="32" t="n"/>
      <c r="C557" s="32" t="n"/>
      <c r="D557" s="37">
        <f>IF(A557="","",SUMIFS(Donations!$D:$D,Donations!$G:$G,A557))</f>
        <v/>
      </c>
      <c r="E557" s="35">
        <f>IF(A557="","",IF(D557&gt;0,"Yes",""))</f>
        <v/>
      </c>
      <c r="F557" s="38">
        <f>IF($A557="","",SUMIFS(Donations!$D:$D,Donations!$G:$G,$A557,Donations!$F:$F,"&gt;="&amp;'Daily Challenges'!$C$7,Donations!$F:$F,"&lt;="&amp;'Daily Challenges'!$D$7))</f>
        <v/>
      </c>
      <c r="G557" s="38">
        <f>IF($A557="","",SUMIFS(Donations!$D:$D,Donations!$G:$G,$A557,Donations!$F:$F,"&gt;="&amp;'Daily Challenges'!$C$8,Donations!$F:$F,"&lt;="&amp;'Daily Challenges'!$D$8))</f>
        <v/>
      </c>
      <c r="H557" s="38">
        <f>IF($A557="","",SUMIFS(Donations!$D:$D,Donations!$G:$G,$A557,Donations!$F:$F,"&lt;="&amp;'Daily Challenges'!$D$9))</f>
        <v/>
      </c>
      <c r="I557" s="38">
        <f>IF($A557="","",SUMIFS(Donations!$D:$D,Donations!$G:$G,$A557,Donations!$F:$F,"&gt;="&amp;'Daily Challenges'!$C$10,Donations!$F:$F,"&lt;="&amp;'Daily Challenges'!$D$10))</f>
        <v/>
      </c>
      <c r="J557" s="38">
        <f>IF($A557="","",SUMIFS(Donations!$D:$D,Donations!$G:$G,$A557,Donations!$F:$F,"&lt;="&amp;'Daily Challenges'!$D$12))</f>
        <v/>
      </c>
    </row>
    <row r="558">
      <c r="A558" s="32" t="n"/>
      <c r="B558" s="32" t="n"/>
      <c r="C558" s="32" t="n"/>
      <c r="D558" s="37">
        <f>IF(A558="","",SUMIFS(Donations!$D:$D,Donations!$G:$G,A558))</f>
        <v/>
      </c>
      <c r="E558" s="35">
        <f>IF(A558="","",IF(D558&gt;0,"Yes",""))</f>
        <v/>
      </c>
      <c r="F558" s="38">
        <f>IF($A558="","",SUMIFS(Donations!$D:$D,Donations!$G:$G,$A558,Donations!$F:$F,"&gt;="&amp;'Daily Challenges'!$C$7,Donations!$F:$F,"&lt;="&amp;'Daily Challenges'!$D$7))</f>
        <v/>
      </c>
      <c r="G558" s="38">
        <f>IF($A558="","",SUMIFS(Donations!$D:$D,Donations!$G:$G,$A558,Donations!$F:$F,"&gt;="&amp;'Daily Challenges'!$C$8,Donations!$F:$F,"&lt;="&amp;'Daily Challenges'!$D$8))</f>
        <v/>
      </c>
      <c r="H558" s="38">
        <f>IF($A558="","",SUMIFS(Donations!$D:$D,Donations!$G:$G,$A558,Donations!$F:$F,"&lt;="&amp;'Daily Challenges'!$D$9))</f>
        <v/>
      </c>
      <c r="I558" s="38">
        <f>IF($A558="","",SUMIFS(Donations!$D:$D,Donations!$G:$G,$A558,Donations!$F:$F,"&gt;="&amp;'Daily Challenges'!$C$10,Donations!$F:$F,"&lt;="&amp;'Daily Challenges'!$D$10))</f>
        <v/>
      </c>
      <c r="J558" s="38">
        <f>IF($A558="","",SUMIFS(Donations!$D:$D,Donations!$G:$G,$A558,Donations!$F:$F,"&lt;="&amp;'Daily Challenges'!$D$12))</f>
        <v/>
      </c>
    </row>
    <row r="559">
      <c r="A559" s="32" t="n"/>
      <c r="B559" s="32" t="n"/>
      <c r="C559" s="32" t="n"/>
      <c r="D559" s="37">
        <f>IF(A559="","",SUMIFS(Donations!$D:$D,Donations!$G:$G,A559))</f>
        <v/>
      </c>
      <c r="E559" s="35">
        <f>IF(A559="","",IF(D559&gt;0,"Yes",""))</f>
        <v/>
      </c>
      <c r="F559" s="38">
        <f>IF($A559="","",SUMIFS(Donations!$D:$D,Donations!$G:$G,$A559,Donations!$F:$F,"&gt;="&amp;'Daily Challenges'!$C$7,Donations!$F:$F,"&lt;="&amp;'Daily Challenges'!$D$7))</f>
        <v/>
      </c>
      <c r="G559" s="38">
        <f>IF($A559="","",SUMIFS(Donations!$D:$D,Donations!$G:$G,$A559,Donations!$F:$F,"&gt;="&amp;'Daily Challenges'!$C$8,Donations!$F:$F,"&lt;="&amp;'Daily Challenges'!$D$8))</f>
        <v/>
      </c>
      <c r="H559" s="38">
        <f>IF($A559="","",SUMIFS(Donations!$D:$D,Donations!$G:$G,$A559,Donations!$F:$F,"&lt;="&amp;'Daily Challenges'!$D$9))</f>
        <v/>
      </c>
      <c r="I559" s="38">
        <f>IF($A559="","",SUMIFS(Donations!$D:$D,Donations!$G:$G,$A559,Donations!$F:$F,"&gt;="&amp;'Daily Challenges'!$C$10,Donations!$F:$F,"&lt;="&amp;'Daily Challenges'!$D$10))</f>
        <v/>
      </c>
      <c r="J559" s="38">
        <f>IF($A559="","",SUMIFS(Donations!$D:$D,Donations!$G:$G,$A559,Donations!$F:$F,"&lt;="&amp;'Daily Challenges'!$D$12))</f>
        <v/>
      </c>
    </row>
    <row r="560">
      <c r="A560" s="32" t="n"/>
      <c r="B560" s="32" t="n"/>
      <c r="C560" s="32" t="n"/>
      <c r="D560" s="37">
        <f>IF(A560="","",SUMIFS(Donations!$D:$D,Donations!$G:$G,A560))</f>
        <v/>
      </c>
      <c r="E560" s="35">
        <f>IF(A560="","",IF(D560&gt;0,"Yes",""))</f>
        <v/>
      </c>
      <c r="F560" s="38">
        <f>IF($A560="","",SUMIFS(Donations!$D:$D,Donations!$G:$G,$A560,Donations!$F:$F,"&gt;="&amp;'Daily Challenges'!$C$7,Donations!$F:$F,"&lt;="&amp;'Daily Challenges'!$D$7))</f>
        <v/>
      </c>
      <c r="G560" s="38">
        <f>IF($A560="","",SUMIFS(Donations!$D:$D,Donations!$G:$G,$A560,Donations!$F:$F,"&gt;="&amp;'Daily Challenges'!$C$8,Donations!$F:$F,"&lt;="&amp;'Daily Challenges'!$D$8))</f>
        <v/>
      </c>
      <c r="H560" s="38">
        <f>IF($A560="","",SUMIFS(Donations!$D:$D,Donations!$G:$G,$A560,Donations!$F:$F,"&lt;="&amp;'Daily Challenges'!$D$9))</f>
        <v/>
      </c>
      <c r="I560" s="38">
        <f>IF($A560="","",SUMIFS(Donations!$D:$D,Donations!$G:$G,$A560,Donations!$F:$F,"&gt;="&amp;'Daily Challenges'!$C$10,Donations!$F:$F,"&lt;="&amp;'Daily Challenges'!$D$10))</f>
        <v/>
      </c>
      <c r="J560" s="38">
        <f>IF($A560="","",SUMIFS(Donations!$D:$D,Donations!$G:$G,$A560,Donations!$F:$F,"&lt;="&amp;'Daily Challenges'!$D$12))</f>
        <v/>
      </c>
    </row>
    <row r="561">
      <c r="A561" s="32" t="n"/>
      <c r="B561" s="32" t="n"/>
      <c r="C561" s="32" t="n"/>
      <c r="D561" s="37">
        <f>IF(A561="","",SUMIFS(Donations!$D:$D,Donations!$G:$G,A561))</f>
        <v/>
      </c>
      <c r="E561" s="35">
        <f>IF(A561="","",IF(D561&gt;0,"Yes",""))</f>
        <v/>
      </c>
      <c r="F561" s="38">
        <f>IF($A561="","",SUMIFS(Donations!$D:$D,Donations!$G:$G,$A561,Donations!$F:$F,"&gt;="&amp;'Daily Challenges'!$C$7,Donations!$F:$F,"&lt;="&amp;'Daily Challenges'!$D$7))</f>
        <v/>
      </c>
      <c r="G561" s="38">
        <f>IF($A561="","",SUMIFS(Donations!$D:$D,Donations!$G:$G,$A561,Donations!$F:$F,"&gt;="&amp;'Daily Challenges'!$C$8,Donations!$F:$F,"&lt;="&amp;'Daily Challenges'!$D$8))</f>
        <v/>
      </c>
      <c r="H561" s="38">
        <f>IF($A561="","",SUMIFS(Donations!$D:$D,Donations!$G:$G,$A561,Donations!$F:$F,"&lt;="&amp;'Daily Challenges'!$D$9))</f>
        <v/>
      </c>
      <c r="I561" s="38">
        <f>IF($A561="","",SUMIFS(Donations!$D:$D,Donations!$G:$G,$A561,Donations!$F:$F,"&gt;="&amp;'Daily Challenges'!$C$10,Donations!$F:$F,"&lt;="&amp;'Daily Challenges'!$D$10))</f>
        <v/>
      </c>
      <c r="J561" s="38">
        <f>IF($A561="","",SUMIFS(Donations!$D:$D,Donations!$G:$G,$A561,Donations!$F:$F,"&lt;="&amp;'Daily Challenges'!$D$12))</f>
        <v/>
      </c>
    </row>
    <row r="562">
      <c r="A562" s="32" t="n"/>
      <c r="B562" s="32" t="n"/>
      <c r="C562" s="32" t="n"/>
      <c r="D562" s="37">
        <f>IF(A562="","",SUMIFS(Donations!$D:$D,Donations!$G:$G,A562))</f>
        <v/>
      </c>
      <c r="E562" s="35">
        <f>IF(A562="","",IF(D562&gt;0,"Yes",""))</f>
        <v/>
      </c>
      <c r="F562" s="38">
        <f>IF($A562="","",SUMIFS(Donations!$D:$D,Donations!$G:$G,$A562,Donations!$F:$F,"&gt;="&amp;'Daily Challenges'!$C$7,Donations!$F:$F,"&lt;="&amp;'Daily Challenges'!$D$7))</f>
        <v/>
      </c>
      <c r="G562" s="38">
        <f>IF($A562="","",SUMIFS(Donations!$D:$D,Donations!$G:$G,$A562,Donations!$F:$F,"&gt;="&amp;'Daily Challenges'!$C$8,Donations!$F:$F,"&lt;="&amp;'Daily Challenges'!$D$8))</f>
        <v/>
      </c>
      <c r="H562" s="38">
        <f>IF($A562="","",SUMIFS(Donations!$D:$D,Donations!$G:$G,$A562,Donations!$F:$F,"&lt;="&amp;'Daily Challenges'!$D$9))</f>
        <v/>
      </c>
      <c r="I562" s="38">
        <f>IF($A562="","",SUMIFS(Donations!$D:$D,Donations!$G:$G,$A562,Donations!$F:$F,"&gt;="&amp;'Daily Challenges'!$C$10,Donations!$F:$F,"&lt;="&amp;'Daily Challenges'!$D$10))</f>
        <v/>
      </c>
      <c r="J562" s="38">
        <f>IF($A562="","",SUMIFS(Donations!$D:$D,Donations!$G:$G,$A562,Donations!$F:$F,"&lt;="&amp;'Daily Challenges'!$D$12))</f>
        <v/>
      </c>
    </row>
    <row r="563">
      <c r="A563" s="32" t="n"/>
      <c r="B563" s="32" t="n"/>
      <c r="C563" s="32" t="n"/>
      <c r="D563" s="37">
        <f>IF(A563="","",SUMIFS(Donations!$D:$D,Donations!$G:$G,A563))</f>
        <v/>
      </c>
      <c r="E563" s="35">
        <f>IF(A563="","",IF(D563&gt;0,"Yes",""))</f>
        <v/>
      </c>
      <c r="F563" s="38">
        <f>IF($A563="","",SUMIFS(Donations!$D:$D,Donations!$G:$G,$A563,Donations!$F:$F,"&gt;="&amp;'Daily Challenges'!$C$7,Donations!$F:$F,"&lt;="&amp;'Daily Challenges'!$D$7))</f>
        <v/>
      </c>
      <c r="G563" s="38">
        <f>IF($A563="","",SUMIFS(Donations!$D:$D,Donations!$G:$G,$A563,Donations!$F:$F,"&gt;="&amp;'Daily Challenges'!$C$8,Donations!$F:$F,"&lt;="&amp;'Daily Challenges'!$D$8))</f>
        <v/>
      </c>
      <c r="H563" s="38">
        <f>IF($A563="","",SUMIFS(Donations!$D:$D,Donations!$G:$G,$A563,Donations!$F:$F,"&lt;="&amp;'Daily Challenges'!$D$9))</f>
        <v/>
      </c>
      <c r="I563" s="38">
        <f>IF($A563="","",SUMIFS(Donations!$D:$D,Donations!$G:$G,$A563,Donations!$F:$F,"&gt;="&amp;'Daily Challenges'!$C$10,Donations!$F:$F,"&lt;="&amp;'Daily Challenges'!$D$10))</f>
        <v/>
      </c>
      <c r="J563" s="38">
        <f>IF($A563="","",SUMIFS(Donations!$D:$D,Donations!$G:$G,$A563,Donations!$F:$F,"&lt;="&amp;'Daily Challenges'!$D$12))</f>
        <v/>
      </c>
    </row>
    <row r="564">
      <c r="A564" s="32" t="n"/>
      <c r="B564" s="32" t="n"/>
      <c r="C564" s="32" t="n"/>
      <c r="D564" s="37">
        <f>IF(A564="","",SUMIFS(Donations!$D:$D,Donations!$G:$G,A564))</f>
        <v/>
      </c>
      <c r="E564" s="35">
        <f>IF(A564="","",IF(D564&gt;0,"Yes",""))</f>
        <v/>
      </c>
      <c r="F564" s="38">
        <f>IF($A564="","",SUMIFS(Donations!$D:$D,Donations!$G:$G,$A564,Donations!$F:$F,"&gt;="&amp;'Daily Challenges'!$C$7,Donations!$F:$F,"&lt;="&amp;'Daily Challenges'!$D$7))</f>
        <v/>
      </c>
      <c r="G564" s="38">
        <f>IF($A564="","",SUMIFS(Donations!$D:$D,Donations!$G:$G,$A564,Donations!$F:$F,"&gt;="&amp;'Daily Challenges'!$C$8,Donations!$F:$F,"&lt;="&amp;'Daily Challenges'!$D$8))</f>
        <v/>
      </c>
      <c r="H564" s="38">
        <f>IF($A564="","",SUMIFS(Donations!$D:$D,Donations!$G:$G,$A564,Donations!$F:$F,"&lt;="&amp;'Daily Challenges'!$D$9))</f>
        <v/>
      </c>
      <c r="I564" s="38">
        <f>IF($A564="","",SUMIFS(Donations!$D:$D,Donations!$G:$G,$A564,Donations!$F:$F,"&gt;="&amp;'Daily Challenges'!$C$10,Donations!$F:$F,"&lt;="&amp;'Daily Challenges'!$D$10))</f>
        <v/>
      </c>
      <c r="J564" s="38">
        <f>IF($A564="","",SUMIFS(Donations!$D:$D,Donations!$G:$G,$A564,Donations!$F:$F,"&lt;="&amp;'Daily Challenges'!$D$12))</f>
        <v/>
      </c>
    </row>
    <row r="565">
      <c r="A565" s="32" t="n"/>
      <c r="B565" s="32" t="n"/>
      <c r="C565" s="32" t="n"/>
      <c r="D565" s="37">
        <f>IF(A565="","",SUMIFS(Donations!$D:$D,Donations!$G:$G,A565))</f>
        <v/>
      </c>
      <c r="E565" s="35">
        <f>IF(A565="","",IF(D565&gt;0,"Yes",""))</f>
        <v/>
      </c>
      <c r="F565" s="38">
        <f>IF($A565="","",SUMIFS(Donations!$D:$D,Donations!$G:$G,$A565,Donations!$F:$F,"&gt;="&amp;'Daily Challenges'!$C$7,Donations!$F:$F,"&lt;="&amp;'Daily Challenges'!$D$7))</f>
        <v/>
      </c>
      <c r="G565" s="38">
        <f>IF($A565="","",SUMIFS(Donations!$D:$D,Donations!$G:$G,$A565,Donations!$F:$F,"&gt;="&amp;'Daily Challenges'!$C$8,Donations!$F:$F,"&lt;="&amp;'Daily Challenges'!$D$8))</f>
        <v/>
      </c>
      <c r="H565" s="38">
        <f>IF($A565="","",SUMIFS(Donations!$D:$D,Donations!$G:$G,$A565,Donations!$F:$F,"&lt;="&amp;'Daily Challenges'!$D$9))</f>
        <v/>
      </c>
      <c r="I565" s="38">
        <f>IF($A565="","",SUMIFS(Donations!$D:$D,Donations!$G:$G,$A565,Donations!$F:$F,"&gt;="&amp;'Daily Challenges'!$C$10,Donations!$F:$F,"&lt;="&amp;'Daily Challenges'!$D$10))</f>
        <v/>
      </c>
      <c r="J565" s="38">
        <f>IF($A565="","",SUMIFS(Donations!$D:$D,Donations!$G:$G,$A565,Donations!$F:$F,"&lt;="&amp;'Daily Challenges'!$D$12))</f>
        <v/>
      </c>
    </row>
    <row r="566">
      <c r="A566" s="32" t="n"/>
      <c r="B566" s="32" t="n"/>
      <c r="C566" s="32" t="n"/>
      <c r="D566" s="37">
        <f>IF(A566="","",SUMIFS(Donations!$D:$D,Donations!$G:$G,A566))</f>
        <v/>
      </c>
      <c r="E566" s="35">
        <f>IF(A566="","",IF(D566&gt;0,"Yes",""))</f>
        <v/>
      </c>
      <c r="F566" s="38">
        <f>IF($A566="","",SUMIFS(Donations!$D:$D,Donations!$G:$G,$A566,Donations!$F:$F,"&gt;="&amp;'Daily Challenges'!$C$7,Donations!$F:$F,"&lt;="&amp;'Daily Challenges'!$D$7))</f>
        <v/>
      </c>
      <c r="G566" s="38">
        <f>IF($A566="","",SUMIFS(Donations!$D:$D,Donations!$G:$G,$A566,Donations!$F:$F,"&gt;="&amp;'Daily Challenges'!$C$8,Donations!$F:$F,"&lt;="&amp;'Daily Challenges'!$D$8))</f>
        <v/>
      </c>
      <c r="H566" s="38">
        <f>IF($A566="","",SUMIFS(Donations!$D:$D,Donations!$G:$G,$A566,Donations!$F:$F,"&lt;="&amp;'Daily Challenges'!$D$9))</f>
        <v/>
      </c>
      <c r="I566" s="38">
        <f>IF($A566="","",SUMIFS(Donations!$D:$D,Donations!$G:$G,$A566,Donations!$F:$F,"&gt;="&amp;'Daily Challenges'!$C$10,Donations!$F:$F,"&lt;="&amp;'Daily Challenges'!$D$10))</f>
        <v/>
      </c>
      <c r="J566" s="38">
        <f>IF($A566="","",SUMIFS(Donations!$D:$D,Donations!$G:$G,$A566,Donations!$F:$F,"&lt;="&amp;'Daily Challenges'!$D$12))</f>
        <v/>
      </c>
    </row>
    <row r="567">
      <c r="A567" s="32" t="n"/>
      <c r="B567" s="32" t="n"/>
      <c r="C567" s="32" t="n"/>
      <c r="D567" s="37">
        <f>IF(A567="","",SUMIFS(Donations!$D:$D,Donations!$G:$G,A567))</f>
        <v/>
      </c>
      <c r="E567" s="35">
        <f>IF(A567="","",IF(D567&gt;0,"Yes",""))</f>
        <v/>
      </c>
      <c r="F567" s="38">
        <f>IF($A567="","",SUMIFS(Donations!$D:$D,Donations!$G:$G,$A567,Donations!$F:$F,"&gt;="&amp;'Daily Challenges'!$C$7,Donations!$F:$F,"&lt;="&amp;'Daily Challenges'!$D$7))</f>
        <v/>
      </c>
      <c r="G567" s="38">
        <f>IF($A567="","",SUMIFS(Donations!$D:$D,Donations!$G:$G,$A567,Donations!$F:$F,"&gt;="&amp;'Daily Challenges'!$C$8,Donations!$F:$F,"&lt;="&amp;'Daily Challenges'!$D$8))</f>
        <v/>
      </c>
      <c r="H567" s="38">
        <f>IF($A567="","",SUMIFS(Donations!$D:$D,Donations!$G:$G,$A567,Donations!$F:$F,"&lt;="&amp;'Daily Challenges'!$D$9))</f>
        <v/>
      </c>
      <c r="I567" s="38">
        <f>IF($A567="","",SUMIFS(Donations!$D:$D,Donations!$G:$G,$A567,Donations!$F:$F,"&gt;="&amp;'Daily Challenges'!$C$10,Donations!$F:$F,"&lt;="&amp;'Daily Challenges'!$D$10))</f>
        <v/>
      </c>
      <c r="J567" s="38">
        <f>IF($A567="","",SUMIFS(Donations!$D:$D,Donations!$G:$G,$A567,Donations!$F:$F,"&lt;="&amp;'Daily Challenges'!$D$12))</f>
        <v/>
      </c>
    </row>
    <row r="568">
      <c r="A568" s="32" t="n"/>
      <c r="B568" s="32" t="n"/>
      <c r="C568" s="32" t="n"/>
      <c r="D568" s="37">
        <f>IF(A568="","",SUMIFS(Donations!$D:$D,Donations!$G:$G,A568))</f>
        <v/>
      </c>
      <c r="E568" s="35">
        <f>IF(A568="","",IF(D568&gt;0,"Yes",""))</f>
        <v/>
      </c>
      <c r="F568" s="38">
        <f>IF($A568="","",SUMIFS(Donations!$D:$D,Donations!$G:$G,$A568,Donations!$F:$F,"&gt;="&amp;'Daily Challenges'!$C$7,Donations!$F:$F,"&lt;="&amp;'Daily Challenges'!$D$7))</f>
        <v/>
      </c>
      <c r="G568" s="38">
        <f>IF($A568="","",SUMIFS(Donations!$D:$D,Donations!$G:$G,$A568,Donations!$F:$F,"&gt;="&amp;'Daily Challenges'!$C$8,Donations!$F:$F,"&lt;="&amp;'Daily Challenges'!$D$8))</f>
        <v/>
      </c>
      <c r="H568" s="38">
        <f>IF($A568="","",SUMIFS(Donations!$D:$D,Donations!$G:$G,$A568,Donations!$F:$F,"&lt;="&amp;'Daily Challenges'!$D$9))</f>
        <v/>
      </c>
      <c r="I568" s="38">
        <f>IF($A568="","",SUMIFS(Donations!$D:$D,Donations!$G:$G,$A568,Donations!$F:$F,"&gt;="&amp;'Daily Challenges'!$C$10,Donations!$F:$F,"&lt;="&amp;'Daily Challenges'!$D$10))</f>
        <v/>
      </c>
      <c r="J568" s="38">
        <f>IF($A568="","",SUMIFS(Donations!$D:$D,Donations!$G:$G,$A568,Donations!$F:$F,"&lt;="&amp;'Daily Challenges'!$D$12))</f>
        <v/>
      </c>
    </row>
    <row r="569">
      <c r="A569" s="32" t="n"/>
      <c r="B569" s="32" t="n"/>
      <c r="C569" s="32" t="n"/>
      <c r="D569" s="37">
        <f>IF(A569="","",SUMIFS(Donations!$D:$D,Donations!$G:$G,A569))</f>
        <v/>
      </c>
      <c r="E569" s="35">
        <f>IF(A569="","",IF(D569&gt;0,"Yes",""))</f>
        <v/>
      </c>
      <c r="F569" s="38">
        <f>IF($A569="","",SUMIFS(Donations!$D:$D,Donations!$G:$G,$A569,Donations!$F:$F,"&gt;="&amp;'Daily Challenges'!$C$7,Donations!$F:$F,"&lt;="&amp;'Daily Challenges'!$D$7))</f>
        <v/>
      </c>
      <c r="G569" s="38">
        <f>IF($A569="","",SUMIFS(Donations!$D:$D,Donations!$G:$G,$A569,Donations!$F:$F,"&gt;="&amp;'Daily Challenges'!$C$8,Donations!$F:$F,"&lt;="&amp;'Daily Challenges'!$D$8))</f>
        <v/>
      </c>
      <c r="H569" s="38">
        <f>IF($A569="","",SUMIFS(Donations!$D:$D,Donations!$G:$G,$A569,Donations!$F:$F,"&lt;="&amp;'Daily Challenges'!$D$9))</f>
        <v/>
      </c>
      <c r="I569" s="38">
        <f>IF($A569="","",SUMIFS(Donations!$D:$D,Donations!$G:$G,$A569,Donations!$F:$F,"&gt;="&amp;'Daily Challenges'!$C$10,Donations!$F:$F,"&lt;="&amp;'Daily Challenges'!$D$10))</f>
        <v/>
      </c>
      <c r="J569" s="38">
        <f>IF($A569="","",SUMIFS(Donations!$D:$D,Donations!$G:$G,$A569,Donations!$F:$F,"&lt;="&amp;'Daily Challenges'!$D$12))</f>
        <v/>
      </c>
    </row>
    <row r="570">
      <c r="A570" s="32" t="n"/>
      <c r="B570" s="32" t="n"/>
      <c r="C570" s="32" t="n"/>
      <c r="D570" s="37">
        <f>IF(A570="","",SUMIFS(Donations!$D:$D,Donations!$G:$G,A570))</f>
        <v/>
      </c>
      <c r="E570" s="35">
        <f>IF(A570="","",IF(D570&gt;0,"Yes",""))</f>
        <v/>
      </c>
      <c r="F570" s="38">
        <f>IF($A570="","",SUMIFS(Donations!$D:$D,Donations!$G:$G,$A570,Donations!$F:$F,"&gt;="&amp;'Daily Challenges'!$C$7,Donations!$F:$F,"&lt;="&amp;'Daily Challenges'!$D$7))</f>
        <v/>
      </c>
      <c r="G570" s="38">
        <f>IF($A570="","",SUMIFS(Donations!$D:$D,Donations!$G:$G,$A570,Donations!$F:$F,"&gt;="&amp;'Daily Challenges'!$C$8,Donations!$F:$F,"&lt;="&amp;'Daily Challenges'!$D$8))</f>
        <v/>
      </c>
      <c r="H570" s="38">
        <f>IF($A570="","",SUMIFS(Donations!$D:$D,Donations!$G:$G,$A570,Donations!$F:$F,"&lt;="&amp;'Daily Challenges'!$D$9))</f>
        <v/>
      </c>
      <c r="I570" s="38">
        <f>IF($A570="","",SUMIFS(Donations!$D:$D,Donations!$G:$G,$A570,Donations!$F:$F,"&gt;="&amp;'Daily Challenges'!$C$10,Donations!$F:$F,"&lt;="&amp;'Daily Challenges'!$D$10))</f>
        <v/>
      </c>
      <c r="J570" s="38">
        <f>IF($A570="","",SUMIFS(Donations!$D:$D,Donations!$G:$G,$A570,Donations!$F:$F,"&lt;="&amp;'Daily Challenges'!$D$12))</f>
        <v/>
      </c>
    </row>
    <row r="571">
      <c r="A571" s="32" t="n"/>
      <c r="B571" s="32" t="n"/>
      <c r="C571" s="32" t="n"/>
      <c r="D571" s="37">
        <f>IF(A571="","",SUMIFS(Donations!$D:$D,Donations!$G:$G,A571))</f>
        <v/>
      </c>
      <c r="E571" s="35">
        <f>IF(A571="","",IF(D571&gt;0,"Yes",""))</f>
        <v/>
      </c>
      <c r="F571" s="38">
        <f>IF($A571="","",SUMIFS(Donations!$D:$D,Donations!$G:$G,$A571,Donations!$F:$F,"&gt;="&amp;'Daily Challenges'!$C$7,Donations!$F:$F,"&lt;="&amp;'Daily Challenges'!$D$7))</f>
        <v/>
      </c>
      <c r="G571" s="38">
        <f>IF($A571="","",SUMIFS(Donations!$D:$D,Donations!$G:$G,$A571,Donations!$F:$F,"&gt;="&amp;'Daily Challenges'!$C$8,Donations!$F:$F,"&lt;="&amp;'Daily Challenges'!$D$8))</f>
        <v/>
      </c>
      <c r="H571" s="38">
        <f>IF($A571="","",SUMIFS(Donations!$D:$D,Donations!$G:$G,$A571,Donations!$F:$F,"&lt;="&amp;'Daily Challenges'!$D$9))</f>
        <v/>
      </c>
      <c r="I571" s="38">
        <f>IF($A571="","",SUMIFS(Donations!$D:$D,Donations!$G:$G,$A571,Donations!$F:$F,"&gt;="&amp;'Daily Challenges'!$C$10,Donations!$F:$F,"&lt;="&amp;'Daily Challenges'!$D$10))</f>
        <v/>
      </c>
      <c r="J571" s="38">
        <f>IF($A571="","",SUMIFS(Donations!$D:$D,Donations!$G:$G,$A571,Donations!$F:$F,"&lt;="&amp;'Daily Challenges'!$D$12))</f>
        <v/>
      </c>
    </row>
    <row r="572">
      <c r="A572" s="32" t="n"/>
      <c r="B572" s="32" t="n"/>
      <c r="C572" s="32" t="n"/>
      <c r="D572" s="37">
        <f>IF(A572="","",SUMIFS(Donations!$D:$D,Donations!$G:$G,A572))</f>
        <v/>
      </c>
      <c r="E572" s="35">
        <f>IF(A572="","",IF(D572&gt;0,"Yes",""))</f>
        <v/>
      </c>
      <c r="F572" s="38">
        <f>IF($A572="","",SUMIFS(Donations!$D:$D,Donations!$G:$G,$A572,Donations!$F:$F,"&gt;="&amp;'Daily Challenges'!$C$7,Donations!$F:$F,"&lt;="&amp;'Daily Challenges'!$D$7))</f>
        <v/>
      </c>
      <c r="G572" s="38">
        <f>IF($A572="","",SUMIFS(Donations!$D:$D,Donations!$G:$G,$A572,Donations!$F:$F,"&gt;="&amp;'Daily Challenges'!$C$8,Donations!$F:$F,"&lt;="&amp;'Daily Challenges'!$D$8))</f>
        <v/>
      </c>
      <c r="H572" s="38">
        <f>IF($A572="","",SUMIFS(Donations!$D:$D,Donations!$G:$G,$A572,Donations!$F:$F,"&lt;="&amp;'Daily Challenges'!$D$9))</f>
        <v/>
      </c>
      <c r="I572" s="38">
        <f>IF($A572="","",SUMIFS(Donations!$D:$D,Donations!$G:$G,$A572,Donations!$F:$F,"&gt;="&amp;'Daily Challenges'!$C$10,Donations!$F:$F,"&lt;="&amp;'Daily Challenges'!$D$10))</f>
        <v/>
      </c>
      <c r="J572" s="38">
        <f>IF($A572="","",SUMIFS(Donations!$D:$D,Donations!$G:$G,$A572,Donations!$F:$F,"&lt;="&amp;'Daily Challenges'!$D$12))</f>
        <v/>
      </c>
    </row>
    <row r="573">
      <c r="A573" s="32" t="n"/>
      <c r="B573" s="32" t="n"/>
      <c r="C573" s="32" t="n"/>
      <c r="D573" s="37">
        <f>IF(A573="","",SUMIFS(Donations!$D:$D,Donations!$G:$G,A573))</f>
        <v/>
      </c>
      <c r="E573" s="35">
        <f>IF(A573="","",IF(D573&gt;0,"Yes",""))</f>
        <v/>
      </c>
      <c r="F573" s="38">
        <f>IF($A573="","",SUMIFS(Donations!$D:$D,Donations!$G:$G,$A573,Donations!$F:$F,"&gt;="&amp;'Daily Challenges'!$C$7,Donations!$F:$F,"&lt;="&amp;'Daily Challenges'!$D$7))</f>
        <v/>
      </c>
      <c r="G573" s="38">
        <f>IF($A573="","",SUMIFS(Donations!$D:$D,Donations!$G:$G,$A573,Donations!$F:$F,"&gt;="&amp;'Daily Challenges'!$C$8,Donations!$F:$F,"&lt;="&amp;'Daily Challenges'!$D$8))</f>
        <v/>
      </c>
      <c r="H573" s="38">
        <f>IF($A573="","",SUMIFS(Donations!$D:$D,Donations!$G:$G,$A573,Donations!$F:$F,"&lt;="&amp;'Daily Challenges'!$D$9))</f>
        <v/>
      </c>
      <c r="I573" s="38">
        <f>IF($A573="","",SUMIFS(Donations!$D:$D,Donations!$G:$G,$A573,Donations!$F:$F,"&gt;="&amp;'Daily Challenges'!$C$10,Donations!$F:$F,"&lt;="&amp;'Daily Challenges'!$D$10))</f>
        <v/>
      </c>
      <c r="J573" s="38">
        <f>IF($A573="","",SUMIFS(Donations!$D:$D,Donations!$G:$G,$A573,Donations!$F:$F,"&lt;="&amp;'Daily Challenges'!$D$12))</f>
        <v/>
      </c>
    </row>
    <row r="574">
      <c r="A574" s="32" t="n"/>
      <c r="B574" s="32" t="n"/>
      <c r="C574" s="32" t="n"/>
      <c r="D574" s="37">
        <f>IF(A574="","",SUMIFS(Donations!$D:$D,Donations!$G:$G,A574))</f>
        <v/>
      </c>
      <c r="E574" s="35">
        <f>IF(A574="","",IF(D574&gt;0,"Yes",""))</f>
        <v/>
      </c>
      <c r="F574" s="38">
        <f>IF($A574="","",SUMIFS(Donations!$D:$D,Donations!$G:$G,$A574,Donations!$F:$F,"&gt;="&amp;'Daily Challenges'!$C$7,Donations!$F:$F,"&lt;="&amp;'Daily Challenges'!$D$7))</f>
        <v/>
      </c>
      <c r="G574" s="38">
        <f>IF($A574="","",SUMIFS(Donations!$D:$D,Donations!$G:$G,$A574,Donations!$F:$F,"&gt;="&amp;'Daily Challenges'!$C$8,Donations!$F:$F,"&lt;="&amp;'Daily Challenges'!$D$8))</f>
        <v/>
      </c>
      <c r="H574" s="38">
        <f>IF($A574="","",SUMIFS(Donations!$D:$D,Donations!$G:$G,$A574,Donations!$F:$F,"&lt;="&amp;'Daily Challenges'!$D$9))</f>
        <v/>
      </c>
      <c r="I574" s="38">
        <f>IF($A574="","",SUMIFS(Donations!$D:$D,Donations!$G:$G,$A574,Donations!$F:$F,"&gt;="&amp;'Daily Challenges'!$C$10,Donations!$F:$F,"&lt;="&amp;'Daily Challenges'!$D$10))</f>
        <v/>
      </c>
      <c r="J574" s="38">
        <f>IF($A574="","",SUMIFS(Donations!$D:$D,Donations!$G:$G,$A574,Donations!$F:$F,"&lt;="&amp;'Daily Challenges'!$D$12))</f>
        <v/>
      </c>
    </row>
    <row r="575">
      <c r="A575" s="32" t="n"/>
      <c r="B575" s="32" t="n"/>
      <c r="C575" s="32" t="n"/>
      <c r="D575" s="37">
        <f>IF(A575="","",SUMIFS(Donations!$D:$D,Donations!$G:$G,A575))</f>
        <v/>
      </c>
      <c r="E575" s="35">
        <f>IF(A575="","",IF(D575&gt;0,"Yes",""))</f>
        <v/>
      </c>
      <c r="F575" s="38">
        <f>IF($A575="","",SUMIFS(Donations!$D:$D,Donations!$G:$G,$A575,Donations!$F:$F,"&gt;="&amp;'Daily Challenges'!$C$7,Donations!$F:$F,"&lt;="&amp;'Daily Challenges'!$D$7))</f>
        <v/>
      </c>
      <c r="G575" s="38">
        <f>IF($A575="","",SUMIFS(Donations!$D:$D,Donations!$G:$G,$A575,Donations!$F:$F,"&gt;="&amp;'Daily Challenges'!$C$8,Donations!$F:$F,"&lt;="&amp;'Daily Challenges'!$D$8))</f>
        <v/>
      </c>
      <c r="H575" s="38">
        <f>IF($A575="","",SUMIFS(Donations!$D:$D,Donations!$G:$G,$A575,Donations!$F:$F,"&lt;="&amp;'Daily Challenges'!$D$9))</f>
        <v/>
      </c>
      <c r="I575" s="38">
        <f>IF($A575="","",SUMIFS(Donations!$D:$D,Donations!$G:$G,$A575,Donations!$F:$F,"&gt;="&amp;'Daily Challenges'!$C$10,Donations!$F:$F,"&lt;="&amp;'Daily Challenges'!$D$10))</f>
        <v/>
      </c>
      <c r="J575" s="38">
        <f>IF($A575="","",SUMIFS(Donations!$D:$D,Donations!$G:$G,$A575,Donations!$F:$F,"&lt;="&amp;'Daily Challenges'!$D$12))</f>
        <v/>
      </c>
    </row>
    <row r="576">
      <c r="A576" s="32" t="n"/>
      <c r="B576" s="32" t="n"/>
      <c r="C576" s="32" t="n"/>
      <c r="D576" s="37">
        <f>IF(A576="","",SUMIFS(Donations!$D:$D,Donations!$G:$G,A576))</f>
        <v/>
      </c>
      <c r="E576" s="35">
        <f>IF(A576="","",IF(D576&gt;0,"Yes",""))</f>
        <v/>
      </c>
      <c r="F576" s="38">
        <f>IF($A576="","",SUMIFS(Donations!$D:$D,Donations!$G:$G,$A576,Donations!$F:$F,"&gt;="&amp;'Daily Challenges'!$C$7,Donations!$F:$F,"&lt;="&amp;'Daily Challenges'!$D$7))</f>
        <v/>
      </c>
      <c r="G576" s="38">
        <f>IF($A576="","",SUMIFS(Donations!$D:$D,Donations!$G:$G,$A576,Donations!$F:$F,"&gt;="&amp;'Daily Challenges'!$C$8,Donations!$F:$F,"&lt;="&amp;'Daily Challenges'!$D$8))</f>
        <v/>
      </c>
      <c r="H576" s="38">
        <f>IF($A576="","",SUMIFS(Donations!$D:$D,Donations!$G:$G,$A576,Donations!$F:$F,"&lt;="&amp;'Daily Challenges'!$D$9))</f>
        <v/>
      </c>
      <c r="I576" s="38">
        <f>IF($A576="","",SUMIFS(Donations!$D:$D,Donations!$G:$G,$A576,Donations!$F:$F,"&gt;="&amp;'Daily Challenges'!$C$10,Donations!$F:$F,"&lt;="&amp;'Daily Challenges'!$D$10))</f>
        <v/>
      </c>
      <c r="J576" s="38">
        <f>IF($A576="","",SUMIFS(Donations!$D:$D,Donations!$G:$G,$A576,Donations!$F:$F,"&lt;="&amp;'Daily Challenges'!$D$12))</f>
        <v/>
      </c>
    </row>
    <row r="577">
      <c r="A577" s="32" t="n"/>
      <c r="B577" s="32" t="n"/>
      <c r="C577" s="32" t="n"/>
      <c r="D577" s="37">
        <f>IF(A577="","",SUMIFS(Donations!$D:$D,Donations!$G:$G,A577))</f>
        <v/>
      </c>
      <c r="E577" s="35">
        <f>IF(A577="","",IF(D577&gt;0,"Yes",""))</f>
        <v/>
      </c>
      <c r="F577" s="38">
        <f>IF($A577="","",SUMIFS(Donations!$D:$D,Donations!$G:$G,$A577,Donations!$F:$F,"&gt;="&amp;'Daily Challenges'!$C$7,Donations!$F:$F,"&lt;="&amp;'Daily Challenges'!$D$7))</f>
        <v/>
      </c>
      <c r="G577" s="38">
        <f>IF($A577="","",SUMIFS(Donations!$D:$D,Donations!$G:$G,$A577,Donations!$F:$F,"&gt;="&amp;'Daily Challenges'!$C$8,Donations!$F:$F,"&lt;="&amp;'Daily Challenges'!$D$8))</f>
        <v/>
      </c>
      <c r="H577" s="38">
        <f>IF($A577="","",SUMIFS(Donations!$D:$D,Donations!$G:$G,$A577,Donations!$F:$F,"&lt;="&amp;'Daily Challenges'!$D$9))</f>
        <v/>
      </c>
      <c r="I577" s="38">
        <f>IF($A577="","",SUMIFS(Donations!$D:$D,Donations!$G:$G,$A577,Donations!$F:$F,"&gt;="&amp;'Daily Challenges'!$C$10,Donations!$F:$F,"&lt;="&amp;'Daily Challenges'!$D$10))</f>
        <v/>
      </c>
      <c r="J577" s="38">
        <f>IF($A577="","",SUMIFS(Donations!$D:$D,Donations!$G:$G,$A577,Donations!$F:$F,"&lt;="&amp;'Daily Challenges'!$D$12))</f>
        <v/>
      </c>
    </row>
    <row r="578">
      <c r="A578" s="32" t="n"/>
      <c r="B578" s="32" t="n"/>
      <c r="C578" s="32" t="n"/>
      <c r="D578" s="37">
        <f>IF(A578="","",SUMIFS(Donations!$D:$D,Donations!$G:$G,A578))</f>
        <v/>
      </c>
      <c r="E578" s="35">
        <f>IF(A578="","",IF(D578&gt;0,"Yes",""))</f>
        <v/>
      </c>
      <c r="F578" s="38">
        <f>IF($A578="","",SUMIFS(Donations!$D:$D,Donations!$G:$G,$A578,Donations!$F:$F,"&gt;="&amp;'Daily Challenges'!$C$7,Donations!$F:$F,"&lt;="&amp;'Daily Challenges'!$D$7))</f>
        <v/>
      </c>
      <c r="G578" s="38">
        <f>IF($A578="","",SUMIFS(Donations!$D:$D,Donations!$G:$G,$A578,Donations!$F:$F,"&gt;="&amp;'Daily Challenges'!$C$8,Donations!$F:$F,"&lt;="&amp;'Daily Challenges'!$D$8))</f>
        <v/>
      </c>
      <c r="H578" s="38">
        <f>IF($A578="","",SUMIFS(Donations!$D:$D,Donations!$G:$G,$A578,Donations!$F:$F,"&lt;="&amp;'Daily Challenges'!$D$9))</f>
        <v/>
      </c>
      <c r="I578" s="38">
        <f>IF($A578="","",SUMIFS(Donations!$D:$D,Donations!$G:$G,$A578,Donations!$F:$F,"&gt;="&amp;'Daily Challenges'!$C$10,Donations!$F:$F,"&lt;="&amp;'Daily Challenges'!$D$10))</f>
        <v/>
      </c>
      <c r="J578" s="38">
        <f>IF($A578="","",SUMIFS(Donations!$D:$D,Donations!$G:$G,$A578,Donations!$F:$F,"&lt;="&amp;'Daily Challenges'!$D$12))</f>
        <v/>
      </c>
    </row>
    <row r="579">
      <c r="A579" s="32" t="n"/>
      <c r="B579" s="32" t="n"/>
      <c r="C579" s="32" t="n"/>
      <c r="D579" s="37">
        <f>IF(A579="","",SUMIFS(Donations!$D:$D,Donations!$G:$G,A579))</f>
        <v/>
      </c>
      <c r="E579" s="35">
        <f>IF(A579="","",IF(D579&gt;0,"Yes",""))</f>
        <v/>
      </c>
      <c r="F579" s="38">
        <f>IF($A579="","",SUMIFS(Donations!$D:$D,Donations!$G:$G,$A579,Donations!$F:$F,"&gt;="&amp;'Daily Challenges'!$C$7,Donations!$F:$F,"&lt;="&amp;'Daily Challenges'!$D$7))</f>
        <v/>
      </c>
      <c r="G579" s="38">
        <f>IF($A579="","",SUMIFS(Donations!$D:$D,Donations!$G:$G,$A579,Donations!$F:$F,"&gt;="&amp;'Daily Challenges'!$C$8,Donations!$F:$F,"&lt;="&amp;'Daily Challenges'!$D$8))</f>
        <v/>
      </c>
      <c r="H579" s="38">
        <f>IF($A579="","",SUMIFS(Donations!$D:$D,Donations!$G:$G,$A579,Donations!$F:$F,"&lt;="&amp;'Daily Challenges'!$D$9))</f>
        <v/>
      </c>
      <c r="I579" s="38">
        <f>IF($A579="","",SUMIFS(Donations!$D:$D,Donations!$G:$G,$A579,Donations!$F:$F,"&gt;="&amp;'Daily Challenges'!$C$10,Donations!$F:$F,"&lt;="&amp;'Daily Challenges'!$D$10))</f>
        <v/>
      </c>
      <c r="J579" s="38">
        <f>IF($A579="","",SUMIFS(Donations!$D:$D,Donations!$G:$G,$A579,Donations!$F:$F,"&lt;="&amp;'Daily Challenges'!$D$12))</f>
        <v/>
      </c>
    </row>
    <row r="580">
      <c r="A580" s="32" t="n"/>
      <c r="B580" s="32" t="n"/>
      <c r="C580" s="32" t="n"/>
      <c r="D580" s="37">
        <f>IF(A580="","",SUMIFS(Donations!$D:$D,Donations!$G:$G,A580))</f>
        <v/>
      </c>
      <c r="E580" s="35">
        <f>IF(A580="","",IF(D580&gt;0,"Yes",""))</f>
        <v/>
      </c>
      <c r="F580" s="38">
        <f>IF($A580="","",SUMIFS(Donations!$D:$D,Donations!$G:$G,$A580,Donations!$F:$F,"&gt;="&amp;'Daily Challenges'!$C$7,Donations!$F:$F,"&lt;="&amp;'Daily Challenges'!$D$7))</f>
        <v/>
      </c>
      <c r="G580" s="38">
        <f>IF($A580="","",SUMIFS(Donations!$D:$D,Donations!$G:$G,$A580,Donations!$F:$F,"&gt;="&amp;'Daily Challenges'!$C$8,Donations!$F:$F,"&lt;="&amp;'Daily Challenges'!$D$8))</f>
        <v/>
      </c>
      <c r="H580" s="38">
        <f>IF($A580="","",SUMIFS(Donations!$D:$D,Donations!$G:$G,$A580,Donations!$F:$F,"&lt;="&amp;'Daily Challenges'!$D$9))</f>
        <v/>
      </c>
      <c r="I580" s="38">
        <f>IF($A580="","",SUMIFS(Donations!$D:$D,Donations!$G:$G,$A580,Donations!$F:$F,"&gt;="&amp;'Daily Challenges'!$C$10,Donations!$F:$F,"&lt;="&amp;'Daily Challenges'!$D$10))</f>
        <v/>
      </c>
      <c r="J580" s="38">
        <f>IF($A580="","",SUMIFS(Donations!$D:$D,Donations!$G:$G,$A580,Donations!$F:$F,"&lt;="&amp;'Daily Challenges'!$D$12))</f>
        <v/>
      </c>
    </row>
    <row r="581">
      <c r="A581" s="32" t="n"/>
      <c r="B581" s="32" t="n"/>
      <c r="C581" s="32" t="n"/>
      <c r="D581" s="37">
        <f>IF(A581="","",SUMIFS(Donations!$D:$D,Donations!$G:$G,A581))</f>
        <v/>
      </c>
      <c r="E581" s="35">
        <f>IF(A581="","",IF(D581&gt;0,"Yes",""))</f>
        <v/>
      </c>
      <c r="F581" s="38">
        <f>IF($A581="","",SUMIFS(Donations!$D:$D,Donations!$G:$G,$A581,Donations!$F:$F,"&gt;="&amp;'Daily Challenges'!$C$7,Donations!$F:$F,"&lt;="&amp;'Daily Challenges'!$D$7))</f>
        <v/>
      </c>
      <c r="G581" s="38">
        <f>IF($A581="","",SUMIFS(Donations!$D:$D,Donations!$G:$G,$A581,Donations!$F:$F,"&gt;="&amp;'Daily Challenges'!$C$8,Donations!$F:$F,"&lt;="&amp;'Daily Challenges'!$D$8))</f>
        <v/>
      </c>
      <c r="H581" s="38">
        <f>IF($A581="","",SUMIFS(Donations!$D:$D,Donations!$G:$G,$A581,Donations!$F:$F,"&lt;="&amp;'Daily Challenges'!$D$9))</f>
        <v/>
      </c>
      <c r="I581" s="38">
        <f>IF($A581="","",SUMIFS(Donations!$D:$D,Donations!$G:$G,$A581,Donations!$F:$F,"&gt;="&amp;'Daily Challenges'!$C$10,Donations!$F:$F,"&lt;="&amp;'Daily Challenges'!$D$10))</f>
        <v/>
      </c>
      <c r="J581" s="38">
        <f>IF($A581="","",SUMIFS(Donations!$D:$D,Donations!$G:$G,$A581,Donations!$F:$F,"&lt;="&amp;'Daily Challenges'!$D$12))</f>
        <v/>
      </c>
    </row>
    <row r="582">
      <c r="A582" s="32" t="n"/>
      <c r="B582" s="32" t="n"/>
      <c r="C582" s="32" t="n"/>
      <c r="D582" s="37">
        <f>IF(A582="","",SUMIFS(Donations!$D:$D,Donations!$G:$G,A582))</f>
        <v/>
      </c>
      <c r="E582" s="35">
        <f>IF(A582="","",IF(D582&gt;0,"Yes",""))</f>
        <v/>
      </c>
      <c r="F582" s="38">
        <f>IF($A582="","",SUMIFS(Donations!$D:$D,Donations!$G:$G,$A582,Donations!$F:$F,"&gt;="&amp;'Daily Challenges'!$C$7,Donations!$F:$F,"&lt;="&amp;'Daily Challenges'!$D$7))</f>
        <v/>
      </c>
      <c r="G582" s="38">
        <f>IF($A582="","",SUMIFS(Donations!$D:$D,Donations!$G:$G,$A582,Donations!$F:$F,"&gt;="&amp;'Daily Challenges'!$C$8,Donations!$F:$F,"&lt;="&amp;'Daily Challenges'!$D$8))</f>
        <v/>
      </c>
      <c r="H582" s="38">
        <f>IF($A582="","",SUMIFS(Donations!$D:$D,Donations!$G:$G,$A582,Donations!$F:$F,"&lt;="&amp;'Daily Challenges'!$D$9))</f>
        <v/>
      </c>
      <c r="I582" s="38">
        <f>IF($A582="","",SUMIFS(Donations!$D:$D,Donations!$G:$G,$A582,Donations!$F:$F,"&gt;="&amp;'Daily Challenges'!$C$10,Donations!$F:$F,"&lt;="&amp;'Daily Challenges'!$D$10))</f>
        <v/>
      </c>
      <c r="J582" s="38">
        <f>IF($A582="","",SUMIFS(Donations!$D:$D,Donations!$G:$G,$A582,Donations!$F:$F,"&lt;="&amp;'Daily Challenges'!$D$12))</f>
        <v/>
      </c>
    </row>
    <row r="583">
      <c r="A583" s="32" t="n"/>
      <c r="B583" s="32" t="n"/>
      <c r="C583" s="32" t="n"/>
      <c r="D583" s="37">
        <f>IF(A583="","",SUMIFS(Donations!$D:$D,Donations!$G:$G,A583))</f>
        <v/>
      </c>
      <c r="E583" s="35">
        <f>IF(A583="","",IF(D583&gt;0,"Yes",""))</f>
        <v/>
      </c>
      <c r="F583" s="38">
        <f>IF($A583="","",SUMIFS(Donations!$D:$D,Donations!$G:$G,$A583,Donations!$F:$F,"&gt;="&amp;'Daily Challenges'!$C$7,Donations!$F:$F,"&lt;="&amp;'Daily Challenges'!$D$7))</f>
        <v/>
      </c>
      <c r="G583" s="38">
        <f>IF($A583="","",SUMIFS(Donations!$D:$D,Donations!$G:$G,$A583,Donations!$F:$F,"&gt;="&amp;'Daily Challenges'!$C$8,Donations!$F:$F,"&lt;="&amp;'Daily Challenges'!$D$8))</f>
        <v/>
      </c>
      <c r="H583" s="38">
        <f>IF($A583="","",SUMIFS(Donations!$D:$D,Donations!$G:$G,$A583,Donations!$F:$F,"&lt;="&amp;'Daily Challenges'!$D$9))</f>
        <v/>
      </c>
      <c r="I583" s="38">
        <f>IF($A583="","",SUMIFS(Donations!$D:$D,Donations!$G:$G,$A583,Donations!$F:$F,"&gt;="&amp;'Daily Challenges'!$C$10,Donations!$F:$F,"&lt;="&amp;'Daily Challenges'!$D$10))</f>
        <v/>
      </c>
      <c r="J583" s="38">
        <f>IF($A583="","",SUMIFS(Donations!$D:$D,Donations!$G:$G,$A583,Donations!$F:$F,"&lt;="&amp;'Daily Challenges'!$D$12))</f>
        <v/>
      </c>
    </row>
    <row r="584">
      <c r="A584" s="32" t="n"/>
      <c r="B584" s="32" t="n"/>
      <c r="C584" s="32" t="n"/>
      <c r="D584" s="37">
        <f>IF(A584="","",SUMIFS(Donations!$D:$D,Donations!$G:$G,A584))</f>
        <v/>
      </c>
      <c r="E584" s="35">
        <f>IF(A584="","",IF(D584&gt;0,"Yes",""))</f>
        <v/>
      </c>
      <c r="F584" s="38">
        <f>IF($A584="","",SUMIFS(Donations!$D:$D,Donations!$G:$G,$A584,Donations!$F:$F,"&gt;="&amp;'Daily Challenges'!$C$7,Donations!$F:$F,"&lt;="&amp;'Daily Challenges'!$D$7))</f>
        <v/>
      </c>
      <c r="G584" s="38">
        <f>IF($A584="","",SUMIFS(Donations!$D:$D,Donations!$G:$G,$A584,Donations!$F:$F,"&gt;="&amp;'Daily Challenges'!$C$8,Donations!$F:$F,"&lt;="&amp;'Daily Challenges'!$D$8))</f>
        <v/>
      </c>
      <c r="H584" s="38">
        <f>IF($A584="","",SUMIFS(Donations!$D:$D,Donations!$G:$G,$A584,Donations!$F:$F,"&lt;="&amp;'Daily Challenges'!$D$9))</f>
        <v/>
      </c>
      <c r="I584" s="38">
        <f>IF($A584="","",SUMIFS(Donations!$D:$D,Donations!$G:$G,$A584,Donations!$F:$F,"&gt;="&amp;'Daily Challenges'!$C$10,Donations!$F:$F,"&lt;="&amp;'Daily Challenges'!$D$10))</f>
        <v/>
      </c>
      <c r="J584" s="38">
        <f>IF($A584="","",SUMIFS(Donations!$D:$D,Donations!$G:$G,$A584,Donations!$F:$F,"&lt;="&amp;'Daily Challenges'!$D$12))</f>
        <v/>
      </c>
    </row>
    <row r="585">
      <c r="A585" s="32" t="n"/>
      <c r="B585" s="32" t="n"/>
      <c r="C585" s="32" t="n"/>
      <c r="D585" s="37">
        <f>IF(A585="","",SUMIFS(Donations!$D:$D,Donations!$G:$G,A585))</f>
        <v/>
      </c>
      <c r="E585" s="35">
        <f>IF(A585="","",IF(D585&gt;0,"Yes",""))</f>
        <v/>
      </c>
      <c r="F585" s="38">
        <f>IF($A585="","",SUMIFS(Donations!$D:$D,Donations!$G:$G,$A585,Donations!$F:$F,"&gt;="&amp;'Daily Challenges'!$C$7,Donations!$F:$F,"&lt;="&amp;'Daily Challenges'!$D$7))</f>
        <v/>
      </c>
      <c r="G585" s="38">
        <f>IF($A585="","",SUMIFS(Donations!$D:$D,Donations!$G:$G,$A585,Donations!$F:$F,"&gt;="&amp;'Daily Challenges'!$C$8,Donations!$F:$F,"&lt;="&amp;'Daily Challenges'!$D$8))</f>
        <v/>
      </c>
      <c r="H585" s="38">
        <f>IF($A585="","",SUMIFS(Donations!$D:$D,Donations!$G:$G,$A585,Donations!$F:$F,"&lt;="&amp;'Daily Challenges'!$D$9))</f>
        <v/>
      </c>
      <c r="I585" s="38">
        <f>IF($A585="","",SUMIFS(Donations!$D:$D,Donations!$G:$G,$A585,Donations!$F:$F,"&gt;="&amp;'Daily Challenges'!$C$10,Donations!$F:$F,"&lt;="&amp;'Daily Challenges'!$D$10))</f>
        <v/>
      </c>
      <c r="J585" s="38">
        <f>IF($A585="","",SUMIFS(Donations!$D:$D,Donations!$G:$G,$A585,Donations!$F:$F,"&lt;="&amp;'Daily Challenges'!$D$12))</f>
        <v/>
      </c>
    </row>
    <row r="586">
      <c r="A586" s="32" t="n"/>
      <c r="B586" s="32" t="n"/>
      <c r="C586" s="32" t="n"/>
      <c r="D586" s="37">
        <f>IF(A586="","",SUMIFS(Donations!$D:$D,Donations!$G:$G,A586))</f>
        <v/>
      </c>
      <c r="E586" s="35">
        <f>IF(A586="","",IF(D586&gt;0,"Yes",""))</f>
        <v/>
      </c>
      <c r="F586" s="38">
        <f>IF($A586="","",SUMIFS(Donations!$D:$D,Donations!$G:$G,$A586,Donations!$F:$F,"&gt;="&amp;'Daily Challenges'!$C$7,Donations!$F:$F,"&lt;="&amp;'Daily Challenges'!$D$7))</f>
        <v/>
      </c>
      <c r="G586" s="38">
        <f>IF($A586="","",SUMIFS(Donations!$D:$D,Donations!$G:$G,$A586,Donations!$F:$F,"&gt;="&amp;'Daily Challenges'!$C$8,Donations!$F:$F,"&lt;="&amp;'Daily Challenges'!$D$8))</f>
        <v/>
      </c>
      <c r="H586" s="38">
        <f>IF($A586="","",SUMIFS(Donations!$D:$D,Donations!$G:$G,$A586,Donations!$F:$F,"&lt;="&amp;'Daily Challenges'!$D$9))</f>
        <v/>
      </c>
      <c r="I586" s="38">
        <f>IF($A586="","",SUMIFS(Donations!$D:$D,Donations!$G:$G,$A586,Donations!$F:$F,"&gt;="&amp;'Daily Challenges'!$C$10,Donations!$F:$F,"&lt;="&amp;'Daily Challenges'!$D$10))</f>
        <v/>
      </c>
      <c r="J586" s="38">
        <f>IF($A586="","",SUMIFS(Donations!$D:$D,Donations!$G:$G,$A586,Donations!$F:$F,"&lt;="&amp;'Daily Challenges'!$D$12))</f>
        <v/>
      </c>
    </row>
    <row r="587">
      <c r="A587" s="32" t="n"/>
      <c r="B587" s="32" t="n"/>
      <c r="C587" s="32" t="n"/>
      <c r="D587" s="37">
        <f>IF(A587="","",SUMIFS(Donations!$D:$D,Donations!$G:$G,A587))</f>
        <v/>
      </c>
      <c r="E587" s="35">
        <f>IF(A587="","",IF(D587&gt;0,"Yes",""))</f>
        <v/>
      </c>
      <c r="F587" s="38">
        <f>IF($A587="","",SUMIFS(Donations!$D:$D,Donations!$G:$G,$A587,Donations!$F:$F,"&gt;="&amp;'Daily Challenges'!$C$7,Donations!$F:$F,"&lt;="&amp;'Daily Challenges'!$D$7))</f>
        <v/>
      </c>
      <c r="G587" s="38">
        <f>IF($A587="","",SUMIFS(Donations!$D:$D,Donations!$G:$G,$A587,Donations!$F:$F,"&gt;="&amp;'Daily Challenges'!$C$8,Donations!$F:$F,"&lt;="&amp;'Daily Challenges'!$D$8))</f>
        <v/>
      </c>
      <c r="H587" s="38">
        <f>IF($A587="","",SUMIFS(Donations!$D:$D,Donations!$G:$G,$A587,Donations!$F:$F,"&lt;="&amp;'Daily Challenges'!$D$9))</f>
        <v/>
      </c>
      <c r="I587" s="38">
        <f>IF($A587="","",SUMIFS(Donations!$D:$D,Donations!$G:$G,$A587,Donations!$F:$F,"&gt;="&amp;'Daily Challenges'!$C$10,Donations!$F:$F,"&lt;="&amp;'Daily Challenges'!$D$10))</f>
        <v/>
      </c>
      <c r="J587" s="38">
        <f>IF($A587="","",SUMIFS(Donations!$D:$D,Donations!$G:$G,$A587,Donations!$F:$F,"&lt;="&amp;'Daily Challenges'!$D$12))</f>
        <v/>
      </c>
    </row>
    <row r="588">
      <c r="A588" s="32" t="n"/>
      <c r="B588" s="32" t="n"/>
      <c r="C588" s="32" t="n"/>
      <c r="D588" s="37">
        <f>IF(A588="","",SUMIFS(Donations!$D:$D,Donations!$G:$G,A588))</f>
        <v/>
      </c>
      <c r="E588" s="35">
        <f>IF(A588="","",IF(D588&gt;0,"Yes",""))</f>
        <v/>
      </c>
      <c r="F588" s="38">
        <f>IF($A588="","",SUMIFS(Donations!$D:$D,Donations!$G:$G,$A588,Donations!$F:$F,"&gt;="&amp;'Daily Challenges'!$C$7,Donations!$F:$F,"&lt;="&amp;'Daily Challenges'!$D$7))</f>
        <v/>
      </c>
      <c r="G588" s="38">
        <f>IF($A588="","",SUMIFS(Donations!$D:$D,Donations!$G:$G,$A588,Donations!$F:$F,"&gt;="&amp;'Daily Challenges'!$C$8,Donations!$F:$F,"&lt;="&amp;'Daily Challenges'!$D$8))</f>
        <v/>
      </c>
      <c r="H588" s="38">
        <f>IF($A588="","",SUMIFS(Donations!$D:$D,Donations!$G:$G,$A588,Donations!$F:$F,"&lt;="&amp;'Daily Challenges'!$D$9))</f>
        <v/>
      </c>
      <c r="I588" s="38">
        <f>IF($A588="","",SUMIFS(Donations!$D:$D,Donations!$G:$G,$A588,Donations!$F:$F,"&gt;="&amp;'Daily Challenges'!$C$10,Donations!$F:$F,"&lt;="&amp;'Daily Challenges'!$D$10))</f>
        <v/>
      </c>
      <c r="J588" s="38">
        <f>IF($A588="","",SUMIFS(Donations!$D:$D,Donations!$G:$G,$A588,Donations!$F:$F,"&lt;="&amp;'Daily Challenges'!$D$12))</f>
        <v/>
      </c>
    </row>
    <row r="589">
      <c r="A589" s="32" t="n"/>
      <c r="B589" s="32" t="n"/>
      <c r="C589" s="32" t="n"/>
      <c r="D589" s="37">
        <f>IF(A589="","",SUMIFS(Donations!$D:$D,Donations!$G:$G,A589))</f>
        <v/>
      </c>
      <c r="E589" s="35">
        <f>IF(A589="","",IF(D589&gt;0,"Yes",""))</f>
        <v/>
      </c>
      <c r="F589" s="38">
        <f>IF($A589="","",SUMIFS(Donations!$D:$D,Donations!$G:$G,$A589,Donations!$F:$F,"&gt;="&amp;'Daily Challenges'!$C$7,Donations!$F:$F,"&lt;="&amp;'Daily Challenges'!$D$7))</f>
        <v/>
      </c>
      <c r="G589" s="38">
        <f>IF($A589="","",SUMIFS(Donations!$D:$D,Donations!$G:$G,$A589,Donations!$F:$F,"&gt;="&amp;'Daily Challenges'!$C$8,Donations!$F:$F,"&lt;="&amp;'Daily Challenges'!$D$8))</f>
        <v/>
      </c>
      <c r="H589" s="38">
        <f>IF($A589="","",SUMIFS(Donations!$D:$D,Donations!$G:$G,$A589,Donations!$F:$F,"&lt;="&amp;'Daily Challenges'!$D$9))</f>
        <v/>
      </c>
      <c r="I589" s="38">
        <f>IF($A589="","",SUMIFS(Donations!$D:$D,Donations!$G:$G,$A589,Donations!$F:$F,"&gt;="&amp;'Daily Challenges'!$C$10,Donations!$F:$F,"&lt;="&amp;'Daily Challenges'!$D$10))</f>
        <v/>
      </c>
      <c r="J589" s="38">
        <f>IF($A589="","",SUMIFS(Donations!$D:$D,Donations!$G:$G,$A589,Donations!$F:$F,"&lt;="&amp;'Daily Challenges'!$D$12))</f>
        <v/>
      </c>
    </row>
    <row r="590">
      <c r="A590" s="32" t="n"/>
      <c r="B590" s="32" t="n"/>
      <c r="C590" s="32" t="n"/>
      <c r="D590" s="37">
        <f>IF(A590="","",SUMIFS(Donations!$D:$D,Donations!$G:$G,A590))</f>
        <v/>
      </c>
      <c r="E590" s="35">
        <f>IF(A590="","",IF(D590&gt;0,"Yes",""))</f>
        <v/>
      </c>
      <c r="F590" s="38">
        <f>IF($A590="","",SUMIFS(Donations!$D:$D,Donations!$G:$G,$A590,Donations!$F:$F,"&gt;="&amp;'Daily Challenges'!$C$7,Donations!$F:$F,"&lt;="&amp;'Daily Challenges'!$D$7))</f>
        <v/>
      </c>
      <c r="G590" s="38">
        <f>IF($A590="","",SUMIFS(Donations!$D:$D,Donations!$G:$G,$A590,Donations!$F:$F,"&gt;="&amp;'Daily Challenges'!$C$8,Donations!$F:$F,"&lt;="&amp;'Daily Challenges'!$D$8))</f>
        <v/>
      </c>
      <c r="H590" s="38">
        <f>IF($A590="","",SUMIFS(Donations!$D:$D,Donations!$G:$G,$A590,Donations!$F:$F,"&lt;="&amp;'Daily Challenges'!$D$9))</f>
        <v/>
      </c>
      <c r="I590" s="38">
        <f>IF($A590="","",SUMIFS(Donations!$D:$D,Donations!$G:$G,$A590,Donations!$F:$F,"&gt;="&amp;'Daily Challenges'!$C$10,Donations!$F:$F,"&lt;="&amp;'Daily Challenges'!$D$10))</f>
        <v/>
      </c>
      <c r="J590" s="38">
        <f>IF($A590="","",SUMIFS(Donations!$D:$D,Donations!$G:$G,$A590,Donations!$F:$F,"&lt;="&amp;'Daily Challenges'!$D$12))</f>
        <v/>
      </c>
    </row>
    <row r="591">
      <c r="A591" s="32" t="n"/>
      <c r="B591" s="32" t="n"/>
      <c r="C591" s="32" t="n"/>
      <c r="D591" s="37">
        <f>IF(A591="","",SUMIFS(Donations!$D:$D,Donations!$G:$G,A591))</f>
        <v/>
      </c>
      <c r="E591" s="35">
        <f>IF(A591="","",IF(D591&gt;0,"Yes",""))</f>
        <v/>
      </c>
      <c r="F591" s="38">
        <f>IF($A591="","",SUMIFS(Donations!$D:$D,Donations!$G:$G,$A591,Donations!$F:$F,"&gt;="&amp;'Daily Challenges'!$C$7,Donations!$F:$F,"&lt;="&amp;'Daily Challenges'!$D$7))</f>
        <v/>
      </c>
      <c r="G591" s="38">
        <f>IF($A591="","",SUMIFS(Donations!$D:$D,Donations!$G:$G,$A591,Donations!$F:$F,"&gt;="&amp;'Daily Challenges'!$C$8,Donations!$F:$F,"&lt;="&amp;'Daily Challenges'!$D$8))</f>
        <v/>
      </c>
      <c r="H591" s="38">
        <f>IF($A591="","",SUMIFS(Donations!$D:$D,Donations!$G:$G,$A591,Donations!$F:$F,"&lt;="&amp;'Daily Challenges'!$D$9))</f>
        <v/>
      </c>
      <c r="I591" s="38">
        <f>IF($A591="","",SUMIFS(Donations!$D:$D,Donations!$G:$G,$A591,Donations!$F:$F,"&gt;="&amp;'Daily Challenges'!$C$10,Donations!$F:$F,"&lt;="&amp;'Daily Challenges'!$D$10))</f>
        <v/>
      </c>
      <c r="J591" s="38">
        <f>IF($A591="","",SUMIFS(Donations!$D:$D,Donations!$G:$G,$A591,Donations!$F:$F,"&lt;="&amp;'Daily Challenges'!$D$12))</f>
        <v/>
      </c>
    </row>
    <row r="592">
      <c r="A592" s="32" t="n"/>
      <c r="B592" s="32" t="n"/>
      <c r="C592" s="32" t="n"/>
      <c r="D592" s="37">
        <f>IF(A592="","",SUMIFS(Donations!$D:$D,Donations!$G:$G,A592))</f>
        <v/>
      </c>
      <c r="E592" s="35">
        <f>IF(A592="","",IF(D592&gt;0,"Yes",""))</f>
        <v/>
      </c>
      <c r="F592" s="38">
        <f>IF($A592="","",SUMIFS(Donations!$D:$D,Donations!$G:$G,$A592,Donations!$F:$F,"&gt;="&amp;'Daily Challenges'!$C$7,Donations!$F:$F,"&lt;="&amp;'Daily Challenges'!$D$7))</f>
        <v/>
      </c>
      <c r="G592" s="38">
        <f>IF($A592="","",SUMIFS(Donations!$D:$D,Donations!$G:$G,$A592,Donations!$F:$F,"&gt;="&amp;'Daily Challenges'!$C$8,Donations!$F:$F,"&lt;="&amp;'Daily Challenges'!$D$8))</f>
        <v/>
      </c>
      <c r="H592" s="38">
        <f>IF($A592="","",SUMIFS(Donations!$D:$D,Donations!$G:$G,$A592,Donations!$F:$F,"&lt;="&amp;'Daily Challenges'!$D$9))</f>
        <v/>
      </c>
      <c r="I592" s="38">
        <f>IF($A592="","",SUMIFS(Donations!$D:$D,Donations!$G:$G,$A592,Donations!$F:$F,"&gt;="&amp;'Daily Challenges'!$C$10,Donations!$F:$F,"&lt;="&amp;'Daily Challenges'!$D$10))</f>
        <v/>
      </c>
      <c r="J592" s="38">
        <f>IF($A592="","",SUMIFS(Donations!$D:$D,Donations!$G:$G,$A592,Donations!$F:$F,"&lt;="&amp;'Daily Challenges'!$D$12))</f>
        <v/>
      </c>
    </row>
    <row r="593">
      <c r="A593" s="32" t="n"/>
      <c r="B593" s="32" t="n"/>
      <c r="C593" s="32" t="n"/>
      <c r="D593" s="37">
        <f>IF(A593="","",SUMIFS(Donations!$D:$D,Donations!$G:$G,A593))</f>
        <v/>
      </c>
      <c r="E593" s="35">
        <f>IF(A593="","",IF(D593&gt;0,"Yes",""))</f>
        <v/>
      </c>
      <c r="F593" s="38">
        <f>IF($A593="","",SUMIFS(Donations!$D:$D,Donations!$G:$G,$A593,Donations!$F:$F,"&gt;="&amp;'Daily Challenges'!$C$7,Donations!$F:$F,"&lt;="&amp;'Daily Challenges'!$D$7))</f>
        <v/>
      </c>
      <c r="G593" s="38">
        <f>IF($A593="","",SUMIFS(Donations!$D:$D,Donations!$G:$G,$A593,Donations!$F:$F,"&gt;="&amp;'Daily Challenges'!$C$8,Donations!$F:$F,"&lt;="&amp;'Daily Challenges'!$D$8))</f>
        <v/>
      </c>
      <c r="H593" s="38">
        <f>IF($A593="","",SUMIFS(Donations!$D:$D,Donations!$G:$G,$A593,Donations!$F:$F,"&lt;="&amp;'Daily Challenges'!$D$9))</f>
        <v/>
      </c>
      <c r="I593" s="38">
        <f>IF($A593="","",SUMIFS(Donations!$D:$D,Donations!$G:$G,$A593,Donations!$F:$F,"&gt;="&amp;'Daily Challenges'!$C$10,Donations!$F:$F,"&lt;="&amp;'Daily Challenges'!$D$10))</f>
        <v/>
      </c>
      <c r="J593" s="38">
        <f>IF($A593="","",SUMIFS(Donations!$D:$D,Donations!$G:$G,$A593,Donations!$F:$F,"&lt;="&amp;'Daily Challenges'!$D$12))</f>
        <v/>
      </c>
    </row>
    <row r="594">
      <c r="A594" s="32" t="n"/>
      <c r="B594" s="32" t="n"/>
      <c r="C594" s="32" t="n"/>
      <c r="D594" s="37">
        <f>IF(A594="","",SUMIFS(Donations!$D:$D,Donations!$G:$G,A594))</f>
        <v/>
      </c>
      <c r="E594" s="35">
        <f>IF(A594="","",IF(D594&gt;0,"Yes",""))</f>
        <v/>
      </c>
      <c r="F594" s="38">
        <f>IF($A594="","",SUMIFS(Donations!$D:$D,Donations!$G:$G,$A594,Donations!$F:$F,"&gt;="&amp;'Daily Challenges'!$C$7,Donations!$F:$F,"&lt;="&amp;'Daily Challenges'!$D$7))</f>
        <v/>
      </c>
      <c r="G594" s="38">
        <f>IF($A594="","",SUMIFS(Donations!$D:$D,Donations!$G:$G,$A594,Donations!$F:$F,"&gt;="&amp;'Daily Challenges'!$C$8,Donations!$F:$F,"&lt;="&amp;'Daily Challenges'!$D$8))</f>
        <v/>
      </c>
      <c r="H594" s="38">
        <f>IF($A594="","",SUMIFS(Donations!$D:$D,Donations!$G:$G,$A594,Donations!$F:$F,"&lt;="&amp;'Daily Challenges'!$D$9))</f>
        <v/>
      </c>
      <c r="I594" s="38">
        <f>IF($A594="","",SUMIFS(Donations!$D:$D,Donations!$G:$G,$A594,Donations!$F:$F,"&gt;="&amp;'Daily Challenges'!$C$10,Donations!$F:$F,"&lt;="&amp;'Daily Challenges'!$D$10))</f>
        <v/>
      </c>
      <c r="J594" s="38">
        <f>IF($A594="","",SUMIFS(Donations!$D:$D,Donations!$G:$G,$A594,Donations!$F:$F,"&lt;="&amp;'Daily Challenges'!$D$12))</f>
        <v/>
      </c>
    </row>
    <row r="595">
      <c r="A595" s="32" t="n"/>
      <c r="B595" s="32" t="n"/>
      <c r="C595" s="32" t="n"/>
      <c r="D595" s="37">
        <f>IF(A595="","",SUMIFS(Donations!$D:$D,Donations!$G:$G,A595))</f>
        <v/>
      </c>
      <c r="E595" s="35">
        <f>IF(A595="","",IF(D595&gt;0,"Yes",""))</f>
        <v/>
      </c>
      <c r="F595" s="38">
        <f>IF($A595="","",SUMIFS(Donations!$D:$D,Donations!$G:$G,$A595,Donations!$F:$F,"&gt;="&amp;'Daily Challenges'!$C$7,Donations!$F:$F,"&lt;="&amp;'Daily Challenges'!$D$7))</f>
        <v/>
      </c>
      <c r="G595" s="38">
        <f>IF($A595="","",SUMIFS(Donations!$D:$D,Donations!$G:$G,$A595,Donations!$F:$F,"&gt;="&amp;'Daily Challenges'!$C$8,Donations!$F:$F,"&lt;="&amp;'Daily Challenges'!$D$8))</f>
        <v/>
      </c>
      <c r="H595" s="38">
        <f>IF($A595="","",SUMIFS(Donations!$D:$D,Donations!$G:$G,$A595,Donations!$F:$F,"&lt;="&amp;'Daily Challenges'!$D$9))</f>
        <v/>
      </c>
      <c r="I595" s="38">
        <f>IF($A595="","",SUMIFS(Donations!$D:$D,Donations!$G:$G,$A595,Donations!$F:$F,"&gt;="&amp;'Daily Challenges'!$C$10,Donations!$F:$F,"&lt;="&amp;'Daily Challenges'!$D$10))</f>
        <v/>
      </c>
      <c r="J595" s="38">
        <f>IF($A595="","",SUMIFS(Donations!$D:$D,Donations!$G:$G,$A595,Donations!$F:$F,"&lt;="&amp;'Daily Challenges'!$D$12))</f>
        <v/>
      </c>
    </row>
    <row r="596">
      <c r="A596" s="32" t="n"/>
      <c r="B596" s="32" t="n"/>
      <c r="C596" s="32" t="n"/>
      <c r="D596" s="37">
        <f>IF(A596="","",SUMIFS(Donations!$D:$D,Donations!$G:$G,A596))</f>
        <v/>
      </c>
      <c r="E596" s="35">
        <f>IF(A596="","",IF(D596&gt;0,"Yes",""))</f>
        <v/>
      </c>
      <c r="F596" s="38">
        <f>IF($A596="","",SUMIFS(Donations!$D:$D,Donations!$G:$G,$A596,Donations!$F:$F,"&gt;="&amp;'Daily Challenges'!$C$7,Donations!$F:$F,"&lt;="&amp;'Daily Challenges'!$D$7))</f>
        <v/>
      </c>
      <c r="G596" s="38">
        <f>IF($A596="","",SUMIFS(Donations!$D:$D,Donations!$G:$G,$A596,Donations!$F:$F,"&gt;="&amp;'Daily Challenges'!$C$8,Donations!$F:$F,"&lt;="&amp;'Daily Challenges'!$D$8))</f>
        <v/>
      </c>
      <c r="H596" s="38">
        <f>IF($A596="","",SUMIFS(Donations!$D:$D,Donations!$G:$G,$A596,Donations!$F:$F,"&lt;="&amp;'Daily Challenges'!$D$9))</f>
        <v/>
      </c>
      <c r="I596" s="38">
        <f>IF($A596="","",SUMIFS(Donations!$D:$D,Donations!$G:$G,$A596,Donations!$F:$F,"&gt;="&amp;'Daily Challenges'!$C$10,Donations!$F:$F,"&lt;="&amp;'Daily Challenges'!$D$10))</f>
        <v/>
      </c>
      <c r="J596" s="38">
        <f>IF($A596="","",SUMIFS(Donations!$D:$D,Donations!$G:$G,$A596,Donations!$F:$F,"&lt;="&amp;'Daily Challenges'!$D$12))</f>
        <v/>
      </c>
    </row>
    <row r="597">
      <c r="A597" s="32" t="n"/>
      <c r="B597" s="32" t="n"/>
      <c r="C597" s="32" t="n"/>
      <c r="D597" s="37">
        <f>IF(A597="","",SUMIFS(Donations!$D:$D,Donations!$G:$G,A597))</f>
        <v/>
      </c>
      <c r="E597" s="35">
        <f>IF(A597="","",IF(D597&gt;0,"Yes",""))</f>
        <v/>
      </c>
      <c r="F597" s="38">
        <f>IF($A597="","",SUMIFS(Donations!$D:$D,Donations!$G:$G,$A597,Donations!$F:$F,"&gt;="&amp;'Daily Challenges'!$C$7,Donations!$F:$F,"&lt;="&amp;'Daily Challenges'!$D$7))</f>
        <v/>
      </c>
      <c r="G597" s="38">
        <f>IF($A597="","",SUMIFS(Donations!$D:$D,Donations!$G:$G,$A597,Donations!$F:$F,"&gt;="&amp;'Daily Challenges'!$C$8,Donations!$F:$F,"&lt;="&amp;'Daily Challenges'!$D$8))</f>
        <v/>
      </c>
      <c r="H597" s="38">
        <f>IF($A597="","",SUMIFS(Donations!$D:$D,Donations!$G:$G,$A597,Donations!$F:$F,"&lt;="&amp;'Daily Challenges'!$D$9))</f>
        <v/>
      </c>
      <c r="I597" s="38">
        <f>IF($A597="","",SUMIFS(Donations!$D:$D,Donations!$G:$G,$A597,Donations!$F:$F,"&gt;="&amp;'Daily Challenges'!$C$10,Donations!$F:$F,"&lt;="&amp;'Daily Challenges'!$D$10))</f>
        <v/>
      </c>
      <c r="J597" s="38">
        <f>IF($A597="","",SUMIFS(Donations!$D:$D,Donations!$G:$G,$A597,Donations!$F:$F,"&lt;="&amp;'Daily Challenges'!$D$12))</f>
        <v/>
      </c>
    </row>
    <row r="598">
      <c r="A598" s="32" t="n"/>
      <c r="B598" s="32" t="n"/>
      <c r="C598" s="32" t="n"/>
      <c r="D598" s="37">
        <f>IF(A598="","",SUMIFS(Donations!$D:$D,Donations!$G:$G,A598))</f>
        <v/>
      </c>
      <c r="E598" s="35">
        <f>IF(A598="","",IF(D598&gt;0,"Yes",""))</f>
        <v/>
      </c>
      <c r="F598" s="38">
        <f>IF($A598="","",SUMIFS(Donations!$D:$D,Donations!$G:$G,$A598,Donations!$F:$F,"&gt;="&amp;'Daily Challenges'!$C$7,Donations!$F:$F,"&lt;="&amp;'Daily Challenges'!$D$7))</f>
        <v/>
      </c>
      <c r="G598" s="38">
        <f>IF($A598="","",SUMIFS(Donations!$D:$D,Donations!$G:$G,$A598,Donations!$F:$F,"&gt;="&amp;'Daily Challenges'!$C$8,Donations!$F:$F,"&lt;="&amp;'Daily Challenges'!$D$8))</f>
        <v/>
      </c>
      <c r="H598" s="38">
        <f>IF($A598="","",SUMIFS(Donations!$D:$D,Donations!$G:$G,$A598,Donations!$F:$F,"&lt;="&amp;'Daily Challenges'!$D$9))</f>
        <v/>
      </c>
      <c r="I598" s="38">
        <f>IF($A598="","",SUMIFS(Donations!$D:$D,Donations!$G:$G,$A598,Donations!$F:$F,"&gt;="&amp;'Daily Challenges'!$C$10,Donations!$F:$F,"&lt;="&amp;'Daily Challenges'!$D$10))</f>
        <v/>
      </c>
      <c r="J598" s="38">
        <f>IF($A598="","",SUMIFS(Donations!$D:$D,Donations!$G:$G,$A598,Donations!$F:$F,"&lt;="&amp;'Daily Challenges'!$D$12))</f>
        <v/>
      </c>
    </row>
    <row r="599">
      <c r="A599" s="32" t="n"/>
      <c r="B599" s="32" t="n"/>
      <c r="C599" s="32" t="n"/>
      <c r="D599" s="37">
        <f>IF(A599="","",SUMIFS(Donations!$D:$D,Donations!$G:$G,A599))</f>
        <v/>
      </c>
      <c r="E599" s="35">
        <f>IF(A599="","",IF(D599&gt;0,"Yes",""))</f>
        <v/>
      </c>
      <c r="F599" s="38">
        <f>IF($A599="","",SUMIFS(Donations!$D:$D,Donations!$G:$G,$A599,Donations!$F:$F,"&gt;="&amp;'Daily Challenges'!$C$7,Donations!$F:$F,"&lt;="&amp;'Daily Challenges'!$D$7))</f>
        <v/>
      </c>
      <c r="G599" s="38">
        <f>IF($A599="","",SUMIFS(Donations!$D:$D,Donations!$G:$G,$A599,Donations!$F:$F,"&gt;="&amp;'Daily Challenges'!$C$8,Donations!$F:$F,"&lt;="&amp;'Daily Challenges'!$D$8))</f>
        <v/>
      </c>
      <c r="H599" s="38">
        <f>IF($A599="","",SUMIFS(Donations!$D:$D,Donations!$G:$G,$A599,Donations!$F:$F,"&lt;="&amp;'Daily Challenges'!$D$9))</f>
        <v/>
      </c>
      <c r="I599" s="38">
        <f>IF($A599="","",SUMIFS(Donations!$D:$D,Donations!$G:$G,$A599,Donations!$F:$F,"&gt;="&amp;'Daily Challenges'!$C$10,Donations!$F:$F,"&lt;="&amp;'Daily Challenges'!$D$10))</f>
        <v/>
      </c>
      <c r="J599" s="38">
        <f>IF($A599="","",SUMIFS(Donations!$D:$D,Donations!$G:$G,$A599,Donations!$F:$F,"&lt;="&amp;'Daily Challenges'!$D$12))</f>
        <v/>
      </c>
    </row>
    <row r="600">
      <c r="A600" s="32" t="n"/>
      <c r="B600" s="32" t="n"/>
      <c r="C600" s="32" t="n"/>
      <c r="D600" s="37">
        <f>IF(A600="","",SUMIFS(Donations!$D:$D,Donations!$G:$G,A600))</f>
        <v/>
      </c>
      <c r="E600" s="35">
        <f>IF(A600="","",IF(D600&gt;0,"Yes",""))</f>
        <v/>
      </c>
      <c r="F600" s="38">
        <f>IF($A600="","",SUMIFS(Donations!$D:$D,Donations!$G:$G,$A600,Donations!$F:$F,"&gt;="&amp;'Daily Challenges'!$C$7,Donations!$F:$F,"&lt;="&amp;'Daily Challenges'!$D$7))</f>
        <v/>
      </c>
      <c r="G600" s="38">
        <f>IF($A600="","",SUMIFS(Donations!$D:$D,Donations!$G:$G,$A600,Donations!$F:$F,"&gt;="&amp;'Daily Challenges'!$C$8,Donations!$F:$F,"&lt;="&amp;'Daily Challenges'!$D$8))</f>
        <v/>
      </c>
      <c r="H600" s="38">
        <f>IF($A600="","",SUMIFS(Donations!$D:$D,Donations!$G:$G,$A600,Donations!$F:$F,"&lt;="&amp;'Daily Challenges'!$D$9))</f>
        <v/>
      </c>
      <c r="I600" s="38">
        <f>IF($A600="","",SUMIFS(Donations!$D:$D,Donations!$G:$G,$A600,Donations!$F:$F,"&gt;="&amp;'Daily Challenges'!$C$10,Donations!$F:$F,"&lt;="&amp;'Daily Challenges'!$D$10))</f>
        <v/>
      </c>
      <c r="J600" s="38">
        <f>IF($A600="","",SUMIFS(Donations!$D:$D,Donations!$G:$G,$A600,Donations!$F:$F,"&lt;="&amp;'Daily Challenges'!$D$12))</f>
        <v/>
      </c>
    </row>
    <row r="601">
      <c r="A601" s="32" t="n"/>
      <c r="B601" s="32" t="n"/>
      <c r="C601" s="32" t="n"/>
      <c r="D601" s="37">
        <f>IF(A601="","",SUMIFS(Donations!$D:$D,Donations!$G:$G,A601))</f>
        <v/>
      </c>
      <c r="E601" s="35">
        <f>IF(A601="","",IF(D601&gt;0,"Yes",""))</f>
        <v/>
      </c>
      <c r="F601" s="38">
        <f>IF($A601="","",SUMIFS(Donations!$D:$D,Donations!$G:$G,$A601,Donations!$F:$F,"&gt;="&amp;'Daily Challenges'!$C$7,Donations!$F:$F,"&lt;="&amp;'Daily Challenges'!$D$7))</f>
        <v/>
      </c>
      <c r="G601" s="38">
        <f>IF($A601="","",SUMIFS(Donations!$D:$D,Donations!$G:$G,$A601,Donations!$F:$F,"&gt;="&amp;'Daily Challenges'!$C$8,Donations!$F:$F,"&lt;="&amp;'Daily Challenges'!$D$8))</f>
        <v/>
      </c>
      <c r="H601" s="38">
        <f>IF($A601="","",SUMIFS(Donations!$D:$D,Donations!$G:$G,$A601,Donations!$F:$F,"&lt;="&amp;'Daily Challenges'!$D$9))</f>
        <v/>
      </c>
      <c r="I601" s="38">
        <f>IF($A601="","",SUMIFS(Donations!$D:$D,Donations!$G:$G,$A601,Donations!$F:$F,"&gt;="&amp;'Daily Challenges'!$C$10,Donations!$F:$F,"&lt;="&amp;'Daily Challenges'!$D$10))</f>
        <v/>
      </c>
      <c r="J601" s="38">
        <f>IF($A601="","",SUMIFS(Donations!$D:$D,Donations!$G:$G,$A601,Donations!$F:$F,"&lt;="&amp;'Daily Challenges'!$D$12))</f>
        <v/>
      </c>
    </row>
  </sheetData>
  <autoFilter ref="A1:J6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2026-10-18T22:16:57Z</dcterms:created>
  <dcterms:modified xmlns:dcterms="http://purl.org/dc/terms/" xmlns:xsi="http://www.w3.org/2001/XMLSchema-instance" xsi:type="dcterms:W3CDTF">2026-10-18T22:16:58Z</dcterms:modified>
</cp:coreProperties>
</file>